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c80f07730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ortada" sheetId="1" r:id="Rb3182bdd705b4b0c"/>
    <x:sheet xmlns:r="http://schemas.openxmlformats.org/officeDocument/2006/relationships" name="01 Guía de Uso" sheetId="2" r:id="R1083a39bd44644ba"/>
    <x:sheet xmlns:r="http://schemas.openxmlformats.org/officeDocument/2006/relationships" name="02 Configuración" sheetId="3" r:id="Rf3f8247df30544dd"/>
    <x:sheet xmlns:r="http://schemas.openxmlformats.org/officeDocument/2006/relationships" name="03 Captura Mensual" sheetId="4" r:id="R589745414b4b4aed"/>
    <x:sheet xmlns:r="http://schemas.openxmlformats.org/officeDocument/2006/relationships" name="04 KPIs Automáticos" sheetId="5" r:id="R09baab07156a4cf4"/>
    <x:sheet xmlns:r="http://schemas.openxmlformats.org/officeDocument/2006/relationships" name="05 Dashboard Ejecutivo" sheetId="6" r:id="Rd6f49915d97c45a6"/>
    <x:sheet xmlns:r="http://schemas.openxmlformats.org/officeDocument/2006/relationships" name="06 Análisis Ejecutivo" sheetId="7" r:id="R4ba32df2961a413d"/>
    <x:sheet xmlns:r="http://schemas.openxmlformats.org/officeDocument/2006/relationships" name="07 Catálogos" sheetId="8" r:id="R78d4b7d24b19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0"/>
    <x:numFmt numFmtId="202" formatCode="$#,##0"/>
    <x:numFmt numFmtId="203" formatCode="0"/>
    <x:numFmt numFmtId="204" formatCode="0.0%"/>
  </x:numFmts>
  <x:fonts count="28">
    <x:font>
      <x:sz val="11"/>
      <x:name val="Carlito"/>
    </x:font>
    <x:font>
      <x:b/>
      <x:sz val="10"/>
      <x:color rgb="FFFFFF"/>
      <x:name val="Carlito"/>
    </x:font>
    <x:font>
      <x:b/>
      <x:sz val="18"/>
      <x:color rgb="FFFFFF"/>
      <x:name val="Carlito"/>
    </x:font>
    <x:font>
      <x:sz val="12"/>
      <x:color rgb="334155"/>
      <x:name val="Carlito"/>
    </x:font>
    <x:font>
      <x:b/>
      <x:sz val="10"/>
      <x:color rgb="0B1E3B"/>
      <x:name val="Carlito"/>
    </x:font>
    <x:font>
      <x:b/>
      <x:sz val="11"/>
      <x:color rgb="0B1E3B"/>
      <x:name val="Carlito"/>
    </x:font>
    <x:font>
      <x:sz val="11"/>
      <x:color rgb="334155"/>
      <x:name val="Carlito"/>
    </x:font>
    <x:font>
      <x:b/>
      <x:sz val="11"/>
      <x:color rgb="FFFFFF"/>
      <x:name val="Carlito"/>
    </x:font>
    <x:font>
      <x:i/>
      <x:sz val="11"/>
      <x:color rgb="0B1E3B"/>
      <x:name val="Carlito"/>
    </x:font>
    <x:font>
      <x:sz val="10"/>
      <x:color rgb="334155"/>
      <x:name val="Carlito"/>
    </x:font>
    <x:font>
      <x:sz val="10"/>
      <x:color rgb="0B1E3B"/>
      <x:name val="Carlito"/>
    </x:font>
    <x:font>
      <x:sz val="11"/>
      <x:color rgb="64748B"/>
      <x:name val="Carlito"/>
    </x:font>
    <x:font>
      <x:b/>
      <x:sz val="12"/>
      <x:color rgb="0B1E3B"/>
      <x:name val="Carlito"/>
    </x:font>
    <x:font>
      <x:b/>
      <x:sz val="14"/>
      <x:color rgb="0B1E3B"/>
      <x:name val="Carlito"/>
    </x:font>
    <x:font>
      <x:b/>
      <x:sz val="18"/>
      <x:color rgb="FFFFFF"/>
      <x:name val="Aptos"/>
    </x:font>
    <x:font>
      <x:sz val="11"/>
      <x:name val="Aptos"/>
    </x:font>
    <x:font>
      <x:sz val="12"/>
      <x:color rgb="334155"/>
      <x:name val="Aptos"/>
    </x:font>
    <x:font>
      <x:b/>
      <x:sz val="10"/>
      <x:color rgb="0B1E3B"/>
      <x:name val="Aptos"/>
    </x:font>
    <x:font>
      <x:b/>
      <x:sz val="11"/>
      <x:color rgb="0B1E3B"/>
      <x:name val="Aptos"/>
    </x:font>
    <x:font>
      <x:sz val="11"/>
      <x:color rgb="334155"/>
      <x:name val="Aptos"/>
    </x:font>
    <x:font>
      <x:b/>
      <x:sz val="11"/>
      <x:color rgb="FFFFFF"/>
      <x:name val="Aptos"/>
    </x:font>
    <x:font>
      <x:i/>
      <x:sz val="11"/>
      <x:color rgb="0B1E3B"/>
      <x:name val="Aptos"/>
    </x:font>
    <x:font>
      <x:b/>
      <x:sz val="10"/>
      <x:color rgb="FFFFFF"/>
      <x:name val="Aptos"/>
    </x:font>
    <x:font>
      <x:sz val="10"/>
      <x:color rgb="334155"/>
      <x:name val="Aptos"/>
    </x:font>
    <x:font>
      <x:sz val="10"/>
      <x:color rgb="0B1E3B"/>
      <x:name val="Aptos"/>
    </x:font>
    <x:font>
      <x:sz val="11"/>
      <x:color rgb="64748B"/>
      <x:name val="Aptos"/>
    </x:font>
    <x:font>
      <x:b/>
      <x:sz val="12"/>
      <x:color rgb="0B1E3B"/>
      <x:name val="Aptos"/>
    </x:font>
    <x:font>
      <x:b/>
      <x:sz val="14"/>
      <x:color rgb="0B1E3B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102A56"/>
      </x:patternFill>
    </x:fill>
    <x:fill>
      <x:patternFill patternType="solid">
        <x:fgColor rgb="0B1E3B"/>
      </x:patternFill>
    </x:fill>
    <x:fill>
      <x:patternFill patternType="solid">
        <x:fgColor rgb="FFFFFF"/>
      </x:patternFill>
    </x:fill>
    <x:fill>
      <x:patternFill patternType="solid">
        <x:fgColor rgb="D4AF37"/>
      </x:patternFill>
    </x:fill>
    <x:fill>
      <x:patternFill patternType="solid">
        <x:fgColor rgb="FFF3BF"/>
      </x:patternFill>
    </x:fill>
    <x:fill>
      <x:patternFill patternType="solid">
        <x:fgColor rgb="F8FAFC"/>
      </x:patternFill>
    </x:fill>
    <x:fill>
      <x:patternFill patternType="solid">
        <x:fgColor rgb="EAF2FF"/>
      </x:patternFill>
    </x:fill>
    <x:fill>
      <x:patternFill patternType="solid">
        <x:fgColor rgb="EFF6FF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2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left" wrapText="1"/>
    </x:xf>
    <x:xf numFmtId="0" fontId="10" fillId="9" borderId="0" xfId="0" applyNumberFormat="1" applyFont="1" applyFill="1" applyBorder="1" applyAlignment="1">
      <x:alignment horizontal="left" vertical="center" wrapText="1"/>
    </x:xf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horizontal="left" wrapText="1"/>
    </x:xf>
    <x:xf numFmtId="0" fontId="10" fillId="9" borderId="1" xfId="0" applyNumberFormat="1" applyFont="1" applyFill="1" applyBorder="1" applyAlignment="1">
      <x:alignment horizontal="left" vertical="center"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200" fontId="10" fillId="9" borderId="0" xfId="0" applyNumberFormat="1" applyFont="1" applyFill="1" applyBorder="1" applyAlignment="1">
      <x:alignment horizontal="left" vertical="center" wrapText="1"/>
    </x:xf>
    <x:xf numFmtId="200" fontId="10" fillId="9" borderId="1" xfId="0" applyNumberFormat="1" applyFont="1" applyFill="1" applyBorder="1" applyAlignment="1">
      <x:alignment horizontal="left" vertical="center" wrapText="1"/>
    </x:xf>
    <x:xf numFmtId="201" fontId="10" fillId="9" borderId="0" xfId="0" applyNumberFormat="1" applyFont="1" applyFill="1" applyBorder="1" applyAlignment="1">
      <x:alignment horizontal="left" vertical="center" wrapText="1"/>
    </x:xf>
    <x:xf numFmtId="201" fontId="10" fillId="9" borderId="1" xfId="0" applyNumberFormat="1" applyFont="1" applyFill="1" applyBorder="1" applyAlignment="1">
      <x:alignment horizontal="left" vertical="center" wrapText="1"/>
    </x:xf>
    <x:xf numFmtId="202" fontId="10" fillId="9" borderId="0" xfId="0" applyNumberFormat="1" applyFont="1" applyFill="1" applyBorder="1" applyAlignment="1">
      <x:alignment horizontal="left" vertical="center" wrapText="1"/>
    </x:xf>
    <x:xf numFmtId="202" fontId="10" fillId="9" borderId="1" xfId="0" applyNumberFormat="1" applyFont="1" applyFill="1" applyBorder="1" applyAlignment="1">
      <x:alignment horizontal="left" vertical="center" wrapText="1"/>
    </x:xf>
    <x:xf numFmtId="203" fontId="10" fillId="9" borderId="0" xfId="0" applyNumberFormat="1" applyFont="1" applyFill="1" applyBorder="1" applyAlignment="1">
      <x:alignment horizontal="left" vertical="center" wrapText="1"/>
    </x:xf>
    <x:xf numFmtId="203" fontId="10" fillId="9" borderId="1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horizont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202" fontId="9" fillId="10" borderId="0" xfId="0" applyNumberFormat="1" applyFont="1" applyFill="1" applyBorder="1" applyAlignment="1">
      <x:alignment horizontal="center" vertical="center" wrapText="1"/>
    </x:xf>
    <x:xf numFmtId="202" fontId="9" fillId="10" borderId="1" xfId="0" applyNumberFormat="1" applyFont="1" applyFill="1" applyBorder="1" applyAlignment="1">
      <x:alignment horizontal="center" vertical="center" wrapText="1"/>
    </x:xf>
    <x:xf numFmtId="204" fontId="9" fillId="10" borderId="0" xfId="0" applyNumberFormat="1" applyFont="1" applyFill="1" applyBorder="1" applyAlignment="1">
      <x:alignment horizontal="center" vertical="center" wrapText="1"/>
    </x:xf>
    <x:xf numFmtId="204" fontId="9" fillId="10" borderId="1" xfId="0" applyNumberFormat="1" applyFont="1" applyFill="1" applyBorder="1" applyAlignment="1">
      <x:alignment horizontal="center" vertical="center" wrapText="1"/>
    </x:xf>
    <x:xf numFmtId="203" fontId="9" fillId="10" borderId="0" xfId="0" applyNumberFormat="1" applyFont="1" applyFill="1" applyBorder="1" applyAlignment="1">
      <x:alignment horizontal="center" vertical="center" wrapText="1"/>
    </x:xf>
    <x:xf numFmtId="203" fontId="9" fillId="10" borderId="1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/>
    <x:xf numFmtId="0" fontId="12" fillId="4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4" borderId="0" xfId="0" applyNumberFormat="1" applyFont="1" applyFill="1" applyBorder="1"/>
    <x:xf numFmtId="204" fontId="0" fillId="4" borderId="0" xfId="0" applyNumberFormat="1" applyFont="1" applyFill="1" applyBorder="1"/>
    <x:xf numFmtId="202" fontId="13" fillId="4" borderId="0" xfId="0" applyNumberFormat="1" applyFont="1" applyFill="1" applyBorder="1"/>
    <x:xf numFmtId="204" fontId="13" fillId="4" borderId="0" xfId="0" applyNumberFormat="1" applyFont="1" applyFill="1" applyBorder="1"/>
    <x:xf numFmtId="202" fontId="13" fillId="4" borderId="0" xfId="0" applyNumberFormat="1" applyFont="1" applyFill="1" applyBorder="1" applyAlignment="1">
      <x:alignment horizontal="center"/>
    </x:xf>
    <x:xf numFmtId="204" fontId="13" fillId="4" borderId="0" xfId="0" applyNumberFormat="1" applyFont="1" applyFill="1" applyBorder="1" applyAlignment="1">
      <x:alignment horizontal="center"/>
    </x:xf>
    <x:xf numFmtId="202" fontId="0" fillId="4" borderId="1" xfId="0" applyNumberFormat="1" applyFont="1" applyFill="1" applyBorder="1"/>
    <x:xf numFmtId="204" fontId="0" fillId="4" borderId="1" xfId="0" applyNumberFormat="1" applyFont="1" applyFill="1" applyBorder="1"/>
    <x:xf numFmtId="202" fontId="13" fillId="4" borderId="1" xfId="0" applyNumberFormat="1" applyFont="1" applyFill="1" applyBorder="1"/>
    <x:xf numFmtId="204" fontId="13" fillId="4" borderId="1" xfId="0" applyNumberFormat="1" applyFont="1" applyFill="1" applyBorder="1"/>
    <x:xf numFmtId="202" fontId="13" fillId="4" borderId="1" xfId="0" applyNumberFormat="1" applyFont="1" applyFill="1" applyBorder="1" applyAlignment="1">
      <x:alignment horizontal="center"/>
    </x:xf>
    <x:xf numFmtId="204" fontId="13" fillId="4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/>
    </x:xf>
    <x:xf numFmtId="202" fontId="5" fillId="7" borderId="0" xfId="0" applyNumberFormat="1" applyFont="1" applyFill="1" applyBorder="1" applyAlignment="1">
      <x:alignment horizontal="center"/>
    </x:xf>
    <x:xf numFmtId="202" fontId="5" fillId="7" borderId="1" xfId="0" applyNumberFormat="1" applyFont="1" applyFill="1" applyBorder="1" applyAlignment="1">
      <x:alignment horizontal="center"/>
    </x:xf>
    <x:xf numFmtId="204" fontId="5" fillId="7" borderId="0" xfId="0" applyNumberFormat="1" applyFont="1" applyFill="1" applyBorder="1" applyAlignment="1">
      <x:alignment horizontal="center"/>
    </x:xf>
    <x:xf numFmtId="204" fontId="5" fillId="7" borderId="1" xfId="0" applyNumberFormat="1" applyFont="1" applyFill="1" applyBorder="1" applyAlignment="1">
      <x:alignment horizontal="center"/>
    </x:xf>
    <x:xf numFmtId="203" fontId="5" fillId="7" borderId="0" xfId="0" applyNumberFormat="1" applyFont="1" applyFill="1" applyBorder="1" applyAlignment="1">
      <x:alignment horizontal="center"/>
    </x:xf>
    <x:xf numFmtId="203" fontId="5" fillId="7" borderId="1" xfId="0" applyNumberFormat="1" applyFont="1" applyFill="1" applyBorder="1" applyAlignment="1">
      <x:alignment horizontal="center"/>
    </x:xf>
    <x:xf numFmtId="0" fontId="14" fillId="3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6" fillId="4" borderId="0" xfId="0" applyNumberFormat="1" applyFont="1" applyFill="1" applyBorder="1" applyAlignment="1">
      <x:alignment horizontal="center" vertical="center" wrapText="1"/>
    </x:xf>
    <x:xf numFmtId="0" fontId="17" fillId="5" borderId="0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horizontal="center"/>
    </x:xf>
    <x:xf numFmtId="0" fontId="19" fillId="4" borderId="0" xfId="0" applyNumberFormat="1" applyFont="1" applyFill="1" applyBorder="1" applyAlignment="1">
      <x:alignment vertical="top" wrapText="1"/>
    </x:xf>
    <x:xf numFmtId="0" fontId="20" fillId="2" borderId="0" xfId="0" applyNumberFormat="1" applyFont="1" applyFill="1" applyBorder="1" applyAlignment="1">
      <x:alignment horizontal="center"/>
    </x:xf>
    <x:xf numFmtId="0" fontId="19" fillId="4" borderId="0" xfId="0" applyNumberFormat="1" applyFont="1" applyFill="1" applyBorder="1" applyAlignment="1">
      <x:alignment wrapText="1"/>
    </x:xf>
    <x:xf numFmtId="0" fontId="21" fillId="7" borderId="0" xfId="0" applyNumberFormat="1" applyFont="1" applyFill="1" applyBorder="1" applyAlignment="1">
      <x:alignment horizontal="center" vertical="center" wrapText="1"/>
    </x:xf>
    <x:xf numFmtId="0" fontId="14" fillId="3" borderId="1" xfId="0" applyNumberFormat="1" applyFont="1" applyFill="1" applyBorder="1" applyAlignment="1">
      <x:alignment horizontal="center" vertical="center" wrapText="1"/>
    </x:xf>
    <x:xf numFmtId="0" fontId="15" fillId="0" borderId="1" xfId="0" applyNumberFormat="1" applyFont="1" applyFill="1" applyBorder="1"/>
    <x:xf numFmtId="0" fontId="16" fillId="4" borderId="1" xfId="0" applyNumberFormat="1" applyFont="1" applyFill="1" applyBorder="1" applyAlignment="1">
      <x:alignment horizontal="center" vertical="center" wrapText="1"/>
    </x:xf>
    <x:xf numFmtId="0" fontId="17" fillId="5" borderId="1" xfId="0" applyNumberFormat="1" applyFont="1" applyFill="1" applyBorder="1" applyAlignment="1">
      <x:alignment horizontal="center" vertical="center" wrapText="1"/>
    </x:xf>
    <x:xf numFmtId="0" fontId="18" fillId="6" borderId="1" xfId="0" applyNumberFormat="1" applyFont="1" applyFill="1" applyBorder="1" applyAlignment="1">
      <x:alignment horizontal="center"/>
    </x:xf>
    <x:xf numFmtId="0" fontId="19" fillId="4" borderId="1" xfId="0" applyNumberFormat="1" applyFont="1" applyFill="1" applyBorder="1" applyAlignment="1">
      <x:alignment vertical="top" wrapText="1"/>
    </x:xf>
    <x:xf numFmtId="0" fontId="20" fillId="2" borderId="1" xfId="0" applyNumberFormat="1" applyFont="1" applyFill="1" applyBorder="1" applyAlignment="1">
      <x:alignment horizontal="center"/>
    </x:xf>
    <x:xf numFmtId="0" fontId="19" fillId="4" borderId="1" xfId="0" applyNumberFormat="1" applyFont="1" applyFill="1" applyBorder="1" applyAlignment="1">
      <x:alignment wrapText="1"/>
    </x:xf>
    <x:xf numFmtId="0" fontId="21" fillId="7" borderId="1" xfId="0" applyNumberFormat="1" applyFont="1" applyFill="1" applyBorder="1" applyAlignment="1">
      <x:alignment horizontal="center" vertical="center" wrapText="1"/>
    </x:xf>
    <x:xf numFmtId="0" fontId="22" fillId="2" borderId="0" xfId="0" applyNumberFormat="1" applyFont="1" applyFill="1" applyBorder="1" applyAlignment="1">
      <x:alignment horizontal="center" vertical="center" wrapText="1"/>
    </x:xf>
    <x:xf numFmtId="0" fontId="23" fillId="4" borderId="0" xfId="0" applyNumberFormat="1" applyFont="1" applyFill="1" applyBorder="1" applyAlignment="1">
      <x:alignment vertical="top" wrapText="1"/>
    </x:xf>
    <x:xf numFmtId="0" fontId="17" fillId="8" borderId="0" xfId="0" applyNumberFormat="1" applyFont="1" applyFill="1" applyBorder="1" applyAlignment="1">
      <x:alignment vertical="top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22" fillId="2" borderId="1" xfId="0" applyNumberFormat="1" applyFont="1" applyFill="1" applyBorder="1" applyAlignment="1">
      <x:alignment horizontal="center" vertical="center" wrapText="1"/>
    </x:xf>
    <x:xf numFmtId="0" fontId="23" fillId="4" borderId="1" xfId="0" applyNumberFormat="1" applyFont="1" applyFill="1" applyBorder="1" applyAlignment="1">
      <x:alignment vertical="top" wrapText="1"/>
    </x:xf>
    <x:xf numFmtId="0" fontId="17" fillId="8" borderId="1" xfId="0" applyNumberFormat="1" applyFont="1" applyFill="1" applyBorder="1" applyAlignment="1">
      <x:alignment vertical="top" wrapText="1"/>
    </x:xf>
    <x:xf numFmtId="0" fontId="18" fillId="6" borderId="1" xfId="0" applyNumberFormat="1" applyFont="1" applyFill="1" applyBorder="1" applyAlignment="1">
      <x:alignment horizontal="center" vertical="center" wrapText="1"/>
    </x:xf>
    <x:xf numFmtId="0" fontId="18" fillId="4" borderId="0" xfId="0" applyNumberFormat="1" applyFont="1" applyFill="1" applyBorder="1" applyAlignment="1">
      <x:alignment wrapText="1"/>
    </x:xf>
    <x:xf numFmtId="0" fontId="24" fillId="9" borderId="0" xfId="0" applyNumberFormat="1" applyFont="1" applyFill="1" applyBorder="1" applyAlignment="1">
      <x:alignment horizontal="left" vertical="center" wrapText="1"/>
    </x:xf>
    <x:xf numFmtId="0" fontId="25" fillId="4" borderId="0" xfId="0" applyNumberFormat="1" applyFont="1" applyFill="1" applyBorder="1" applyAlignment="1">
      <x:alignment wrapText="1"/>
    </x:xf>
    <x:xf numFmtId="200" fontId="24" fillId="9" borderId="0" xfId="0" applyNumberFormat="1" applyFont="1" applyFill="1" applyBorder="1" applyAlignment="1">
      <x:alignment horizontal="left" vertical="center" wrapText="1"/>
    </x:xf>
    <x:xf numFmtId="201" fontId="24" fillId="9" borderId="0" xfId="0" applyNumberFormat="1" applyFont="1" applyFill="1" applyBorder="1" applyAlignment="1">
      <x:alignment horizontal="left" vertical="center" wrapText="1"/>
    </x:xf>
    <x:xf numFmtId="0" fontId="18" fillId="4" borderId="1" xfId="0" applyNumberFormat="1" applyFont="1" applyFill="1" applyBorder="1" applyAlignment="1">
      <x:alignment wrapText="1"/>
    </x:xf>
    <x:xf numFmtId="0" fontId="24" fillId="9" borderId="1" xfId="0" applyNumberFormat="1" applyFont="1" applyFill="1" applyBorder="1" applyAlignment="1">
      <x:alignment horizontal="left" vertical="center" wrapText="1"/>
    </x:xf>
    <x:xf numFmtId="0" fontId="25" fillId="4" borderId="1" xfId="0" applyNumberFormat="1" applyFont="1" applyFill="1" applyBorder="1" applyAlignment="1">
      <x:alignment wrapText="1"/>
    </x:xf>
    <x:xf numFmtId="200" fontId="24" fillId="9" borderId="1" xfId="0" applyNumberFormat="1" applyFont="1" applyFill="1" applyBorder="1" applyAlignment="1">
      <x:alignment horizontal="left" vertical="center" wrapText="1"/>
    </x:xf>
    <x:xf numFmtId="201" fontId="24" fillId="9" borderId="1" xfId="0" applyNumberFormat="1" applyFont="1" applyFill="1" applyBorder="1" applyAlignment="1">
      <x:alignment horizontal="left" vertical="center" wrapText="1"/>
    </x:xf>
    <x:xf numFmtId="0" fontId="18" fillId="6" borderId="0" xfId="0" applyNumberFormat="1" applyFont="1" applyFill="1" applyBorder="1" applyAlignment="1">
      <x:alignment horizontal="center" wrapText="1"/>
    </x:xf>
    <x:xf numFmtId="202" fontId="24" fillId="9" borderId="0" xfId="0" applyNumberFormat="1" applyFont="1" applyFill="1" applyBorder="1" applyAlignment="1">
      <x:alignment horizontal="left" vertical="center" wrapText="1"/>
    </x:xf>
    <x:xf numFmtId="203" fontId="24" fillId="9" borderId="0" xfId="0" applyNumberFormat="1" applyFont="1" applyFill="1" applyBorder="1" applyAlignment="1">
      <x:alignment horizontal="left" vertical="center" wrapText="1"/>
    </x:xf>
    <x:xf numFmtId="0" fontId="18" fillId="6" borderId="1" xfId="0" applyNumberFormat="1" applyFont="1" applyFill="1" applyBorder="1" applyAlignment="1">
      <x:alignment horizontal="center" wrapText="1"/>
    </x:xf>
    <x:xf numFmtId="202" fontId="24" fillId="9" borderId="1" xfId="0" applyNumberFormat="1" applyFont="1" applyFill="1" applyBorder="1" applyAlignment="1">
      <x:alignment horizontal="left" vertical="center" wrapText="1"/>
    </x:xf>
    <x:xf numFmtId="203" fontId="24" fillId="9" borderId="1" xfId="0" applyNumberFormat="1" applyFont="1" applyFill="1" applyBorder="1" applyAlignment="1">
      <x:alignment horizontal="left" vertical="center" wrapText="1"/>
    </x:xf>
    <x:xf numFmtId="0" fontId="23" fillId="10" borderId="0" xfId="0" applyNumberFormat="1" applyFont="1" applyFill="1" applyBorder="1" applyAlignment="1">
      <x:alignment horizontal="center" vertical="center" wrapText="1"/>
    </x:xf>
    <x:xf numFmtId="202" fontId="23" fillId="10" borderId="0" xfId="0" applyNumberFormat="1" applyFont="1" applyFill="1" applyBorder="1" applyAlignment="1">
      <x:alignment horizontal="center" vertical="center" wrapText="1"/>
    </x:xf>
    <x:xf numFmtId="204" fontId="23" fillId="10" borderId="0" xfId="0" applyNumberFormat="1" applyFont="1" applyFill="1" applyBorder="1" applyAlignment="1">
      <x:alignment horizontal="center" vertical="center" wrapText="1"/>
    </x:xf>
    <x:xf numFmtId="203" fontId="23" fillId="10" borderId="0" xfId="0" applyNumberFormat="1" applyFont="1" applyFill="1" applyBorder="1" applyAlignment="1">
      <x:alignment horizontal="center" vertical="center" wrapText="1"/>
    </x:xf>
    <x:xf numFmtId="0" fontId="23" fillId="10" borderId="1" xfId="0" applyNumberFormat="1" applyFont="1" applyFill="1" applyBorder="1" applyAlignment="1">
      <x:alignment horizontal="center" vertical="center" wrapText="1"/>
    </x:xf>
    <x:xf numFmtId="202" fontId="23" fillId="10" borderId="1" xfId="0" applyNumberFormat="1" applyFont="1" applyFill="1" applyBorder="1" applyAlignment="1">
      <x:alignment horizontal="center" vertical="center" wrapText="1"/>
    </x:xf>
    <x:xf numFmtId="204" fontId="23" fillId="10" borderId="1" xfId="0" applyNumberFormat="1" applyFont="1" applyFill="1" applyBorder="1" applyAlignment="1">
      <x:alignment horizontal="center" vertical="center" wrapText="1"/>
    </x:xf>
    <x:xf numFmtId="203" fontId="23" fillId="10" borderId="1" xfId="0" applyNumberFormat="1" applyFont="1" applyFill="1" applyBorder="1" applyAlignment="1">
      <x:alignment horizontal="center" vertical="center" wrapText="1"/>
    </x:xf>
    <x:xf numFmtId="0" fontId="26" fillId="4" borderId="0" xfId="0" applyNumberFormat="1" applyFont="1" applyFill="1" applyBorder="1" applyAlignment="1">
      <x:alignment horizontal="center"/>
    </x:xf>
    <x:xf numFmtId="202" fontId="27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0" fontId="19" fillId="4" borderId="0" xfId="0" applyNumberFormat="1" applyFont="1" applyFill="1" applyBorder="1" applyAlignment="1">
      <x:alignment vertical="center" wrapText="1"/>
    </x:xf>
    <x:xf numFmtId="202" fontId="18" fillId="7" borderId="0" xfId="0" applyNumberFormat="1" applyFont="1" applyFill="1" applyBorder="1" applyAlignment="1">
      <x:alignment horizontal="center"/>
    </x:xf>
    <x:xf numFmtId="0" fontId="18" fillId="4" borderId="0" xfId="0" applyNumberFormat="1" applyFont="1" applyFill="1" applyBorder="1" applyAlignment="1">
      <x:alignment horizontal="center"/>
    </x:xf>
    <x:xf numFmtId="204" fontId="18" fillId="7" borderId="0" xfId="0" applyNumberFormat="1" applyFont="1" applyFill="1" applyBorder="1" applyAlignment="1">
      <x:alignment horizontal="center"/>
    </x:xf>
    <x:xf numFmtId="203" fontId="18" fillId="7" borderId="0" xfId="0" applyNumberFormat="1" applyFont="1" applyFill="1" applyBorder="1" applyAlignment="1">
      <x:alignment horizontal="center"/>
    </x:xf>
    <x:xf numFmtId="0" fontId="26" fillId="4" borderId="1" xfId="0" applyNumberFormat="1" applyFont="1" applyFill="1" applyBorder="1" applyAlignment="1">
      <x:alignment horizontal="center"/>
    </x:xf>
    <x:xf numFmtId="202" fontId="27" fillId="4" borderId="1" xfId="0" applyNumberFormat="1" applyFont="1" applyFill="1" applyBorder="1" applyAlignment="1">
      <x:alignment horizontal="center"/>
    </x:xf>
    <x:xf numFmtId="204" fontId="27" fillId="4" borderId="1" xfId="0" applyNumberFormat="1" applyFont="1" applyFill="1" applyBorder="1" applyAlignment="1">
      <x:alignment horizontal="center"/>
    </x:xf>
    <x:xf numFmtId="0" fontId="19" fillId="4" borderId="1" xfId="0" applyNumberFormat="1" applyFont="1" applyFill="1" applyBorder="1" applyAlignment="1">
      <x:alignment vertical="center" wrapText="1"/>
    </x:xf>
    <x:xf numFmtId="202" fontId="18" fillId="7" borderId="1" xfId="0" applyNumberFormat="1" applyFont="1" applyFill="1" applyBorder="1" applyAlignment="1">
      <x:alignment horizontal="center"/>
    </x:xf>
    <x:xf numFmtId="0" fontId="18" fillId="4" borderId="1" xfId="0" applyNumberFormat="1" applyFont="1" applyFill="1" applyBorder="1" applyAlignment="1">
      <x:alignment horizontal="center"/>
    </x:xf>
    <x:xf numFmtId="204" fontId="18" fillId="7" borderId="1" xfId="0" applyNumberFormat="1" applyFont="1" applyFill="1" applyBorder="1" applyAlignment="1">
      <x:alignment horizontal="center"/>
    </x:xf>
    <x:xf numFmtId="203" fontId="18" fillId="7" borderId="1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/>
    </x:xf>
    <x:xf numFmtId="0" fontId="18" fillId="7" borderId="1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wrapText="1"/>
    </x:xf>
    <x:xf numFmtId="0" fontId="15" fillId="0" borderId="1" xfId="0" applyNumberFormat="1" applyFont="1" applyFill="1" applyBorder="1" applyAlignment="1">
      <x:alignment wrapText="1"/>
    </x:xf>
    <x:xf numFmtId="0" fontId="26" fillId="4" borderId="0" xfId="0" applyNumberFormat="1" applyFont="1" applyFill="1" applyBorder="1" applyAlignment="1">
      <x:alignment horizontal="center" vertical="center"/>
    </x:xf>
    <x:xf numFmtId="202" fontId="27" fillId="4" borderId="0" xfId="0" applyNumberFormat="1" applyFont="1" applyFill="1" applyBorder="1" applyAlignment="1">
      <x:alignment horizontal="center" vertical="center"/>
    </x:xf>
    <x:xf numFmtId="204" fontId="27" fillId="4" borderId="0" xfId="0" applyNumberFormat="1" applyFont="1" applyFill="1" applyBorder="1" applyAlignment="1">
      <x:alignment horizontal="center" vertical="center"/>
    </x:xf>
    <x:xf numFmtId="0" fontId="26" fillId="4" borderId="1" xfId="0" applyNumberFormat="1" applyFont="1" applyFill="1" applyBorder="1" applyAlignment="1">
      <x:alignment horizontal="center" vertical="center"/>
    </x:xf>
    <x:xf numFmtId="202" fontId="27" fillId="4" borderId="1" xfId="0" applyNumberFormat="1" applyFont="1" applyFill="1" applyBorder="1" applyAlignment="1">
      <x:alignment horizontal="center" vertical="center"/>
    </x:xf>
    <x:xf numFmtId="204" fontId="27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374151"/>
      </x:font>
      <x:fill>
        <x:patternFill patternType="solid">
          <x:bgColor rgb="E5E7EB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c399170824683" /><Relationship Type="http://schemas.openxmlformats.org/officeDocument/2006/relationships/theme" Target="/xl/theme/theme1.xml" Id="R8bc297e1f15b46a7" /><Relationship Type="http://schemas.openxmlformats.org/officeDocument/2006/relationships/sharedStrings" Target="/xl/sharedStrings.xml" Id="Refaa175a165e417f" /><Relationship Type="http://schemas.openxmlformats.org/officeDocument/2006/relationships/worksheet" Target="/xl/worksheets/sheet1.xml" Id="Rb3182bdd705b4b0c" /><Relationship Type="http://schemas.openxmlformats.org/officeDocument/2006/relationships/worksheet" Target="/xl/worksheets/sheet2.xml" Id="R1083a39bd44644ba" /><Relationship Type="http://schemas.openxmlformats.org/officeDocument/2006/relationships/worksheet" Target="/xl/worksheets/sheet3.xml" Id="Rf3f8247df30544dd" /><Relationship Type="http://schemas.openxmlformats.org/officeDocument/2006/relationships/worksheet" Target="/xl/worksheets/sheet4.xml" Id="R589745414b4b4aed" /><Relationship Type="http://schemas.openxmlformats.org/officeDocument/2006/relationships/worksheet" Target="/xl/worksheets/sheet5.xml" Id="R09baab07156a4cf4" /><Relationship Type="http://schemas.openxmlformats.org/officeDocument/2006/relationships/worksheet" Target="/xl/worksheets/sheet6.xml" Id="Rd6f49915d97c45a6" /><Relationship Type="http://schemas.openxmlformats.org/officeDocument/2006/relationships/worksheet" Target="/xl/worksheets/sheet7.xml" Id="R4ba32df2961a413d" /><Relationship Type="http://schemas.openxmlformats.org/officeDocument/2006/relationships/worksheet" Target="/xl/worksheets/sheet8.xml" Id="R78d4b7d24b1944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19bcad009b44b2" /><Relationship Type="http://schemas.openxmlformats.org/officeDocument/2006/relationships/chart" Target="/xl/drawings/charts/chart2.xml" Id="Re1db00757c2c41bc" /><Relationship Type="http://schemas.openxmlformats.org/officeDocument/2006/relationships/chart" Target="/xl/drawings/charts/chart3.xml" Id="Rd6c60f7e354e469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Ventas netas</c:v>
          </c:tx>
          <c:cat>
            <c:strRef>
              <c:f>'04 KPIs Automáticos'!$A$6:$A$17</c:f>
              <c:strCache>
                <c:ptCount val="0"/>
              </c:strCache>
            </c:strRef>
          </c:cat>
          <c:val>
            <c:numRef>
              <c:f>'04 KPIs Automáticos'!$B$6:$B$17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Utilidad neta</c:v>
          </c:tx>
          <c:cat>
            <c:strRef>
              <c:f>'04 KPIs Automáticos'!$A$6:$A$17</c:f>
              <c:strCache>
                <c:ptCount val="0"/>
              </c:strCache>
            </c:strRef>
          </c:cat>
          <c:val>
            <c:numRef>
              <c:f>'04 KPIs Automáticos'!$H$6:$H$17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Margen neto %</c:v>
          </c:tx>
          <c:cat>
            <c:strRef>
              <c:f>'04 KPIs Automáticos'!$A$6:$A$17</c:f>
              <c:strCache>
                <c:ptCount val="0"/>
              </c:strCache>
            </c:strRef>
          </c:cat>
          <c:val>
            <c:numRef>
              <c:f>'04 KPIs Automáticos'!$I$6:$I$17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Retención clientes %</c:v>
          </c:tx>
          <c:cat>
            <c:strRef>
              <c:f>'04 KPIs Automáticos'!$A$6:$A$17</c:f>
              <c:strCache>
                <c:ptCount val="0"/>
              </c:strCache>
            </c:strRef>
          </c:cat>
          <c:val>
            <c:numRef>
              <c:f>'04 KPIs Automáticos'!$P$6:$P$17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Clientes nuevos</c:v>
          </c:tx>
          <c:cat>
            <c:strRef>
              <c:f>'04 KPIs Automáticos'!$A$6:$A$17</c:f>
              <c:strCache>
                <c:ptCount val="0"/>
              </c:strCache>
            </c:strRef>
          </c:cat>
          <c:val>
            <c:numRef>
              <c:f>'04 KPIs Automáticos'!$O$6:$O$17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19bcad009b44b2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db00757c2c41bc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c60f7e354e469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CapturaMensual" displayName="TablaCapturaMensual" ref="A5:N17" headerRowCount="1">
  <x:tableColumns count="14">
    <x:tableColumn id="1" name="Mes"/>
    <x:tableColumn id="2" name="Meta ventas"/>
    <x:tableColumn id="3" name="Ventas netas"/>
    <x:tableColumn id="4" name="Costo de ventas"/>
    <x:tableColumn id="5" name="Gastos operativos"/>
    <x:tableColumn id="6" name="Gasto marketing"/>
    <x:tableColumn id="7" name="Clientes nuevos"/>
    <x:tableColumn id="8" name="Clientes al inicio"/>
    <x:tableColumn id="9" name="Clientes perdidos"/>
    <x:tableColumn id="10" name="Transacciones"/>
    <x:tableColumn id="11" name="Empleados"/>
    <x:tableColumn id="12" name="CxC inicial"/>
    <x:tableColumn id="13" name="Cobranza del mes"/>
    <x:tableColumn id="14" name="Capital invertido"/>
  </x:tableColumns>
  <x:tableStyleInfo name="TableStyleMedium2" showRowStripes="1"/>
</x:table>
</file>

<file path=xl/tables/table2.xml><?xml version="1.0" encoding="utf-8"?>
<x:table xmlns:x="http://schemas.openxmlformats.org/spreadsheetml/2006/main" id="2" name="TablaKPIsAutomaticos" displayName="TablaKPIsAutomaticos" ref="A5:P17" headerRowCount="1">
  <x:tableColumns count="16">
    <x:tableColumn id="1" name="Mes"/>
    <x:tableColumn id="2" name="Ventas netas"/>
    <x:tableColumn id="3" name="Crecimiento ventas %"/>
    <x:tableColumn id="4" name="Cumplimiento meta %"/>
    <x:tableColumn id="5" name="Ticket promedio"/>
    <x:tableColumn id="6" name="Utilidad bruta"/>
    <x:tableColumn id="7" name="Margen bruto %"/>
    <x:tableColumn id="8" name="Utilidad neta"/>
    <x:tableColumn id="9" name="Margen neto %"/>
    <x:tableColumn id="10" name="ROI marketing"/>
    <x:tableColumn id="11" name="Gastos operativos"/>
    <x:tableColumn id="12" name="Gastos/Ventas %"/>
    <x:tableColumn id="13" name="Productividad empleado"/>
    <x:tableColumn id="14" name="Eficiencia cobranza %"/>
    <x:tableColumn id="15" name="Clientes nuevos"/>
    <x:tableColumn id="16" name="Retención clientes %"/>
  </x:tableColumns>
  <x:tableStyleInfo name="TableStyleMedium2" showRowStripes="1"/>
</x:table>
</file>

<file path=xl/tables/table3.xml><?xml version="1.0" encoding="utf-8"?>
<x:table xmlns:x="http://schemas.openxmlformats.org/spreadsheetml/2006/main" id="5" name="TablaDashboardKPIs" displayName="TablaDashboardKPIs" ref="A8:F23" headerRowCount="1">
  <x:tableColumns count="6">
    <x:tableColumn id="1" name="Área"/>
    <x:tableColumn id="2" name="Indicador"/>
    <x:tableColumn id="3" name="Resultado actual"/>
    <x:tableColumn id="4" name="Referencia"/>
    <x:tableColumn id="5" name="Estado"/>
    <x:tableColumn id="6" name="Lectura ejecutiva"/>
  </x:tableColumns>
  <x:tableStyleInfo name="TableStyleMedium2" showRowStripes="1"/>
</x:table>
</file>

<file path=xl/tables/table4.xml><?xml version="1.0" encoding="utf-8"?>
<x:table xmlns:x="http://schemas.openxmlformats.org/spreadsheetml/2006/main" id="3" name="TablaAnalisisEjecutivo" displayName="TablaAnalisisEjecutivo" ref="A5:C11" headerRowCount="1">
  <x:tableColumns count="3">
    <x:tableColumn id="1" name="Indicador ejecutivo"/>
    <x:tableColumn id="2" name="Resultado"/>
    <x:tableColumn id="3" name="Lectura"/>
  </x:tableColumns>
  <x:tableStyleInfo name="TableStyleMedium2" showRowStripes="1"/>
</x:table>
</file>

<file path=xl/tables/table5.xml><?xml version="1.0" encoding="utf-8"?>
<x:table xmlns:x="http://schemas.openxmlformats.org/spreadsheetml/2006/main" id="4" name="TablaRecomendaciones" displayName="TablaRecomendaciones" ref="A14:D18" headerRowCount="1">
  <x:tableColumns count="4">
    <x:tableColumn id="1" name="Área"/>
    <x:tableColumn id="2" name="Riesgo detectado"/>
    <x:tableColumn id="3" name="Acción sugerida"/>
    <x:tableColumn id="4" name="Prior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81b2d0acee04c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75368acaa9a42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cbf614391c4d42a5" /><Relationship Type="http://schemas.openxmlformats.org/officeDocument/2006/relationships/table" Target="/xl/tables/table3.xml" Id="R806161d7b00648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acc272a8c8a4709" /><Relationship Type="http://schemas.openxmlformats.org/officeDocument/2006/relationships/table" Target="/xl/tables/table5.xml" Id="R6bd3ef0972384d6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5" hidden="0" customWidth="1"/>
    <x:col min="4" max="4" width="4" hidden="0" customWidth="1"/>
    <x:col min="5" max="5" width="8" hidden="0" customWidth="1"/>
    <x:col min="6" max="6" width="36" hidden="0" customWidth="1"/>
    <x:col min="7" max="7" width="16" hidden="0" customWidth="1"/>
    <x:col min="8" max="8" width="16" hidden="0" customWidth="1"/>
  </x:cols>
  <x:sheetData>
    <x:row r="1" ht="34" customHeight="1">
      <x:c r="A1" s="162" t="str">
        <x:v>KPIs EJECUTIVO DASHBOARD</x:v>
      </x:c>
      <x:c r="B1" s="162"/>
      <x:c r="C1" s="162"/>
      <x:c r="D1" s="162"/>
      <x:c r="E1" s="162"/>
      <x:c r="F1" s="162"/>
      <x:c r="G1" s="162"/>
      <x:c r="H1" s="162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 ht="34" customHeight="1">
      <x:c r="A2" s="162"/>
      <x:c r="B2" s="162"/>
      <x:c r="C2" s="162"/>
      <x:c r="D2" s="162"/>
      <x:c r="E2" s="162"/>
      <x:c r="F2" s="162"/>
      <x:c r="G2" s="162"/>
      <x:c r="H2" s="162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 ht="42" customHeight="1">
      <x:c r="A3" s="164" t="str">
        <x:v>Panel visual con los 15 indicadores clave de tu negocio: ventas, rentabilidad, eficiencia operativa y crecimiento. Actualización automática para tomar decisiones con datos reales.</x:v>
      </x:c>
      <x:c r="B3" s="164"/>
      <x:c r="C3" s="164"/>
      <x:c r="D3" s="164"/>
      <x:c r="E3" s="164"/>
      <x:c r="F3" s="164"/>
      <x:c r="G3" s="164"/>
      <x:c r="H3" s="164"/>
      <x:c r="I3" s="163"/>
      <x:c r="J3" s="163"/>
      <x:c r="K3" s="163"/>
      <x:c r="L3" s="163"/>
      <x:c r="M3" s="163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 ht="42" customHeight="1">
      <x:c r="A4" s="164"/>
      <x:c r="B4" s="164"/>
      <x:c r="C4" s="164"/>
      <x:c r="D4" s="164"/>
      <x:c r="E4" s="164"/>
      <x:c r="F4" s="164"/>
      <x:c r="G4" s="164"/>
      <x:c r="H4" s="164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>
      <x:c r="A5" s="163"/>
      <x:c r="B5" s="163"/>
      <x:c r="C5" s="163"/>
      <x:c r="D5" s="163"/>
      <x:c r="E5" s="163"/>
      <x:c r="F5" s="163"/>
      <x:c r="G5" s="163"/>
      <x:c r="H5" s="163"/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 ht="25" customHeight="1">
      <x:c r="A6" s="165" t="str">
        <x:v>Incluye</x:v>
      </x:c>
      <x:c r="B6" s="165"/>
      <x:c r="C6" s="165"/>
      <x:c r="D6" s="163"/>
      <x:c r="E6" s="165" t="str">
        <x:v>Ruta de uso recomendada</x:v>
      </x:c>
      <x:c r="F6" s="165"/>
      <x:c r="G6" s="165"/>
      <x:c r="H6" s="165"/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>
      <x:c r="A7" s="166" t="str">
        <x:v>01</x:v>
      </x:c>
      <x:c r="B7" s="167" t="str">
        <x:v>Captura mensual</x:v>
      </x:c>
      <x:c r="C7" s="167" t="str">
        <x:v>Registra ventas, costos, gastos, clientes, cobranza y recursos.</x:v>
      </x:c>
      <x:c r="D7" s="163"/>
      <x:c r="E7" s="168" t="str">
        <x:v>1</x:v>
      </x:c>
      <x:c r="F7" s="169" t="str">
        <x:v>Configura empresa, año y mes</x:v>
      </x:c>
      <x:c r="G7" s="163"/>
      <x:c r="H7" s="163"/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>
      <x:c r="A8" s="166" t="str">
        <x:v>02</x:v>
      </x:c>
      <x:c r="B8" s="167" t="str">
        <x:v>15 KPIs automáticos</x:v>
      </x:c>
      <x:c r="C8" s="167" t="str">
        <x:v>El archivo calcula ventas, margen, rentabilidad, eficiencia y crecimiento.</x:v>
      </x:c>
      <x:c r="D8" s="163"/>
      <x:c r="E8" s="168" t="str">
        <x:v>2</x:v>
      </x:c>
      <x:c r="F8" s="169" t="str">
        <x:v>Captura datos mensuales</x:v>
      </x:c>
      <x:c r="G8" s="163"/>
      <x:c r="H8" s="163"/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>
      <x:c r="A9" s="166" t="str">
        <x:v>03</x:v>
      </x:c>
      <x:c r="B9" s="167" t="str">
        <x:v>Dashboard ejecutivo</x:v>
      </x:c>
      <x:c r="C9" s="167" t="str">
        <x:v>Panel visual con semáforos, KPIs y gráficas de tendencia.</x:v>
      </x:c>
      <x:c r="D9" s="163"/>
      <x:c r="E9" s="168" t="str">
        <x:v>3</x:v>
      </x:c>
      <x:c r="F9" s="169" t="str">
        <x:v>Revisa KPIs automáticos</x:v>
      </x:c>
      <x:c r="G9" s="163"/>
      <x:c r="H9" s="163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>
      <x:c r="A10" s="166" t="str">
        <x:v>04</x:v>
      </x:c>
      <x:c r="B10" s="167" t="str">
        <x:v>Análisis ejecutivo</x:v>
      </x:c>
      <x:c r="C10" s="167" t="str">
        <x:v>Detecta puntos críticos, mejores meses y recomendaciones.</x:v>
      </x:c>
      <x:c r="D10" s="163"/>
      <x:c r="E10" s="168" t="str">
        <x:v>4</x:v>
      </x:c>
      <x:c r="F10" s="169" t="str">
        <x:v>Analiza el dashboard</x:v>
      </x:c>
      <x:c r="G10" s="163"/>
      <x:c r="H10" s="163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>
      <x:c r="A11" s="163"/>
      <x:c r="B11" s="163"/>
      <x:c r="C11" s="163"/>
      <x:c r="D11" s="163"/>
      <x:c r="E11" s="168" t="str">
        <x:v>5</x:v>
      </x:c>
      <x:c r="F11" s="169" t="str">
        <x:v>Toma decisiones y ajusta el plan</x:v>
      </x:c>
      <x:c r="G11" s="163"/>
      <x:c r="H11" s="163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>
      <x:c r="A12" s="163"/>
      <x:c r="B12" s="163"/>
      <x:c r="C12" s="163"/>
      <x:c r="D12" s="163"/>
      <x:c r="E12" s="163"/>
      <x:c r="F12" s="163"/>
      <x:c r="G12" s="163"/>
      <x:c r="H12" s="163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 ht="35" customHeight="1">
      <x:c r="A13" s="170" t="str">
        <x:v>Herramienta editable para tu software ICADEM VIP. Las celdas de captura están en azul. Las celdas grises contienen fórmulas automáticas y no se recomienda modificarlas.</x:v>
      </x:c>
      <x:c r="B13" s="170"/>
      <x:c r="C13" s="170"/>
      <x:c r="D13" s="170"/>
      <x:c r="E13" s="170"/>
      <x:c r="F13" s="170"/>
      <x:c r="G13" s="170"/>
      <x:c r="H13" s="170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 ht="35" customHeight="1">
      <x:c r="A14" s="170"/>
      <x:c r="B14" s="170"/>
      <x:c r="C14" s="170"/>
      <x:c r="D14" s="170"/>
      <x:c r="E14" s="170"/>
      <x:c r="F14" s="170"/>
      <x:c r="G14" s="170"/>
      <x:c r="H14" s="170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 ht="35" customHeight="1">
      <x:c r="A15" s="170"/>
      <x:c r="B15" s="170"/>
      <x:c r="C15" s="170"/>
      <x:c r="D15" s="170"/>
      <x:c r="E15" s="170"/>
      <x:c r="F15" s="170"/>
      <x:c r="G15" s="170"/>
      <x:c r="H15" s="170"/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>
      <x:c r="A16" s="163"/>
      <x:c r="B16" s="163"/>
      <x:c r="C16" s="163"/>
      <x:c r="D16" s="163"/>
      <x:c r="E16" s="163"/>
      <x:c r="F16" s="163"/>
      <x:c r="G16" s="163"/>
      <x:c r="H16" s="163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>
      <x:c r="A17" s="163"/>
      <x:c r="B17" s="163"/>
      <x:c r="C17" s="163"/>
      <x:c r="D17" s="163"/>
      <x:c r="E17" s="163"/>
      <x:c r="F17" s="163"/>
      <x:c r="G17" s="163"/>
      <x:c r="H17" s="163"/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>
      <x:c r="A18" s="163"/>
      <x:c r="B18" s="163"/>
      <x:c r="C18" s="163"/>
      <x:c r="D18" s="163"/>
      <x:c r="E18" s="163"/>
      <x:c r="F18" s="163"/>
      <x:c r="G18" s="163"/>
      <x:c r="H18" s="163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>
      <x:c r="A19" s="163"/>
      <x:c r="B19" s="163"/>
      <x:c r="C19" s="163"/>
      <x:c r="D19" s="163"/>
      <x:c r="E19" s="163"/>
      <x:c r="F19" s="163"/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>
      <x:c r="A20" s="163"/>
      <x:c r="B20" s="163"/>
      <x:c r="C20" s="163"/>
      <x:c r="D20" s="163"/>
      <x:c r="E20" s="163"/>
      <x:c r="F20" s="163"/>
      <x:c r="G20" s="163"/>
      <x:c r="H20" s="16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>
      <x:c r="A21" s="163"/>
      <x:c r="B21" s="163"/>
      <x:c r="C21" s="163"/>
      <x:c r="D21" s="163"/>
      <x:c r="E21" s="163"/>
      <x:c r="F21" s="163"/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>
      <x:c r="A22" s="163"/>
      <x:c r="B22" s="163"/>
      <x:c r="C22" s="163"/>
      <x:c r="D22" s="163"/>
      <x:c r="E22" s="163"/>
      <x:c r="F22" s="163"/>
      <x:c r="G22" s="163"/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>
      <x:c r="A23" s="163"/>
      <x:c r="B23" s="163"/>
      <x:c r="C23" s="163"/>
      <x:c r="D23" s="163"/>
      <x:c r="E23" s="163"/>
      <x:c r="F23" s="163"/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>
      <x:c r="A24" s="163"/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>
      <x:c r="A25" s="163"/>
      <x:c r="B25" s="163"/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>
      <x:c r="A26" s="163"/>
      <x:c r="B26" s="163"/>
      <x:c r="C26" s="163"/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>
      <x:c r="A27" s="163"/>
      <x:c r="B27" s="163"/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>
      <x:c r="A28" s="163"/>
      <x:c r="B28" s="163"/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>
      <x:c r="A29" s="163"/>
      <x:c r="B29" s="163"/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</x:sheetData>
  <x:mergeCells>
    <x:mergeCell ref="A1:H2"/>
    <x:mergeCell ref="A3:H4"/>
    <x:mergeCell ref="A6:C6"/>
    <x:mergeCell ref="E6:H6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2" hidden="0" customWidth="1"/>
    <x:col min="4" max="4" width="34" hidden="0" customWidth="1"/>
    <x:col min="5" max="5" width="34" hidden="0" customWidth="1"/>
    <x:col min="6" max="6" width="34" hidden="0" customWidth="1"/>
    <x:col min="7" max="7" width="20" hidden="0" customWidth="1"/>
    <x:col min="8" max="8" width="14" hidden="0" customWidth="1"/>
  </x:cols>
  <x:sheetData>
    <x:row r="1">
      <x:c r="A1" s="162" t="str">
        <x:v>GUÍA DE USO · KPIs Ejecutivo Dashboard</x:v>
      </x:c>
      <x:c r="B1" s="162"/>
      <x:c r="C1" s="162"/>
      <x:c r="D1" s="162"/>
      <x:c r="E1" s="162"/>
      <x:c r="F1" s="162"/>
      <x:c r="G1" s="162"/>
      <x:c r="H1" s="162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>
      <x:c r="A2" s="162"/>
      <x:c r="B2" s="162"/>
      <x:c r="C2" s="162"/>
      <x:c r="D2" s="162"/>
      <x:c r="E2" s="162"/>
      <x:c r="F2" s="162"/>
      <x:c r="G2" s="162"/>
      <x:c r="H2" s="162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>
      <x:c r="A3" s="163"/>
      <x:c r="B3" s="163"/>
      <x:c r="C3" s="163"/>
      <x:c r="D3" s="163"/>
      <x:c r="E3" s="163"/>
      <x:c r="F3" s="163"/>
      <x:c r="G3" s="163"/>
      <x:c r="H3" s="163"/>
      <x:c r="I3" s="163"/>
      <x:c r="J3" s="163"/>
      <x:c r="K3" s="163"/>
      <x:c r="L3" s="163"/>
      <x:c r="M3" s="163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>
      <x:c r="A4" s="180" t="str">
        <x:v>Paso</x:v>
      </x:c>
      <x:c r="B4" s="180" t="str">
        <x:v>Hoja</x:v>
      </x:c>
      <x:c r="C4" s="180" t="str">
        <x:v>Qué hacer</x:v>
      </x:c>
      <x:c r="D4" s="180" t="str">
        <x:v>Qué debe capturar el usuario</x:v>
      </x:c>
      <x:c r="E4" s="180" t="str">
        <x:v>Qué se calcula automáticamente</x:v>
      </x:c>
      <x:c r="F4" s="180" t="str">
        <x:v>Recomendación</x:v>
      </x:c>
      <x:c r="G4" s="180" t="str">
        <x:v>Color guía</x:v>
      </x:c>
      <x:c r="H4" s="180" t="str">
        <x:v>Nivel</x:v>
      </x:c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>
      <x:c r="A5" s="181" t="str">
        <x:v>1</x:v>
      </x:c>
      <x:c r="B5" s="181" t="str">
        <x:v>02 Configuración</x:v>
      </x:c>
      <x:c r="C5" s="181" t="str">
        <x:v>Personalizar la herramienta</x:v>
      </x:c>
      <x:c r="D5" s="181" t="str">
        <x:v>Empresa, año, mes seleccionado y metas</x:v>
      </x:c>
      <x:c r="E5" s="181" t="str">
        <x:v>Referencias para semáforos</x:v>
      </x:c>
      <x:c r="F5" s="181" t="str">
        <x:v>Revisar antes de capturar datos</x:v>
      </x:c>
      <x:c r="G5" s="182" t="str">
        <x:v>Azul = editable</x:v>
      </x:c>
      <x:c r="H5" s="181" t="str">
        <x:v>Básico</x:v>
      </x:c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>
      <x:c r="A6" s="181" t="str">
        <x:v>2</x:v>
      </x:c>
      <x:c r="B6" s="181" t="str">
        <x:v>03 Captura Mensual</x:v>
      </x:c>
      <x:c r="C6" s="181" t="str">
        <x:v>Registrar información del negocio</x:v>
      </x:c>
      <x:c r="D6" s="181" t="str">
        <x:v>Ventas, costos, gastos, clientes, cobranza y empleados</x:v>
      </x:c>
      <x:c r="E6" s="181" t="str">
        <x:v>La base para los 15 KPIs</x:v>
      </x:c>
      <x:c r="F6" s="181" t="str">
        <x:v>Llenar un mes por fila</x:v>
      </x:c>
      <x:c r="G6" s="182" t="str">
        <x:v>Azul = editable</x:v>
      </x:c>
      <x:c r="H6" s="181" t="str">
        <x:v>Básico</x:v>
      </x:c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>
      <x:c r="A7" s="181" t="str">
        <x:v>3</x:v>
      </x:c>
      <x:c r="B7" s="181" t="str">
        <x:v>04 KPIs Automáticos</x:v>
      </x:c>
      <x:c r="C7" s="181" t="str">
        <x:v>Revisar indicadores calculados</x:v>
      </x:c>
      <x:c r="D7" s="181" t="str">
        <x:v>No capturar en esta hoja</x:v>
      </x:c>
      <x:c r="E7" s="181" t="str">
        <x:v>15 indicadores por mes</x:v>
      </x:c>
      <x:c r="F7" s="181" t="str">
        <x:v>No modificar fórmulas</x:v>
      </x:c>
      <x:c r="G7" s="182" t="str">
        <x:v>Gris = fórmula</x:v>
      </x:c>
      <x:c r="H7" s="181" t="str">
        <x:v>Intermedio</x:v>
      </x:c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>
      <x:c r="A8" s="181" t="str">
        <x:v>4</x:v>
      </x:c>
      <x:c r="B8" s="181" t="str">
        <x:v>05 Dashboard Ejecutivo</x:v>
      </x:c>
      <x:c r="C8" s="181" t="str">
        <x:v>Analizar desempeño</x:v>
      </x:c>
      <x:c r="D8" s="181" t="str">
        <x:v>Solo elegir mes desde Configuración</x:v>
      </x:c>
      <x:c r="E8" s="181" t="str">
        <x:v>KPIs, semáforos y gráficas</x:v>
      </x:c>
      <x:c r="F8" s="181" t="str">
        <x:v>Usar para presentar avances</x:v>
      </x:c>
      <x:c r="G8" s="182" t="str">
        <x:v>Semáforo KPI</x:v>
      </x:c>
      <x:c r="H8" s="181" t="str">
        <x:v>Avanzado</x:v>
      </x:c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>
      <x:c r="A9" s="181" t="str">
        <x:v>5</x:v>
      </x:c>
      <x:c r="B9" s="181" t="str">
        <x:v>06 Análisis Ejecutivo</x:v>
      </x:c>
      <x:c r="C9" s="181" t="str">
        <x:v>Tomar decisiones</x:v>
      </x:c>
      <x:c r="D9" s="181" t="str">
        <x:v>No capturar en esta hoja</x:v>
      </x:c>
      <x:c r="E9" s="181" t="str">
        <x:v>Mejor mes, mes crítico y recomendaciones</x:v>
      </x:c>
      <x:c r="F9" s="181" t="str">
        <x:v>Revisar antes de decidir</x:v>
      </x:c>
      <x:c r="G9" s="182" t="str">
        <x:v>Gris = fórmula</x:v>
      </x:c>
      <x:c r="H9" s="181" t="str">
        <x:v>Avanzado</x:v>
      </x:c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>
      <x:c r="A10" s="163"/>
      <x:c r="B10" s="163"/>
      <x:c r="C10" s="163"/>
      <x:c r="D10" s="163"/>
      <x:c r="E10" s="163"/>
      <x:c r="F10" s="163"/>
      <x:c r="G10" s="163"/>
      <x:c r="H10" s="163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>
      <x:c r="A11" s="183" t="str">
        <x:v>Leyenda rápida: Azul = campos editables · Gris = fórmulas automáticas · Verde = resultado saludable · Amarillo = revisar · Rojo = requiere acción inmediata.</x:v>
      </x:c>
      <x:c r="B11" s="183"/>
      <x:c r="C11" s="183"/>
      <x:c r="D11" s="183"/>
      <x:c r="E11" s="183"/>
      <x:c r="F11" s="183"/>
      <x:c r="G11" s="183"/>
      <x:c r="H11" s="183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>
      <x:c r="A12" s="183"/>
      <x:c r="B12" s="183"/>
      <x:c r="C12" s="183"/>
      <x:c r="D12" s="183"/>
      <x:c r="E12" s="183"/>
      <x:c r="F12" s="183"/>
      <x:c r="G12" s="183"/>
      <x:c r="H12" s="183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>
      <x:c r="A13" s="163"/>
      <x:c r="B13" s="163"/>
      <x:c r="C13" s="163"/>
      <x:c r="D13" s="163"/>
      <x:c r="E13" s="163"/>
      <x:c r="F13" s="163"/>
      <x:c r="G13" s="163"/>
      <x:c r="H13" s="163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>
      <x:c r="A14" s="163"/>
      <x:c r="B14" s="163"/>
      <x:c r="C14" s="163"/>
      <x:c r="D14" s="163"/>
      <x:c r="E14" s="163"/>
      <x:c r="F14" s="163"/>
      <x:c r="G14" s="163"/>
      <x:c r="H14" s="163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>
      <x:c r="A15" s="163"/>
      <x:c r="B15" s="163"/>
      <x:c r="C15" s="163"/>
      <x:c r="D15" s="163"/>
      <x:c r="E15" s="163"/>
      <x:c r="F15" s="163"/>
      <x:c r="G15" s="163"/>
      <x:c r="H15" s="163"/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>
      <x:c r="A16" s="163"/>
      <x:c r="B16" s="163"/>
      <x:c r="C16" s="163"/>
      <x:c r="D16" s="163"/>
      <x:c r="E16" s="163"/>
      <x:c r="F16" s="163"/>
      <x:c r="G16" s="163"/>
      <x:c r="H16" s="163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>
      <x:c r="A17" s="163"/>
      <x:c r="B17" s="163"/>
      <x:c r="C17" s="163"/>
      <x:c r="D17" s="163"/>
      <x:c r="E17" s="163"/>
      <x:c r="F17" s="163"/>
      <x:c r="G17" s="163"/>
      <x:c r="H17" s="163"/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>
      <x:c r="A18" s="163"/>
      <x:c r="B18" s="163"/>
      <x:c r="C18" s="163"/>
      <x:c r="D18" s="163"/>
      <x:c r="E18" s="163"/>
      <x:c r="F18" s="163"/>
      <x:c r="G18" s="163"/>
      <x:c r="H18" s="163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>
      <x:c r="A19" s="163"/>
      <x:c r="B19" s="163"/>
      <x:c r="C19" s="163"/>
      <x:c r="D19" s="163"/>
      <x:c r="E19" s="163"/>
      <x:c r="F19" s="163"/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>
      <x:c r="A20" s="163"/>
      <x:c r="B20" s="163"/>
      <x:c r="C20" s="163"/>
      <x:c r="D20" s="163"/>
      <x:c r="E20" s="163"/>
      <x:c r="F20" s="163"/>
      <x:c r="G20" s="163"/>
      <x:c r="H20" s="16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>
      <x:c r="A21" s="163"/>
      <x:c r="B21" s="163"/>
      <x:c r="C21" s="163"/>
      <x:c r="D21" s="163"/>
      <x:c r="E21" s="163"/>
      <x:c r="F21" s="163"/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>
      <x:c r="A22" s="163"/>
      <x:c r="B22" s="163"/>
      <x:c r="C22" s="163"/>
      <x:c r="D22" s="163"/>
      <x:c r="E22" s="163"/>
      <x:c r="F22" s="163"/>
      <x:c r="G22" s="163"/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>
      <x:c r="A23" s="163"/>
      <x:c r="B23" s="163"/>
      <x:c r="C23" s="163"/>
      <x:c r="D23" s="163"/>
      <x:c r="E23" s="163"/>
      <x:c r="F23" s="163"/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>
      <x:c r="A24" s="163"/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>
      <x:c r="A25" s="163"/>
      <x:c r="B25" s="163"/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>
      <x:c r="A26" s="163"/>
      <x:c r="B26" s="163"/>
      <x:c r="C26" s="163"/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>
      <x:c r="A27" s="163"/>
      <x:c r="B27" s="163"/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>
      <x:c r="A28" s="163"/>
      <x:c r="B28" s="163"/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>
      <x:c r="A29" s="163"/>
      <x:c r="B29" s="163"/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</x:sheetData>
  <x:mergeCells>
    <x:mergeCell ref="A1:H2"/>
    <x:mergeCell ref="A11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0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162" t="str">
        <x:v>CONFIGURACIÓN GENERAL</x:v>
      </x:c>
      <x:c r="B1" s="162"/>
      <x:c r="C1" s="162"/>
      <x:c r="D1" s="162"/>
      <x:c r="E1" s="162"/>
      <x:c r="F1" s="162"/>
      <x:c r="G1" s="163"/>
      <x:c r="H1" s="163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>
      <x:c r="A2" s="162"/>
      <x:c r="B2" s="162"/>
      <x:c r="C2" s="162"/>
      <x:c r="D2" s="162"/>
      <x:c r="E2" s="162"/>
      <x:c r="F2" s="162"/>
      <x:c r="G2" s="163"/>
      <x:c r="H2" s="163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>
      <x:c r="A3" s="163"/>
      <x:c r="B3" s="163"/>
      <x:c r="C3" s="163"/>
      <x:c r="D3" s="163"/>
      <x:c r="E3" s="163"/>
      <x:c r="F3" s="163"/>
      <x:c r="G3" s="163"/>
      <x:c r="H3" s="163"/>
      <x:c r="I3" s="163"/>
      <x:c r="J3" s="163"/>
      <x:c r="K3" s="163"/>
      <x:c r="L3" s="163"/>
      <x:c r="M3" s="163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>
      <x:c r="A4" s="180" t="str">
        <x:v>Campo</x:v>
      </x:c>
      <x:c r="B4" s="180" t="str">
        <x:v>Valor editable</x:v>
      </x:c>
      <x:c r="C4" s="180" t="str">
        <x:v>Descripción</x:v>
      </x:c>
      <x:c r="D4" s="163"/>
      <x:c r="E4" s="163"/>
      <x:c r="F4" s="163"/>
      <x:c r="G4" s="163"/>
      <x:c r="H4" s="163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>
      <x:c r="A5" s="188" t="str">
        <x:v>Empresa</x:v>
      </x:c>
      <x:c r="B5" s="189" t="str">
        <x:v>ICADEM / Tu empresa</x:v>
      </x:c>
      <x:c r="C5" s="190" t="str">
        <x:v>Nombre que aparecerá en el dashboard.</x:v>
      </x:c>
      <x:c r="D5" s="163"/>
      <x:c r="E5" s="163"/>
      <x:c r="F5" s="163"/>
      <x:c r="G5" s="163"/>
      <x:c r="H5" s="163"/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>
      <x:c r="A6" s="188" t="str">
        <x:v>Año de análisis</x:v>
      </x:c>
      <x:c r="B6" s="189" t="n">
        <x:v>2026</x:v>
      </x:c>
      <x:c r="C6" s="190" t="str">
        <x:v>Año del dashboard.</x:v>
      </x:c>
      <x:c r="D6" s="163"/>
      <x:c r="E6" s="163"/>
      <x:c r="F6" s="163"/>
      <x:c r="G6" s="163"/>
      <x:c r="H6" s="163"/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>
      <x:c r="A7" s="188" t="str">
        <x:v>Mes seleccionado</x:v>
      </x:c>
      <x:c r="B7" s="189" t="str">
        <x:v>Mayo</x:v>
      </x:c>
      <x:c r="C7" s="190" t="str">
        <x:v>Mes que se mostrará en el dashboard ejecutivo.</x:v>
      </x:c>
      <x:c r="D7" s="163"/>
      <x:c r="E7" s="163"/>
      <x:c r="F7" s="163"/>
      <x:c r="G7" s="163"/>
      <x:c r="H7" s="163"/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>
      <x:c r="A8" s="188" t="str">
        <x:v>Moneda</x:v>
      </x:c>
      <x:c r="B8" s="189" t="str">
        <x:v>MXN</x:v>
      </x:c>
      <x:c r="C8" s="190" t="str">
        <x:v>Moneda para los importes.</x:v>
      </x:c>
      <x:c r="D8" s="163"/>
      <x:c r="E8" s="163"/>
      <x:c r="F8" s="163"/>
      <x:c r="G8" s="163"/>
      <x:c r="H8" s="163"/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>
      <x:c r="A9" s="188" t="str">
        <x:v>Meta margen bruto</x:v>
      </x:c>
      <x:c r="B9" s="191" t="n">
        <x:v>0.45</x:v>
      </x:c>
      <x:c r="C9" s="190" t="str">
        <x:v>Referencia mínima deseada para margen bruto.</x:v>
      </x:c>
      <x:c r="D9" s="163"/>
      <x:c r="E9" s="163"/>
      <x:c r="F9" s="163"/>
      <x:c r="G9" s="163"/>
      <x:c r="H9" s="163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>
      <x:c r="A10" s="188" t="str">
        <x:v>Meta margen neto</x:v>
      </x:c>
      <x:c r="B10" s="191" t="n">
        <x:v>0.18</x:v>
      </x:c>
      <x:c r="C10" s="190" t="str">
        <x:v>Referencia mínima deseada para margen neto.</x:v>
      </x:c>
      <x:c r="D10" s="163"/>
      <x:c r="E10" s="163"/>
      <x:c r="F10" s="163"/>
      <x:c r="G10" s="163"/>
      <x:c r="H10" s="163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>
      <x:c r="A11" s="188" t="str">
        <x:v>Meta ROI marketing</x:v>
      </x:c>
      <x:c r="B11" s="192" t="n">
        <x:v>2</x:v>
      </x:c>
      <x:c r="C11" s="190" t="str">
        <x:v>Referencia mínima deseada de retorno sobre marketing.</x:v>
      </x:c>
      <x:c r="D11" s="163"/>
      <x:c r="E11" s="163"/>
      <x:c r="F11" s="163"/>
      <x:c r="G11" s="163"/>
      <x:c r="H11" s="163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>
      <x:c r="A12" s="188" t="str">
        <x:v>Máximo gastos/ventas</x:v>
      </x:c>
      <x:c r="B12" s="191" t="n">
        <x:v>0.3</x:v>
      </x:c>
      <x:c r="C12" s="190" t="str">
        <x:v>Límite recomendado de gastos operativos sobre ventas.</x:v>
      </x:c>
      <x:c r="D12" s="163"/>
      <x:c r="E12" s="163"/>
      <x:c r="F12" s="163"/>
      <x:c r="G12" s="163"/>
      <x:c r="H12" s="163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>
      <x:c r="A13" s="188" t="str">
        <x:v>Meta eficiencia cobranza</x:v>
      </x:c>
      <x:c r="B13" s="191" t="n">
        <x:v>0.85</x:v>
      </x:c>
      <x:c r="C13" s="190" t="str">
        <x:v>Porcentaje deseado de cobranza sobre CxC inicial.</x:v>
      </x:c>
      <x:c r="D13" s="163"/>
      <x:c r="E13" s="163"/>
      <x:c r="F13" s="163"/>
      <x:c r="G13" s="163"/>
      <x:c r="H13" s="163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>
      <x:c r="A14" s="188" t="str">
        <x:v>Meta retención clientes</x:v>
      </x:c>
      <x:c r="B14" s="191" t="n">
        <x:v>0.9</x:v>
      </x:c>
      <x:c r="C14" s="190" t="str">
        <x:v>Porcentaje mínimo deseado de clientes retenidos.</x:v>
      </x:c>
      <x:c r="D14" s="163"/>
      <x:c r="E14" s="163"/>
      <x:c r="F14" s="163"/>
      <x:c r="G14" s="163"/>
      <x:c r="H14" s="163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>
      <x:c r="A15" s="188" t="str">
        <x:v>Meta crecimiento mensual</x:v>
      </x:c>
      <x:c r="B15" s="191" t="n">
        <x:v>0.05</x:v>
      </x:c>
      <x:c r="C15" s="190" t="str">
        <x:v>Crecimiento mensual esperado en ventas.</x:v>
      </x:c>
      <x:c r="D15" s="163"/>
      <x:c r="E15" s="163"/>
      <x:c r="F15" s="163"/>
      <x:c r="G15" s="163"/>
      <x:c r="H15" s="163"/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>
      <x:c r="A16" s="163"/>
      <x:c r="B16" s="163"/>
      <x:c r="C16" s="163"/>
      <x:c r="D16" s="163"/>
      <x:c r="E16" s="163"/>
      <x:c r="F16" s="163"/>
      <x:c r="G16" s="163"/>
      <x:c r="H16" s="163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>
      <x:c r="A17" s="183" t="str">
        <x:v>Tip: puedes cambiar las metas de referencia para que el semáforo del dashboard se adapte a cada negocio.</x:v>
      </x:c>
      <x:c r="B17" s="183"/>
      <x:c r="C17" s="183"/>
      <x:c r="D17" s="183"/>
      <x:c r="E17" s="183"/>
      <x:c r="F17" s="183"/>
      <x:c r="G17" s="163"/>
      <x:c r="H17" s="163"/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>
      <x:c r="A18" s="183"/>
      <x:c r="B18" s="183"/>
      <x:c r="C18" s="183"/>
      <x:c r="D18" s="183"/>
      <x:c r="E18" s="183"/>
      <x:c r="F18" s="183"/>
      <x:c r="G18" s="163"/>
      <x:c r="H18" s="163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>
      <x:c r="A19" s="163"/>
      <x:c r="B19" s="163"/>
      <x:c r="C19" s="163"/>
      <x:c r="D19" s="163"/>
      <x:c r="E19" s="163"/>
      <x:c r="F19" s="163"/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>
      <x:c r="A20" s="163"/>
      <x:c r="B20" s="163"/>
      <x:c r="C20" s="163"/>
      <x:c r="D20" s="163"/>
      <x:c r="E20" s="163"/>
      <x:c r="F20" s="163"/>
      <x:c r="G20" s="163"/>
      <x:c r="H20" s="16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>
      <x:c r="A21" s="163"/>
      <x:c r="B21" s="163"/>
      <x:c r="C21" s="163"/>
      <x:c r="D21" s="163"/>
      <x:c r="E21" s="163"/>
      <x:c r="F21" s="163"/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>
      <x:c r="A22" s="163"/>
      <x:c r="B22" s="163"/>
      <x:c r="C22" s="163"/>
      <x:c r="D22" s="163"/>
      <x:c r="E22" s="163"/>
      <x:c r="F22" s="163"/>
      <x:c r="G22" s="163"/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>
      <x:c r="A23" s="163"/>
      <x:c r="B23" s="163"/>
      <x:c r="C23" s="163"/>
      <x:c r="D23" s="163"/>
      <x:c r="E23" s="163"/>
      <x:c r="F23" s="163"/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>
      <x:c r="A24" s="163"/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>
      <x:c r="A25" s="163"/>
      <x:c r="B25" s="163"/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>
      <x:c r="A26" s="163"/>
      <x:c r="B26" s="163"/>
      <x:c r="C26" s="163"/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>
      <x:c r="A27" s="163"/>
      <x:c r="B27" s="163"/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>
      <x:c r="A28" s="163"/>
      <x:c r="B28" s="163"/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>
      <x:c r="A29" s="163"/>
      <x:c r="B29" s="163"/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</x:sheetData>
  <x:mergeCells>
    <x:mergeCell ref="A1:F2"/>
    <x:mergeCell ref="A17:F18"/>
  </x:mergeCells>
  <x:dataValidations count="2">
    <x:dataValidation type="list" sqref="B7">
      <x:formula1>'07 Catálogos'!$A$2:$A$13</x:formula1>
    </x:dataValidation>
    <x:dataValidation type="list" sqref="B8">
      <x:formula1>"MXN,USD,EUR"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7" hidden="0" customWidth="1"/>
    <x:col min="7" max="7" width="16" hidden="0" customWidth="1"/>
    <x:col min="8" max="8" width="18" hidden="0" customWidth="1"/>
    <x:col min="9" max="9" width="17" hidden="0" customWidth="1"/>
    <x:col min="10" max="10" width="16" hidden="0" customWidth="1"/>
    <x:col min="11" max="11" width="14" hidden="0" customWidth="1"/>
    <x:col min="12" max="12" width="16" hidden="0" customWidth="1"/>
    <x:col min="13" max="13" width="18" hidden="0" customWidth="1"/>
    <x:col min="14" max="14" width="18" hidden="0" customWidth="1"/>
  </x:cols>
  <x:sheetData>
    <x:row r="1">
      <x:c r="A1" s="162" t="str">
        <x:v>CAPTURA MENSUAL DEL NEGOCIO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>
      <x:c r="A2" s="162"/>
      <x:c r="B2" s="162"/>
      <x:c r="C2" s="162"/>
      <x:c r="D2" s="162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>
      <x:c r="A3" s="198" t="str">
        <x:v>Llena únicamente las celdas azules. Esta información alimenta el cálculo de los 15 KPIs y el dashboard ejecutivo.</x:v>
      </x:c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>
      <x:c r="A4" s="163"/>
      <x:c r="B4" s="163"/>
      <x:c r="C4" s="163"/>
      <x:c r="D4" s="163"/>
      <x:c r="E4" s="163"/>
      <x:c r="F4" s="163"/>
      <x:c r="G4" s="163"/>
      <x:c r="H4" s="163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>
      <x:c r="A5" s="180" t="str">
        <x:v>Mes</x:v>
      </x:c>
      <x:c r="B5" s="180" t="str">
        <x:v>Meta ventas</x:v>
      </x:c>
      <x:c r="C5" s="180" t="str">
        <x:v>Ventas netas</x:v>
      </x:c>
      <x:c r="D5" s="180" t="str">
        <x:v>Costo de ventas</x:v>
      </x:c>
      <x:c r="E5" s="180" t="str">
        <x:v>Gastos operativos</x:v>
      </x:c>
      <x:c r="F5" s="180" t="str">
        <x:v>Gasto marketing</x:v>
      </x:c>
      <x:c r="G5" s="180" t="str">
        <x:v>Clientes nuevos</x:v>
      </x:c>
      <x:c r="H5" s="180" t="str">
        <x:v>Clientes al inicio</x:v>
      </x:c>
      <x:c r="I5" s="180" t="str">
        <x:v>Clientes perdidos</x:v>
      </x:c>
      <x:c r="J5" s="180" t="str">
        <x:v>Transacciones</x:v>
      </x:c>
      <x:c r="K5" s="180" t="str">
        <x:v>Empleados</x:v>
      </x:c>
      <x:c r="L5" s="180" t="str">
        <x:v>CxC inicial</x:v>
      </x:c>
      <x:c r="M5" s="180" t="str">
        <x:v>Cobranza del mes</x:v>
      </x:c>
      <x:c r="N5" s="180" t="str">
        <x:v>Capital invertido</x:v>
      </x:c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>
      <x:c r="A6" s="189" t="str">
        <x:v>Enero</x:v>
      </x:c>
      <x:c r="B6" s="199" t="n">
        <x:v>120000</x:v>
      </x:c>
      <x:c r="C6" s="199" t="n">
        <x:v>118000</x:v>
      </x:c>
      <x:c r="D6" s="199" t="n">
        <x:v>52000</x:v>
      </x:c>
      <x:c r="E6" s="199" t="n">
        <x:v>28000</x:v>
      </x:c>
      <x:c r="F6" s="199" t="n">
        <x:v>8000</x:v>
      </x:c>
      <x:c r="G6" s="200" t="n">
        <x:v>32</x:v>
      </x:c>
      <x:c r="H6" s="200" t="n">
        <x:v>250</x:v>
      </x:c>
      <x:c r="I6" s="200" t="n">
        <x:v>12</x:v>
      </x:c>
      <x:c r="J6" s="200" t="n">
        <x:v>420</x:v>
      </x:c>
      <x:c r="K6" s="200" t="n">
        <x:v>8</x:v>
      </x:c>
      <x:c r="L6" s="199" t="n">
        <x:v>45000</x:v>
      </x:c>
      <x:c r="M6" s="199" t="n">
        <x:v>40000</x:v>
      </x:c>
      <x:c r="N6" s="199" t="n">
        <x:v>80000</x:v>
      </x:c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>
      <x:c r="A7" s="189" t="str">
        <x:v>Febrero</x:v>
      </x:c>
      <x:c r="B7" s="199" t="n">
        <x:v>130000</x:v>
      </x:c>
      <x:c r="C7" s="199" t="n">
        <x:v>132500</x:v>
      </x:c>
      <x:c r="D7" s="199" t="n">
        <x:v>56000</x:v>
      </x:c>
      <x:c r="E7" s="199" t="n">
        <x:v>29500</x:v>
      </x:c>
      <x:c r="F7" s="199" t="n">
        <x:v>9000</x:v>
      </x:c>
      <x:c r="G7" s="200" t="n">
        <x:v>35</x:v>
      </x:c>
      <x:c r="H7" s="200" t="n">
        <x:v>270</x:v>
      </x:c>
      <x:c r="I7" s="200" t="n">
        <x:v>10</x:v>
      </x:c>
      <x:c r="J7" s="200" t="n">
        <x:v>455</x:v>
      </x:c>
      <x:c r="K7" s="200" t="n">
        <x:v>8</x:v>
      </x:c>
      <x:c r="L7" s="199" t="n">
        <x:v>50000</x:v>
      </x:c>
      <x:c r="M7" s="199" t="n">
        <x:v>46000</x:v>
      </x:c>
      <x:c r="N7" s="199" t="n">
        <x:v>82000</x:v>
      </x:c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>
      <x:c r="A8" s="189" t="str">
        <x:v>Marzo</x:v>
      </x:c>
      <x:c r="B8" s="199" t="n">
        <x:v>140000</x:v>
      </x:c>
      <x:c r="C8" s="199" t="n">
        <x:v>138000</x:v>
      </x:c>
      <x:c r="D8" s="199" t="n">
        <x:v>59000</x:v>
      </x:c>
      <x:c r="E8" s="199" t="n">
        <x:v>31000</x:v>
      </x:c>
      <x:c r="F8" s="199" t="n">
        <x:v>9500</x:v>
      </x:c>
      <x:c r="G8" s="200" t="n">
        <x:v>38</x:v>
      </x:c>
      <x:c r="H8" s="200" t="n">
        <x:v>295</x:v>
      </x:c>
      <x:c r="I8" s="200" t="n">
        <x:v>14</x:v>
      </x:c>
      <x:c r="J8" s="200" t="n">
        <x:v>470</x:v>
      </x:c>
      <x:c r="K8" s="200" t="n">
        <x:v>9</x:v>
      </x:c>
      <x:c r="L8" s="199" t="n">
        <x:v>52000</x:v>
      </x:c>
      <x:c r="M8" s="199" t="n">
        <x:v>48000</x:v>
      </x:c>
      <x:c r="N8" s="199" t="n">
        <x:v>85000</x:v>
      </x:c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>
      <x:c r="A9" s="189" t="str">
        <x:v>Abril</x:v>
      </x:c>
      <x:c r="B9" s="199" t="n">
        <x:v>150000</x:v>
      </x:c>
      <x:c r="C9" s="199" t="n">
        <x:v>154000</x:v>
      </x:c>
      <x:c r="D9" s="199" t="n">
        <x:v>63000</x:v>
      </x:c>
      <x:c r="E9" s="199" t="n">
        <x:v>33000</x:v>
      </x:c>
      <x:c r="F9" s="199" t="n">
        <x:v>10000</x:v>
      </x:c>
      <x:c r="G9" s="200" t="n">
        <x:v>44</x:v>
      </x:c>
      <x:c r="H9" s="200" t="n">
        <x:v>319</x:v>
      </x:c>
      <x:c r="I9" s="200" t="n">
        <x:v>11</x:v>
      </x:c>
      <x:c r="J9" s="200" t="n">
        <x:v>520</x:v>
      </x:c>
      <x:c r="K9" s="200" t="n">
        <x:v>9</x:v>
      </x:c>
      <x:c r="L9" s="199" t="n">
        <x:v>56000</x:v>
      </x:c>
      <x:c r="M9" s="199" t="n">
        <x:v>53000</x:v>
      </x:c>
      <x:c r="N9" s="199" t="n">
        <x:v>87000</x:v>
      </x:c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>
      <x:c r="A10" s="189" t="str">
        <x:v>Mayo</x:v>
      </x:c>
      <x:c r="B10" s="199" t="n">
        <x:v>160000</x:v>
      </x:c>
      <x:c r="C10" s="199" t="n">
        <x:v>168500</x:v>
      </x:c>
      <x:c r="D10" s="199" t="n">
        <x:v>69000</x:v>
      </x:c>
      <x:c r="E10" s="199" t="n">
        <x:v>35000</x:v>
      </x:c>
      <x:c r="F10" s="199" t="n">
        <x:v>11000</x:v>
      </x:c>
      <x:c r="G10" s="200" t="n">
        <x:v>50</x:v>
      </x:c>
      <x:c r="H10" s="200" t="n">
        <x:v>352</x:v>
      </x:c>
      <x:c r="I10" s="200" t="n">
        <x:v>13</x:v>
      </x:c>
      <x:c r="J10" s="200" t="n">
        <x:v>565</x:v>
      </x:c>
      <x:c r="K10" s="200" t="n">
        <x:v>10</x:v>
      </x:c>
      <x:c r="L10" s="199" t="n">
        <x:v>60000</x:v>
      </x:c>
      <x:c r="M10" s="199" t="n">
        <x:v>57000</x:v>
      </x:c>
      <x:c r="N10" s="199" t="n">
        <x:v>90000</x:v>
      </x:c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>
      <x:c r="A11" s="189" t="str">
        <x:v>Junio</x:v>
      </x:c>
      <x:c r="B11" s="199" t="n">
        <x:v>170000</x:v>
      </x:c>
      <x:c r="C11" s="199" t="n">
        <x:v>175000</x:v>
      </x:c>
      <x:c r="D11" s="199" t="n">
        <x:v>72000</x:v>
      </x:c>
      <x:c r="E11" s="199" t="n">
        <x:v>36500</x:v>
      </x:c>
      <x:c r="F11" s="199" t="n">
        <x:v>11500</x:v>
      </x:c>
      <x:c r="G11" s="200" t="n">
        <x:v>48</x:v>
      </x:c>
      <x:c r="H11" s="200" t="n">
        <x:v>389</x:v>
      </x:c>
      <x:c r="I11" s="200" t="n">
        <x:v>15</x:v>
      </x:c>
      <x:c r="J11" s="200" t="n">
        <x:v>590</x:v>
      </x:c>
      <x:c r="K11" s="200" t="n">
        <x:v>10</x:v>
      </x:c>
      <x:c r="L11" s="199" t="n">
        <x:v>62000</x:v>
      </x:c>
      <x:c r="M11" s="199" t="n">
        <x:v>60000</x:v>
      </x:c>
      <x:c r="N11" s="199" t="n">
        <x:v>92000</x:v>
      </x:c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>
      <x:c r="A12" s="189" t="str">
        <x:v>Julio</x:v>
      </x:c>
      <x:c r="B12" s="199" t="n">
        <x:v>180000</x:v>
      </x:c>
      <x:c r="C12" s="199" t="n">
        <x:v>181000</x:v>
      </x:c>
      <x:c r="D12" s="199" t="n">
        <x:v>75000</x:v>
      </x:c>
      <x:c r="E12" s="199" t="n">
        <x:v>38000</x:v>
      </x:c>
      <x:c r="F12" s="199" t="n">
        <x:v>12000</x:v>
      </x:c>
      <x:c r="G12" s="200" t="n">
        <x:v>52</x:v>
      </x:c>
      <x:c r="H12" s="200" t="n">
        <x:v>422</x:v>
      </x:c>
      <x:c r="I12" s="200" t="n">
        <x:v>16</x:v>
      </x:c>
      <x:c r="J12" s="200" t="n">
        <x:v>620</x:v>
      </x:c>
      <x:c r="K12" s="200" t="n">
        <x:v>10</x:v>
      </x:c>
      <x:c r="L12" s="199" t="n">
        <x:v>65000</x:v>
      </x:c>
      <x:c r="M12" s="199" t="n">
        <x:v>61500</x:v>
      </x:c>
      <x:c r="N12" s="199" t="n">
        <x:v>94000</x:v>
      </x:c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>
      <x:c r="A13" s="189" t="str">
        <x:v>Agosto</x:v>
      </x:c>
      <x:c r="B13" s="199" t="n">
        <x:v>190000</x:v>
      </x:c>
      <x:c r="C13" s="199" t="n">
        <x:v>195000</x:v>
      </x:c>
      <x:c r="D13" s="199" t="n">
        <x:v>79000</x:v>
      </x:c>
      <x:c r="E13" s="199" t="n">
        <x:v>40000</x:v>
      </x:c>
      <x:c r="F13" s="199" t="n">
        <x:v>13000</x:v>
      </x:c>
      <x:c r="G13" s="200" t="n">
        <x:v>55</x:v>
      </x:c>
      <x:c r="H13" s="200" t="n">
        <x:v>458</x:v>
      </x:c>
      <x:c r="I13" s="200" t="n">
        <x:v>17</x:v>
      </x:c>
      <x:c r="J13" s="200" t="n">
        <x:v>660</x:v>
      </x:c>
      <x:c r="K13" s="200" t="n">
        <x:v>11</x:v>
      </x:c>
      <x:c r="L13" s="199" t="n">
        <x:v>69000</x:v>
      </x:c>
      <x:c r="M13" s="199" t="n">
        <x:v>66000</x:v>
      </x:c>
      <x:c r="N13" s="199" t="n">
        <x:v>96000</x:v>
      </x:c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>
      <x:c r="A14" s="189" t="str">
        <x:v>Septiembre</x:v>
      </x:c>
      <x:c r="B14" s="199" t="n">
        <x:v>200000</x:v>
      </x:c>
      <x:c r="C14" s="199" t="n">
        <x:v>202000</x:v>
      </x:c>
      <x:c r="D14" s="199" t="n">
        <x:v>83000</x:v>
      </x:c>
      <x:c r="E14" s="199" t="n">
        <x:v>42000</x:v>
      </x:c>
      <x:c r="F14" s="199" t="n">
        <x:v>13500</x:v>
      </x:c>
      <x:c r="G14" s="200" t="n">
        <x:v>58</x:v>
      </x:c>
      <x:c r="H14" s="200" t="n">
        <x:v>496</x:v>
      </x:c>
      <x:c r="I14" s="200" t="n">
        <x:v>18</x:v>
      </x:c>
      <x:c r="J14" s="200" t="n">
        <x:v>690</x:v>
      </x:c>
      <x:c r="K14" s="200" t="n">
        <x:v>11</x:v>
      </x:c>
      <x:c r="L14" s="199" t="n">
        <x:v>72000</x:v>
      </x:c>
      <x:c r="M14" s="199" t="n">
        <x:v>70000</x:v>
      </x:c>
      <x:c r="N14" s="199" t="n">
        <x:v>98000</x:v>
      </x:c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>
      <x:c r="A15" s="189" t="str">
        <x:v>Octubre</x:v>
      </x:c>
      <x:c r="B15" s="199" t="n">
        <x:v>210000</x:v>
      </x:c>
      <x:c r="C15" s="199" t="n">
        <x:v>218000</x:v>
      </x:c>
      <x:c r="D15" s="199" t="n">
        <x:v>88000</x:v>
      </x:c>
      <x:c r="E15" s="199" t="n">
        <x:v>44500</x:v>
      </x:c>
      <x:c r="F15" s="199" t="n">
        <x:v>14500</x:v>
      </x:c>
      <x:c r="G15" s="200" t="n">
        <x:v>63</x:v>
      </x:c>
      <x:c r="H15" s="200" t="n">
        <x:v>536</x:v>
      </x:c>
      <x:c r="I15" s="200" t="n">
        <x:v>19</x:v>
      </x:c>
      <x:c r="J15" s="200" t="n">
        <x:v>730</x:v>
      </x:c>
      <x:c r="K15" s="200" t="n">
        <x:v>12</x:v>
      </x:c>
      <x:c r="L15" s="199" t="n">
        <x:v>76000</x:v>
      </x:c>
      <x:c r="M15" s="199" t="n">
        <x:v>73500</x:v>
      </x:c>
      <x:c r="N15" s="199" t="n">
        <x:v>100000</x:v>
      </x:c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>
      <x:c r="A16" s="189" t="str">
        <x:v>Noviembre</x:v>
      </x:c>
      <x:c r="B16" s="199" t="n">
        <x:v>220000</x:v>
      </x:c>
      <x:c r="C16" s="199" t="n">
        <x:v>226000</x:v>
      </x:c>
      <x:c r="D16" s="199" t="n">
        <x:v>92000</x:v>
      </x:c>
      <x:c r="E16" s="199" t="n">
        <x:v>46500</x:v>
      </x:c>
      <x:c r="F16" s="199" t="n">
        <x:v>15000</x:v>
      </x:c>
      <x:c r="G16" s="200" t="n">
        <x:v>65</x:v>
      </x:c>
      <x:c r="H16" s="200" t="n">
        <x:v>580</x:v>
      </x:c>
      <x:c r="I16" s="200" t="n">
        <x:v>20</x:v>
      </x:c>
      <x:c r="J16" s="200" t="n">
        <x:v>760</x:v>
      </x:c>
      <x:c r="K16" s="200" t="n">
        <x:v>12</x:v>
      </x:c>
      <x:c r="L16" s="199" t="n">
        <x:v>80000</x:v>
      </x:c>
      <x:c r="M16" s="199" t="n">
        <x:v>78000</x:v>
      </x:c>
      <x:c r="N16" s="199" t="n">
        <x:v>102000</x:v>
      </x:c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>
      <x:c r="A17" s="189" t="str">
        <x:v>Diciembre</x:v>
      </x:c>
      <x:c r="B17" s="199" t="n">
        <x:v>240000</x:v>
      </x:c>
      <x:c r="C17" s="199" t="n">
        <x:v>255000</x:v>
      </x:c>
      <x:c r="D17" s="199" t="n">
        <x:v>102000</x:v>
      </x:c>
      <x:c r="E17" s="199" t="n">
        <x:v>52000</x:v>
      </x:c>
      <x:c r="F17" s="199" t="n">
        <x:v>17000</x:v>
      </x:c>
      <x:c r="G17" s="200" t="n">
        <x:v>72</x:v>
      </x:c>
      <x:c r="H17" s="200" t="n">
        <x:v>625</x:v>
      </x:c>
      <x:c r="I17" s="200" t="n">
        <x:v>23</x:v>
      </x:c>
      <x:c r="J17" s="200" t="n">
        <x:v>820</x:v>
      </x:c>
      <x:c r="K17" s="200" t="n">
        <x:v>13</x:v>
      </x:c>
      <x:c r="L17" s="199" t="n">
        <x:v>88000</x:v>
      </x:c>
      <x:c r="M17" s="199" t="n">
        <x:v>85000</x:v>
      </x:c>
      <x:c r="N17" s="199" t="n">
        <x:v>105000</x:v>
      </x:c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>
      <x:c r="A18" s="163"/>
      <x:c r="B18" s="163"/>
      <x:c r="C18" s="163"/>
      <x:c r="D18" s="163"/>
      <x:c r="E18" s="163"/>
      <x:c r="F18" s="163"/>
      <x:c r="G18" s="163"/>
      <x:c r="H18" s="163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>
      <x:c r="A19" s="163"/>
      <x:c r="B19" s="163"/>
      <x:c r="C19" s="163"/>
      <x:c r="D19" s="163"/>
      <x:c r="E19" s="163"/>
      <x:c r="F19" s="163"/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>
      <x:c r="A20" s="163"/>
      <x:c r="B20" s="163"/>
      <x:c r="C20" s="163"/>
      <x:c r="D20" s="163"/>
      <x:c r="E20" s="163"/>
      <x:c r="F20" s="163"/>
      <x:c r="G20" s="163"/>
      <x:c r="H20" s="16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>
      <x:c r="A21" s="163"/>
      <x:c r="B21" s="163"/>
      <x:c r="C21" s="163"/>
      <x:c r="D21" s="163"/>
      <x:c r="E21" s="163"/>
      <x:c r="F21" s="163"/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>
      <x:c r="A22" s="163"/>
      <x:c r="B22" s="163"/>
      <x:c r="C22" s="163"/>
      <x:c r="D22" s="163"/>
      <x:c r="E22" s="163"/>
      <x:c r="F22" s="163"/>
      <x:c r="G22" s="163"/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>
      <x:c r="A23" s="163"/>
      <x:c r="B23" s="163"/>
      <x:c r="C23" s="163"/>
      <x:c r="D23" s="163"/>
      <x:c r="E23" s="163"/>
      <x:c r="F23" s="163"/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>
      <x:c r="A24" s="163"/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>
      <x:c r="A25" s="163"/>
      <x:c r="B25" s="163"/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>
      <x:c r="A26" s="163"/>
      <x:c r="B26" s="163"/>
      <x:c r="C26" s="163"/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>
      <x:c r="A27" s="163"/>
      <x:c r="B27" s="163"/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>
      <x:c r="A28" s="163"/>
      <x:c r="B28" s="163"/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>
      <x:c r="A29" s="163"/>
      <x:c r="B29" s="163"/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</x:sheetData>
  <x:mergeCells>
    <x:mergeCell ref="A1:N2"/>
    <x:mergeCell ref="A3:N3"/>
  </x:mergeCells>
  <x:conditionalFormatting sqref="C6:C17">
    <x:cfRule type="dataBar" priority="1">
      <x:dataBar>
        <x:cfvo type="min"/>
        <x:cfvo type="max"/>
        <x:color rgb="1D4ED8"/>
      </x:dataBar>
      <x:extLst>
        <x:ext xmlns:x14="http://schemas.microsoft.com/office/spreadsheetml/2009/9/main" uri="{B025F937-C7B1-47D3-B67F-A62EFF666E3E}">
          <x14:id>{19D36542-A40A-F196-854C-B01FFE0E69A1}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81b2d0acee04c2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9D36542-A40A-F196-854C-B01FFE0E69A1}">
            <x14:dataBar gradient="1">
              <x14:cfvo type="min"/>
              <x14:cfvo type="max"/>
              <x14:fillColor rgb="1D4ED8"/>
            </x14:dataBar>
          </x14:cfRule>
          <xm:sqref>C6:C17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0" hidden="0" customWidth="1"/>
    <x:col min="14" max="14" width="20" hidden="0" customWidth="1"/>
    <x:col min="15" max="15" width="16" hidden="0" customWidth="1"/>
    <x:col min="16" max="16" width="18" hidden="0" customWidth="1"/>
  </x:cols>
  <x:sheetData>
    <x:row r="1">
      <x:c r="A1" s="162" t="str">
        <x:v>KPIs AUTOMÁTICOS · 15 INDICADORES CLAVE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>
      <x:c r="A2" s="162"/>
      <x:c r="B2" s="162"/>
      <x:c r="C2" s="162"/>
      <x:c r="D2" s="162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>
      <x:c r="A3" s="198" t="str">
        <x:v>Esta hoja se actualiza automáticamente con base en la captura mensual. No modifiques las fórmulas.</x:v>
      </x:c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98"/>
      <x:c r="P3" s="198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>
      <x:c r="A4" s="163"/>
      <x:c r="B4" s="163"/>
      <x:c r="C4" s="163"/>
      <x:c r="D4" s="163"/>
      <x:c r="E4" s="163"/>
      <x:c r="F4" s="163"/>
      <x:c r="G4" s="163"/>
      <x:c r="H4" s="163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>
      <x:c r="A5" s="180" t="str">
        <x:v>Mes</x:v>
      </x:c>
      <x:c r="B5" s="180" t="str">
        <x:v>Ventas netas</x:v>
      </x:c>
      <x:c r="C5" s="180" t="str">
        <x:v>Crecimiento ventas %</x:v>
      </x:c>
      <x:c r="D5" s="180" t="str">
        <x:v>Cumplimiento meta %</x:v>
      </x:c>
      <x:c r="E5" s="180" t="str">
        <x:v>Ticket promedio</x:v>
      </x:c>
      <x:c r="F5" s="180" t="str">
        <x:v>Utilidad bruta</x:v>
      </x:c>
      <x:c r="G5" s="180" t="str">
        <x:v>Margen bruto %</x:v>
      </x:c>
      <x:c r="H5" s="180" t="str">
        <x:v>Utilidad neta</x:v>
      </x:c>
      <x:c r="I5" s="180" t="str">
        <x:v>Margen neto %</x:v>
      </x:c>
      <x:c r="J5" s="180" t="str">
        <x:v>ROI marketing</x:v>
      </x:c>
      <x:c r="K5" s="180" t="str">
        <x:v>Gastos operativos</x:v>
      </x:c>
      <x:c r="L5" s="180" t="str">
        <x:v>Gastos/Ventas %</x:v>
      </x:c>
      <x:c r="M5" s="180" t="str">
        <x:v>Productividad empleado</x:v>
      </x:c>
      <x:c r="N5" s="180" t="str">
        <x:v>Eficiencia cobranza %</x:v>
      </x:c>
      <x:c r="O5" s="180" t="str">
        <x:v>Clientes nuevos</x:v>
      </x:c>
      <x:c r="P5" s="180" t="str">
        <x:v>Retención clientes %</x:v>
      </x:c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>
      <x:c r="A6" s="204" t="str">
        <x:f>'03 Captura Mensual'!A6</x:f>
        <x:v>Enero</x:v>
      </x:c>
      <x:c r="B6" s="205" t="n">
        <x:f>'03 Captura Mensual'!C6</x:f>
        <x:v>118000</x:v>
      </x:c>
      <x:c r="C6" s="206" t="n">
        <x:f>IFERROR(IF(0=0,0,('03 Captura Mensual'!C6-0)/0),0)</x:f>
        <x:v>0</x:v>
      </x:c>
      <x:c r="D6" s="206" t="n">
        <x:f>IFERROR('03 Captura Mensual'!C6/'03 Captura Mensual'!B6,0)</x:f>
        <x:v>0.9833333333333333</x:v>
      </x:c>
      <x:c r="E6" s="205" t="n">
        <x:f>IFERROR('03 Captura Mensual'!C6/'03 Captura Mensual'!J6,0)</x:f>
        <x:v>280.95238095238096</x:v>
      </x:c>
      <x:c r="F6" s="205" t="n">
        <x:f>'03 Captura Mensual'!C6-'03 Captura Mensual'!D6</x:f>
        <x:v>66000</x:v>
      </x:c>
      <x:c r="G6" s="206" t="n">
        <x:f>IFERROR(F6/B6,0)</x:f>
        <x:v>0.559322033898305</x:v>
      </x:c>
      <x:c r="H6" s="205" t="n">
        <x:f>'03 Captura Mensual'!C6-'03 Captura Mensual'!D6-'03 Captura Mensual'!E6-'03 Captura Mensual'!F6</x:f>
        <x:v>30000</x:v>
      </x:c>
      <x:c r="I6" s="206" t="n">
        <x:f>IFERROR(H6/B6,0)</x:f>
        <x:v>0.2542372881355932</x:v>
      </x:c>
      <x:c r="J6" s="206" t="n">
        <x:f>IFERROR((F6-'03 Captura Mensual'!F6)/'03 Captura Mensual'!F6,0)</x:f>
        <x:v>7.25</x:v>
      </x:c>
      <x:c r="K6" s="205" t="n">
        <x:f>'03 Captura Mensual'!E6</x:f>
        <x:v>28000</x:v>
      </x:c>
      <x:c r="L6" s="206" t="n">
        <x:f>IFERROR(K6/B6,0)</x:f>
        <x:v>0.23728813559322035</x:v>
      </x:c>
      <x:c r="M6" s="205" t="n">
        <x:f>IFERROR(B6/'03 Captura Mensual'!K6,0)</x:f>
        <x:v>14750</x:v>
      </x:c>
      <x:c r="N6" s="206" t="n">
        <x:f>IFERROR('03 Captura Mensual'!M6/'03 Captura Mensual'!L6,0)</x:f>
        <x:v>0.8888888888888888</x:v>
      </x:c>
      <x:c r="O6" s="207" t="n">
        <x:f>'03 Captura Mensual'!G6</x:f>
        <x:v>32</x:v>
      </x:c>
      <x:c r="P6" s="206" t="n">
        <x:f>IFERROR(('03 Captura Mensual'!H6-'03 Captura Mensual'!I6)/'03 Captura Mensual'!H6,0)</x:f>
        <x:v>0.952</x:v>
      </x:c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>
      <x:c r="A7" s="204" t="str">
        <x:f>'03 Captura Mensual'!A7</x:f>
        <x:v>Febrero</x:v>
      </x:c>
      <x:c r="B7" s="205" t="n">
        <x:f>'03 Captura Mensual'!C7</x:f>
        <x:v>132500</x:v>
      </x:c>
      <x:c r="C7" s="206" t="n">
        <x:f>IFERROR(IF('03 Captura Mensual'!C6=0,0,('03 Captura Mensual'!C7-'03 Captura Mensual'!C6)/'03 Captura Mensual'!C6),0)</x:f>
        <x:v>0.1228813559322034</x:v>
      </x:c>
      <x:c r="D7" s="206" t="n">
        <x:f>IFERROR('03 Captura Mensual'!C7/'03 Captura Mensual'!B7,0)</x:f>
        <x:v>1.0192307692307692</x:v>
      </x:c>
      <x:c r="E7" s="205" t="n">
        <x:f>IFERROR('03 Captura Mensual'!C7/'03 Captura Mensual'!J7,0)</x:f>
        <x:v>291.2087912087912</x:v>
      </x:c>
      <x:c r="F7" s="205" t="n">
        <x:f>'03 Captura Mensual'!C7-'03 Captura Mensual'!D7</x:f>
        <x:v>76500</x:v>
      </x:c>
      <x:c r="G7" s="206" t="n">
        <x:f>IFERROR(F7/B7,0)</x:f>
        <x:v>0.5773584905660377</x:v>
      </x:c>
      <x:c r="H7" s="205" t="n">
        <x:f>'03 Captura Mensual'!C7-'03 Captura Mensual'!D7-'03 Captura Mensual'!E7-'03 Captura Mensual'!F7</x:f>
        <x:v>38000</x:v>
      </x:c>
      <x:c r="I7" s="206" t="n">
        <x:f>IFERROR(H7/B7,0)</x:f>
        <x:v>0.28679245283018867</x:v>
      </x:c>
      <x:c r="J7" s="206" t="n">
        <x:f>IFERROR((F7-'03 Captura Mensual'!F7)/'03 Captura Mensual'!F7,0)</x:f>
        <x:v>7.5</x:v>
      </x:c>
      <x:c r="K7" s="205" t="n">
        <x:f>'03 Captura Mensual'!E7</x:f>
        <x:v>29500</x:v>
      </x:c>
      <x:c r="L7" s="206" t="n">
        <x:f>IFERROR(K7/B7,0)</x:f>
        <x:v>0.22264150943396227</x:v>
      </x:c>
      <x:c r="M7" s="205" t="n">
        <x:f>IFERROR(B7/'03 Captura Mensual'!K7,0)</x:f>
        <x:v>16562.5</x:v>
      </x:c>
      <x:c r="N7" s="206" t="n">
        <x:f>IFERROR('03 Captura Mensual'!M7/'03 Captura Mensual'!L7,0)</x:f>
        <x:v>0.92</x:v>
      </x:c>
      <x:c r="O7" s="207" t="n">
        <x:f>'03 Captura Mensual'!G7</x:f>
        <x:v>35</x:v>
      </x:c>
      <x:c r="P7" s="206" t="n">
        <x:f>IFERROR(('03 Captura Mensual'!H7-'03 Captura Mensual'!I7)/'03 Captura Mensual'!H7,0)</x:f>
        <x:v>0.9629629629629629</x:v>
      </x:c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>
      <x:c r="A8" s="204" t="str">
        <x:f>'03 Captura Mensual'!A8</x:f>
        <x:v>Marzo</x:v>
      </x:c>
      <x:c r="B8" s="205" t="n">
        <x:f>'03 Captura Mensual'!C8</x:f>
        <x:v>138000</x:v>
      </x:c>
      <x:c r="C8" s="206" t="n">
        <x:f>IFERROR(IF('03 Captura Mensual'!C7=0,0,('03 Captura Mensual'!C8-'03 Captura Mensual'!C7)/'03 Captura Mensual'!C7),0)</x:f>
        <x:v>0.04150943396226415</x:v>
      </x:c>
      <x:c r="D8" s="206" t="n">
        <x:f>IFERROR('03 Captura Mensual'!C8/'03 Captura Mensual'!B8,0)</x:f>
        <x:v>0.9857142857142858</x:v>
      </x:c>
      <x:c r="E8" s="205" t="n">
        <x:f>IFERROR('03 Captura Mensual'!C8/'03 Captura Mensual'!J8,0)</x:f>
        <x:v>293.6170212765957</x:v>
      </x:c>
      <x:c r="F8" s="205" t="n">
        <x:f>'03 Captura Mensual'!C8-'03 Captura Mensual'!D8</x:f>
        <x:v>79000</x:v>
      </x:c>
      <x:c r="G8" s="206" t="n">
        <x:f>IFERROR(F8/B8,0)</x:f>
        <x:v>0.572463768115942</x:v>
      </x:c>
      <x:c r="H8" s="205" t="n">
        <x:f>'03 Captura Mensual'!C8-'03 Captura Mensual'!D8-'03 Captura Mensual'!E8-'03 Captura Mensual'!F8</x:f>
        <x:v>38500</x:v>
      </x:c>
      <x:c r="I8" s="206" t="n">
        <x:f>IFERROR(H8/B8,0)</x:f>
        <x:v>0.27898550724637683</x:v>
      </x:c>
      <x:c r="J8" s="206" t="n">
        <x:f>IFERROR((F8-'03 Captura Mensual'!F8)/'03 Captura Mensual'!F8,0)</x:f>
        <x:v>7.315789473684211</x:v>
      </x:c>
      <x:c r="K8" s="205" t="n">
        <x:f>'03 Captura Mensual'!E8</x:f>
        <x:v>31000</x:v>
      </x:c>
      <x:c r="L8" s="206" t="n">
        <x:f>IFERROR(K8/B8,0)</x:f>
        <x:v>0.2246376811594203</x:v>
      </x:c>
      <x:c r="M8" s="205" t="n">
        <x:f>IFERROR(B8/'03 Captura Mensual'!K8,0)</x:f>
        <x:v>15333.333333333334</x:v>
      </x:c>
      <x:c r="N8" s="206" t="n">
        <x:f>IFERROR('03 Captura Mensual'!M8/'03 Captura Mensual'!L8,0)</x:f>
        <x:v>0.9230769230769231</x:v>
      </x:c>
      <x:c r="O8" s="207" t="n">
        <x:f>'03 Captura Mensual'!G8</x:f>
        <x:v>38</x:v>
      </x:c>
      <x:c r="P8" s="206" t="n">
        <x:f>IFERROR(('03 Captura Mensual'!H8-'03 Captura Mensual'!I8)/'03 Captura Mensual'!H8,0)</x:f>
        <x:v>0.9525423728813559</x:v>
      </x:c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>
      <x:c r="A9" s="204" t="str">
        <x:f>'03 Captura Mensual'!A9</x:f>
        <x:v>Abril</x:v>
      </x:c>
      <x:c r="B9" s="205" t="n">
        <x:f>'03 Captura Mensual'!C9</x:f>
        <x:v>154000</x:v>
      </x:c>
      <x:c r="C9" s="206" t="n">
        <x:f>IFERROR(IF('03 Captura Mensual'!C8=0,0,('03 Captura Mensual'!C9-'03 Captura Mensual'!C8)/'03 Captura Mensual'!C8),0)</x:f>
        <x:v>0.11594202898550725</x:v>
      </x:c>
      <x:c r="D9" s="206" t="n">
        <x:f>IFERROR('03 Captura Mensual'!C9/'03 Captura Mensual'!B9,0)</x:f>
        <x:v>1.0266666666666666</x:v>
      </x:c>
      <x:c r="E9" s="205" t="n">
        <x:f>IFERROR('03 Captura Mensual'!C9/'03 Captura Mensual'!J9,0)</x:f>
        <x:v>296.15384615384613</x:v>
      </x:c>
      <x:c r="F9" s="205" t="n">
        <x:f>'03 Captura Mensual'!C9-'03 Captura Mensual'!D9</x:f>
        <x:v>91000</x:v>
      </x:c>
      <x:c r="G9" s="206" t="n">
        <x:f>IFERROR(F9/B9,0)</x:f>
        <x:v>0.5909090909090909</x:v>
      </x:c>
      <x:c r="H9" s="205" t="n">
        <x:f>'03 Captura Mensual'!C9-'03 Captura Mensual'!D9-'03 Captura Mensual'!E9-'03 Captura Mensual'!F9</x:f>
        <x:v>48000</x:v>
      </x:c>
      <x:c r="I9" s="206" t="n">
        <x:f>IFERROR(H9/B9,0)</x:f>
        <x:v>0.3116883116883117</x:v>
      </x:c>
      <x:c r="J9" s="206" t="n">
        <x:f>IFERROR((F9-'03 Captura Mensual'!F9)/'03 Captura Mensual'!F9,0)</x:f>
        <x:v>8.1</x:v>
      </x:c>
      <x:c r="K9" s="205" t="n">
        <x:f>'03 Captura Mensual'!E9</x:f>
        <x:v>33000</x:v>
      </x:c>
      <x:c r="L9" s="206" t="n">
        <x:f>IFERROR(K9/B9,0)</x:f>
        <x:v>0.21428571428571427</x:v>
      </x:c>
      <x:c r="M9" s="205" t="n">
        <x:f>IFERROR(B9/'03 Captura Mensual'!K9,0)</x:f>
        <x:v>17111.11111111111</x:v>
      </x:c>
      <x:c r="N9" s="206" t="n">
        <x:f>IFERROR('03 Captura Mensual'!M9/'03 Captura Mensual'!L9,0)</x:f>
        <x:v>0.9464285714285714</x:v>
      </x:c>
      <x:c r="O9" s="207" t="n">
        <x:f>'03 Captura Mensual'!G9</x:f>
        <x:v>44</x:v>
      </x:c>
      <x:c r="P9" s="206" t="n">
        <x:f>IFERROR(('03 Captura Mensual'!H9-'03 Captura Mensual'!I9)/'03 Captura Mensual'!H9,0)</x:f>
        <x:v>0.9655172413793104</x:v>
      </x:c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>
      <x:c r="A10" s="204" t="str">
        <x:f>'03 Captura Mensual'!A10</x:f>
        <x:v>Mayo</x:v>
      </x:c>
      <x:c r="B10" s="205" t="n">
        <x:f>'03 Captura Mensual'!C10</x:f>
        <x:v>168500</x:v>
      </x:c>
      <x:c r="C10" s="206" t="n">
        <x:f>IFERROR(IF('03 Captura Mensual'!C9=0,0,('03 Captura Mensual'!C10-'03 Captura Mensual'!C9)/'03 Captura Mensual'!C9),0)</x:f>
        <x:v>0.09415584415584416</x:v>
      </x:c>
      <x:c r="D10" s="206" t="n">
        <x:f>IFERROR('03 Captura Mensual'!C10/'03 Captura Mensual'!B10,0)</x:f>
        <x:v>1.053125</x:v>
      </x:c>
      <x:c r="E10" s="205" t="n">
        <x:f>IFERROR('03 Captura Mensual'!C10/'03 Captura Mensual'!J10,0)</x:f>
        <x:v>298.2300884955752</x:v>
      </x:c>
      <x:c r="F10" s="205" t="n">
        <x:f>'03 Captura Mensual'!C10-'03 Captura Mensual'!D10</x:f>
        <x:v>99500</x:v>
      </x:c>
      <x:c r="G10" s="206" t="n">
        <x:f>IFERROR(F10/B10,0)</x:f>
        <x:v>0.5905044510385756</x:v>
      </x:c>
      <x:c r="H10" s="205" t="n">
        <x:f>'03 Captura Mensual'!C10-'03 Captura Mensual'!D10-'03 Captura Mensual'!E10-'03 Captura Mensual'!F10</x:f>
        <x:v>53500</x:v>
      </x:c>
      <x:c r="I10" s="206" t="n">
        <x:f>IFERROR(H10/B10,0)</x:f>
        <x:v>0.31750741839762614</x:v>
      </x:c>
      <x:c r="J10" s="206" t="n">
        <x:f>IFERROR((F10-'03 Captura Mensual'!F10)/'03 Captura Mensual'!F10,0)</x:f>
        <x:v>8.045454545454545</x:v>
      </x:c>
      <x:c r="K10" s="205" t="n">
        <x:f>'03 Captura Mensual'!E10</x:f>
        <x:v>35000</x:v>
      </x:c>
      <x:c r="L10" s="206" t="n">
        <x:f>IFERROR(K10/B10,0)</x:f>
        <x:v>0.20771513353115728</x:v>
      </x:c>
      <x:c r="M10" s="205" t="n">
        <x:f>IFERROR(B10/'03 Captura Mensual'!K10,0)</x:f>
        <x:v>16850</x:v>
      </x:c>
      <x:c r="N10" s="206" t="n">
        <x:f>IFERROR('03 Captura Mensual'!M10/'03 Captura Mensual'!L10,0)</x:f>
        <x:v>0.95</x:v>
      </x:c>
      <x:c r="O10" s="207" t="n">
        <x:f>'03 Captura Mensual'!G10</x:f>
        <x:v>50</x:v>
      </x:c>
      <x:c r="P10" s="206" t="n">
        <x:f>IFERROR(('03 Captura Mensual'!H10-'03 Captura Mensual'!I10)/'03 Captura Mensual'!H10,0)</x:f>
        <x:v>0.9630681818181818</x:v>
      </x:c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>
      <x:c r="A11" s="204" t="str">
        <x:f>'03 Captura Mensual'!A11</x:f>
        <x:v>Junio</x:v>
      </x:c>
      <x:c r="B11" s="205" t="n">
        <x:f>'03 Captura Mensual'!C11</x:f>
        <x:v>175000</x:v>
      </x:c>
      <x:c r="C11" s="206" t="n">
        <x:f>IFERROR(IF('03 Captura Mensual'!C10=0,0,('03 Captura Mensual'!C11-'03 Captura Mensual'!C10)/'03 Captura Mensual'!C10),0)</x:f>
        <x:v>0.03857566765578635</x:v>
      </x:c>
      <x:c r="D11" s="206" t="n">
        <x:f>IFERROR('03 Captura Mensual'!C11/'03 Captura Mensual'!B11,0)</x:f>
        <x:v>1.0294117647058822</x:v>
      </x:c>
      <x:c r="E11" s="205" t="n">
        <x:f>IFERROR('03 Captura Mensual'!C11/'03 Captura Mensual'!J11,0)</x:f>
        <x:v>296.6101694915254</x:v>
      </x:c>
      <x:c r="F11" s="205" t="n">
        <x:f>'03 Captura Mensual'!C11-'03 Captura Mensual'!D11</x:f>
        <x:v>103000</x:v>
      </x:c>
      <x:c r="G11" s="206" t="n">
        <x:f>IFERROR(F11/B11,0)</x:f>
        <x:v>0.5885714285714285</x:v>
      </x:c>
      <x:c r="H11" s="205" t="n">
        <x:f>'03 Captura Mensual'!C11-'03 Captura Mensual'!D11-'03 Captura Mensual'!E11-'03 Captura Mensual'!F11</x:f>
        <x:v>55000</x:v>
      </x:c>
      <x:c r="I11" s="206" t="n">
        <x:f>IFERROR(H11/B11,0)</x:f>
        <x:v>0.3142857142857143</x:v>
      </x:c>
      <x:c r="J11" s="206" t="n">
        <x:f>IFERROR((F11-'03 Captura Mensual'!F11)/'03 Captura Mensual'!F11,0)</x:f>
        <x:v>7.956521739130435</x:v>
      </x:c>
      <x:c r="K11" s="205" t="n">
        <x:f>'03 Captura Mensual'!E11</x:f>
        <x:v>36500</x:v>
      </x:c>
      <x:c r="L11" s="206" t="n">
        <x:f>IFERROR(K11/B11,0)</x:f>
        <x:v>0.20857142857142857</x:v>
      </x:c>
      <x:c r="M11" s="205" t="n">
        <x:f>IFERROR(B11/'03 Captura Mensual'!K11,0)</x:f>
        <x:v>17500</x:v>
      </x:c>
      <x:c r="N11" s="206" t="n">
        <x:f>IFERROR('03 Captura Mensual'!M11/'03 Captura Mensual'!L11,0)</x:f>
        <x:v>0.967741935483871</x:v>
      </x:c>
      <x:c r="O11" s="207" t="n">
        <x:f>'03 Captura Mensual'!G11</x:f>
        <x:v>48</x:v>
      </x:c>
      <x:c r="P11" s="206" t="n">
        <x:f>IFERROR(('03 Captura Mensual'!H11-'03 Captura Mensual'!I11)/'03 Captura Mensual'!H11,0)</x:f>
        <x:v>0.961439588688946</x:v>
      </x:c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>
      <x:c r="A12" s="204" t="str">
        <x:f>'03 Captura Mensual'!A12</x:f>
        <x:v>Julio</x:v>
      </x:c>
      <x:c r="B12" s="205" t="n">
        <x:f>'03 Captura Mensual'!C12</x:f>
        <x:v>181000</x:v>
      </x:c>
      <x:c r="C12" s="206" t="n">
        <x:f>IFERROR(IF('03 Captura Mensual'!C11=0,0,('03 Captura Mensual'!C12-'03 Captura Mensual'!C11)/'03 Captura Mensual'!C11),0)</x:f>
        <x:v>0.03428571428571429</x:v>
      </x:c>
      <x:c r="D12" s="206" t="n">
        <x:f>IFERROR('03 Captura Mensual'!C12/'03 Captura Mensual'!B12,0)</x:f>
        <x:v>1.0055555555555555</x:v>
      </x:c>
      <x:c r="E12" s="205" t="n">
        <x:f>IFERROR('03 Captura Mensual'!C12/'03 Captura Mensual'!J12,0)</x:f>
        <x:v>291.93548387096774</x:v>
      </x:c>
      <x:c r="F12" s="205" t="n">
        <x:f>'03 Captura Mensual'!C12-'03 Captura Mensual'!D12</x:f>
        <x:v>106000</x:v>
      </x:c>
      <x:c r="G12" s="206" t="n">
        <x:f>IFERROR(F12/B12,0)</x:f>
        <x:v>0.585635359116022</x:v>
      </x:c>
      <x:c r="H12" s="205" t="n">
        <x:f>'03 Captura Mensual'!C12-'03 Captura Mensual'!D12-'03 Captura Mensual'!E12-'03 Captura Mensual'!F12</x:f>
        <x:v>56000</x:v>
      </x:c>
      <x:c r="I12" s="206" t="n">
        <x:f>IFERROR(H12/B12,0)</x:f>
        <x:v>0.30939226519337015</x:v>
      </x:c>
      <x:c r="J12" s="206" t="n">
        <x:f>IFERROR((F12-'03 Captura Mensual'!F12)/'03 Captura Mensual'!F12,0)</x:f>
        <x:v>7.833333333333333</x:v>
      </x:c>
      <x:c r="K12" s="205" t="n">
        <x:f>'03 Captura Mensual'!E12</x:f>
        <x:v>38000</x:v>
      </x:c>
      <x:c r="L12" s="206" t="n">
        <x:f>IFERROR(K12/B12,0)</x:f>
        <x:v>0.20994475138121546</x:v>
      </x:c>
      <x:c r="M12" s="205" t="n">
        <x:f>IFERROR(B12/'03 Captura Mensual'!K12,0)</x:f>
        <x:v>18100</x:v>
      </x:c>
      <x:c r="N12" s="206" t="n">
        <x:f>IFERROR('03 Captura Mensual'!M12/'03 Captura Mensual'!L12,0)</x:f>
        <x:v>0.9461538461538461</x:v>
      </x:c>
      <x:c r="O12" s="207" t="n">
        <x:f>'03 Captura Mensual'!G12</x:f>
        <x:v>52</x:v>
      </x:c>
      <x:c r="P12" s="206" t="n">
        <x:f>IFERROR(('03 Captura Mensual'!H12-'03 Captura Mensual'!I12)/'03 Captura Mensual'!H12,0)</x:f>
        <x:v>0.9620853080568721</x:v>
      </x:c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>
      <x:c r="A13" s="204" t="str">
        <x:f>'03 Captura Mensual'!A13</x:f>
        <x:v>Agosto</x:v>
      </x:c>
      <x:c r="B13" s="205" t="n">
        <x:f>'03 Captura Mensual'!C13</x:f>
        <x:v>195000</x:v>
      </x:c>
      <x:c r="C13" s="206" t="n">
        <x:f>IFERROR(IF('03 Captura Mensual'!C12=0,0,('03 Captura Mensual'!C13-'03 Captura Mensual'!C12)/'03 Captura Mensual'!C12),0)</x:f>
        <x:v>0.07734806629834254</x:v>
      </x:c>
      <x:c r="D13" s="206" t="n">
        <x:f>IFERROR('03 Captura Mensual'!C13/'03 Captura Mensual'!B13,0)</x:f>
        <x:v>1.0263157894736843</x:v>
      </x:c>
      <x:c r="E13" s="205" t="n">
        <x:f>IFERROR('03 Captura Mensual'!C13/'03 Captura Mensual'!J13,0)</x:f>
        <x:v>295.45454545454544</x:v>
      </x:c>
      <x:c r="F13" s="205" t="n">
        <x:f>'03 Captura Mensual'!C13-'03 Captura Mensual'!D13</x:f>
        <x:v>116000</x:v>
      </x:c>
      <x:c r="G13" s="206" t="n">
        <x:f>IFERROR(F13/B13,0)</x:f>
        <x:v>0.5948717948717949</x:v>
      </x:c>
      <x:c r="H13" s="205" t="n">
        <x:f>'03 Captura Mensual'!C13-'03 Captura Mensual'!D13-'03 Captura Mensual'!E13-'03 Captura Mensual'!F13</x:f>
        <x:v>63000</x:v>
      </x:c>
      <x:c r="I13" s="206" t="n">
        <x:f>IFERROR(H13/B13,0)</x:f>
        <x:v>0.3230769230769231</x:v>
      </x:c>
      <x:c r="J13" s="206" t="n">
        <x:f>IFERROR((F13-'03 Captura Mensual'!F13)/'03 Captura Mensual'!F13,0)</x:f>
        <x:v>7.923076923076923</x:v>
      </x:c>
      <x:c r="K13" s="205" t="n">
        <x:f>'03 Captura Mensual'!E13</x:f>
        <x:v>40000</x:v>
      </x:c>
      <x:c r="L13" s="206" t="n">
        <x:f>IFERROR(K13/B13,0)</x:f>
        <x:v>0.20512820512820512</x:v>
      </x:c>
      <x:c r="M13" s="205" t="n">
        <x:f>IFERROR(B13/'03 Captura Mensual'!K13,0)</x:f>
        <x:v>17727.272727272728</x:v>
      </x:c>
      <x:c r="N13" s="206" t="n">
        <x:f>IFERROR('03 Captura Mensual'!M13/'03 Captura Mensual'!L13,0)</x:f>
        <x:v>0.9565217391304348</x:v>
      </x:c>
      <x:c r="O13" s="207" t="n">
        <x:f>'03 Captura Mensual'!G13</x:f>
        <x:v>55</x:v>
      </x:c>
      <x:c r="P13" s="206" t="n">
        <x:f>IFERROR(('03 Captura Mensual'!H13-'03 Captura Mensual'!I13)/'03 Captura Mensual'!H13,0)</x:f>
        <x:v>0.962882096069869</x:v>
      </x:c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>
      <x:c r="A14" s="204" t="str">
        <x:f>'03 Captura Mensual'!A14</x:f>
        <x:v>Septiembre</x:v>
      </x:c>
      <x:c r="B14" s="205" t="n">
        <x:f>'03 Captura Mensual'!C14</x:f>
        <x:v>202000</x:v>
      </x:c>
      <x:c r="C14" s="206" t="n">
        <x:f>IFERROR(IF('03 Captura Mensual'!C13=0,0,('03 Captura Mensual'!C14-'03 Captura Mensual'!C13)/'03 Captura Mensual'!C13),0)</x:f>
        <x:v>0.035897435897435895</x:v>
      </x:c>
      <x:c r="D14" s="206" t="n">
        <x:f>IFERROR('03 Captura Mensual'!C14/'03 Captura Mensual'!B14,0)</x:f>
        <x:v>1.01</x:v>
      </x:c>
      <x:c r="E14" s="205" t="n">
        <x:f>IFERROR('03 Captura Mensual'!C14/'03 Captura Mensual'!J14,0)</x:f>
        <x:v>292.7536231884058</x:v>
      </x:c>
      <x:c r="F14" s="205" t="n">
        <x:f>'03 Captura Mensual'!C14-'03 Captura Mensual'!D14</x:f>
        <x:v>119000</x:v>
      </x:c>
      <x:c r="G14" s="206" t="n">
        <x:f>IFERROR(F14/B14,0)</x:f>
        <x:v>0.5891089108910891</x:v>
      </x:c>
      <x:c r="H14" s="205" t="n">
        <x:f>'03 Captura Mensual'!C14-'03 Captura Mensual'!D14-'03 Captura Mensual'!E14-'03 Captura Mensual'!F14</x:f>
        <x:v>63500</x:v>
      </x:c>
      <x:c r="I14" s="206" t="n">
        <x:f>IFERROR(H14/B14,0)</x:f>
        <x:v>0.31435643564356436</x:v>
      </x:c>
      <x:c r="J14" s="206" t="n">
        <x:f>IFERROR((F14-'03 Captura Mensual'!F14)/'03 Captura Mensual'!F14,0)</x:f>
        <x:v>7.814814814814815</x:v>
      </x:c>
      <x:c r="K14" s="205" t="n">
        <x:f>'03 Captura Mensual'!E14</x:f>
        <x:v>42000</x:v>
      </x:c>
      <x:c r="L14" s="206" t="n">
        <x:f>IFERROR(K14/B14,0)</x:f>
        <x:v>0.2079207920792079</x:v>
      </x:c>
      <x:c r="M14" s="205" t="n">
        <x:f>IFERROR(B14/'03 Captura Mensual'!K14,0)</x:f>
        <x:v>18363.636363636364</x:v>
      </x:c>
      <x:c r="N14" s="206" t="n">
        <x:f>IFERROR('03 Captura Mensual'!M14/'03 Captura Mensual'!L14,0)</x:f>
        <x:v>0.9722222222222222</x:v>
      </x:c>
      <x:c r="O14" s="207" t="n">
        <x:f>'03 Captura Mensual'!G14</x:f>
        <x:v>58</x:v>
      </x:c>
      <x:c r="P14" s="206" t="n">
        <x:f>IFERROR(('03 Captura Mensual'!H14-'03 Captura Mensual'!I14)/'03 Captura Mensual'!H14,0)</x:f>
        <x:v>0.9637096774193549</x:v>
      </x:c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>
      <x:c r="A15" s="204" t="str">
        <x:f>'03 Captura Mensual'!A15</x:f>
        <x:v>Octubre</x:v>
      </x:c>
      <x:c r="B15" s="205" t="n">
        <x:f>'03 Captura Mensual'!C15</x:f>
        <x:v>218000</x:v>
      </x:c>
      <x:c r="C15" s="206" t="n">
        <x:f>IFERROR(IF('03 Captura Mensual'!C14=0,0,('03 Captura Mensual'!C15-'03 Captura Mensual'!C14)/'03 Captura Mensual'!C14),0)</x:f>
        <x:v>0.07920792079207921</x:v>
      </x:c>
      <x:c r="D15" s="206" t="n">
        <x:f>IFERROR('03 Captura Mensual'!C15/'03 Captura Mensual'!B15,0)</x:f>
        <x:v>1.0380952380952382</x:v>
      </x:c>
      <x:c r="E15" s="205" t="n">
        <x:f>IFERROR('03 Captura Mensual'!C15/'03 Captura Mensual'!J15,0)</x:f>
        <x:v>298.63013698630135</x:v>
      </x:c>
      <x:c r="F15" s="205" t="n">
        <x:f>'03 Captura Mensual'!C15-'03 Captura Mensual'!D15</x:f>
        <x:v>130000</x:v>
      </x:c>
      <x:c r="G15" s="206" t="n">
        <x:f>IFERROR(F15/B15,0)</x:f>
        <x:v>0.5963302752293578</x:v>
      </x:c>
      <x:c r="H15" s="205" t="n">
        <x:f>'03 Captura Mensual'!C15-'03 Captura Mensual'!D15-'03 Captura Mensual'!E15-'03 Captura Mensual'!F15</x:f>
        <x:v>71000</x:v>
      </x:c>
      <x:c r="I15" s="206" t="n">
        <x:f>IFERROR(H15/B15,0)</x:f>
        <x:v>0.3256880733944954</x:v>
      </x:c>
      <x:c r="J15" s="206" t="n">
        <x:f>IFERROR((F15-'03 Captura Mensual'!F15)/'03 Captura Mensual'!F15,0)</x:f>
        <x:v>7.9655172413793105</x:v>
      </x:c>
      <x:c r="K15" s="205" t="n">
        <x:f>'03 Captura Mensual'!E15</x:f>
        <x:v>44500</x:v>
      </x:c>
      <x:c r="L15" s="206" t="n">
        <x:f>IFERROR(K15/B15,0)</x:f>
        <x:v>0.20412844036697247</x:v>
      </x:c>
      <x:c r="M15" s="205" t="n">
        <x:f>IFERROR(B15/'03 Captura Mensual'!K15,0)</x:f>
        <x:v>18166.666666666668</x:v>
      </x:c>
      <x:c r="N15" s="206" t="n">
        <x:f>IFERROR('03 Captura Mensual'!M15/'03 Captura Mensual'!L15,0)</x:f>
        <x:v>0.9671052631578947</x:v>
      </x:c>
      <x:c r="O15" s="207" t="n">
        <x:f>'03 Captura Mensual'!G15</x:f>
        <x:v>63</x:v>
      </x:c>
      <x:c r="P15" s="206" t="n">
        <x:f>IFERROR(('03 Captura Mensual'!H15-'03 Captura Mensual'!I15)/'03 Captura Mensual'!H15,0)</x:f>
        <x:v>0.9645522388059702</x:v>
      </x:c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>
      <x:c r="A16" s="204" t="str">
        <x:f>'03 Captura Mensual'!A16</x:f>
        <x:v>Noviembre</x:v>
      </x:c>
      <x:c r="B16" s="205" t="n">
        <x:f>'03 Captura Mensual'!C16</x:f>
        <x:v>226000</x:v>
      </x:c>
      <x:c r="C16" s="206" t="n">
        <x:f>IFERROR(IF('03 Captura Mensual'!C15=0,0,('03 Captura Mensual'!C16-'03 Captura Mensual'!C15)/'03 Captura Mensual'!C15),0)</x:f>
        <x:v>0.03669724770642202</x:v>
      </x:c>
      <x:c r="D16" s="206" t="n">
        <x:f>IFERROR('03 Captura Mensual'!C16/'03 Captura Mensual'!B16,0)</x:f>
        <x:v>1.0272727272727273</x:v>
      </x:c>
      <x:c r="E16" s="205" t="n">
        <x:f>IFERROR('03 Captura Mensual'!C16/'03 Captura Mensual'!J16,0)</x:f>
        <x:v>297.36842105263156</x:v>
      </x:c>
      <x:c r="F16" s="205" t="n">
        <x:f>'03 Captura Mensual'!C16-'03 Captura Mensual'!D16</x:f>
        <x:v>134000</x:v>
      </x:c>
      <x:c r="G16" s="206" t="n">
        <x:f>IFERROR(F16/B16,0)</x:f>
        <x:v>0.5929203539823009</x:v>
      </x:c>
      <x:c r="H16" s="205" t="n">
        <x:f>'03 Captura Mensual'!C16-'03 Captura Mensual'!D16-'03 Captura Mensual'!E16-'03 Captura Mensual'!F16</x:f>
        <x:v>72500</x:v>
      </x:c>
      <x:c r="I16" s="206" t="n">
        <x:f>IFERROR(H16/B16,0)</x:f>
        <x:v>0.32079646017699115</x:v>
      </x:c>
      <x:c r="J16" s="206" t="n">
        <x:f>IFERROR((F16-'03 Captura Mensual'!F16)/'03 Captura Mensual'!F16,0)</x:f>
        <x:v>7.933333333333334</x:v>
      </x:c>
      <x:c r="K16" s="205" t="n">
        <x:f>'03 Captura Mensual'!E16</x:f>
        <x:v>46500</x:v>
      </x:c>
      <x:c r="L16" s="206" t="n">
        <x:f>IFERROR(K16/B16,0)</x:f>
        <x:v>0.20575221238938052</x:v>
      </x:c>
      <x:c r="M16" s="205" t="n">
        <x:f>IFERROR(B16/'03 Captura Mensual'!K16,0)</x:f>
        <x:v>18833.333333333332</x:v>
      </x:c>
      <x:c r="N16" s="206" t="n">
        <x:f>IFERROR('03 Captura Mensual'!M16/'03 Captura Mensual'!L16,0)</x:f>
        <x:v>0.975</x:v>
      </x:c>
      <x:c r="O16" s="207" t="n">
        <x:f>'03 Captura Mensual'!G16</x:f>
        <x:v>65</x:v>
      </x:c>
      <x:c r="P16" s="206" t="n">
        <x:f>IFERROR(('03 Captura Mensual'!H16-'03 Captura Mensual'!I16)/'03 Captura Mensual'!H16,0)</x:f>
        <x:v>0.9655172413793104</x:v>
      </x:c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>
      <x:c r="A17" s="204" t="str">
        <x:f>'03 Captura Mensual'!A17</x:f>
        <x:v>Diciembre</x:v>
      </x:c>
      <x:c r="B17" s="205" t="n">
        <x:f>'03 Captura Mensual'!C17</x:f>
        <x:v>255000</x:v>
      </x:c>
      <x:c r="C17" s="206" t="n">
        <x:f>IFERROR(IF('03 Captura Mensual'!C16=0,0,('03 Captura Mensual'!C17-'03 Captura Mensual'!C16)/'03 Captura Mensual'!C16),0)</x:f>
        <x:v>0.12831858407079647</x:v>
      </x:c>
      <x:c r="D17" s="206" t="n">
        <x:f>IFERROR('03 Captura Mensual'!C17/'03 Captura Mensual'!B17,0)</x:f>
        <x:v>1.0625</x:v>
      </x:c>
      <x:c r="E17" s="205" t="n">
        <x:f>IFERROR('03 Captura Mensual'!C17/'03 Captura Mensual'!J17,0)</x:f>
        <x:v>310.9756097560976</x:v>
      </x:c>
      <x:c r="F17" s="205" t="n">
        <x:f>'03 Captura Mensual'!C17-'03 Captura Mensual'!D17</x:f>
        <x:v>153000</x:v>
      </x:c>
      <x:c r="G17" s="206" t="n">
        <x:f>IFERROR(F17/B17,0)</x:f>
        <x:v>0.6</x:v>
      </x:c>
      <x:c r="H17" s="205" t="n">
        <x:f>'03 Captura Mensual'!C17-'03 Captura Mensual'!D17-'03 Captura Mensual'!E17-'03 Captura Mensual'!F17</x:f>
        <x:v>84000</x:v>
      </x:c>
      <x:c r="I17" s="206" t="n">
        <x:f>IFERROR(H17/B17,0)</x:f>
        <x:v>0.32941176470588235</x:v>
      </x:c>
      <x:c r="J17" s="206" t="n">
        <x:f>IFERROR((F17-'03 Captura Mensual'!F17)/'03 Captura Mensual'!F17,0)</x:f>
        <x:v>8</x:v>
      </x:c>
      <x:c r="K17" s="205" t="n">
        <x:f>'03 Captura Mensual'!E17</x:f>
        <x:v>52000</x:v>
      </x:c>
      <x:c r="L17" s="206" t="n">
        <x:f>IFERROR(K17/B17,0)</x:f>
        <x:v>0.20392156862745098</x:v>
      </x:c>
      <x:c r="M17" s="205" t="n">
        <x:f>IFERROR(B17/'03 Captura Mensual'!K17,0)</x:f>
        <x:v>19615.384615384617</x:v>
      </x:c>
      <x:c r="N17" s="206" t="n">
        <x:f>IFERROR('03 Captura Mensual'!M17/'03 Captura Mensual'!L17,0)</x:f>
        <x:v>0.9659090909090909</x:v>
      </x:c>
      <x:c r="O17" s="207" t="n">
        <x:f>'03 Captura Mensual'!G17</x:f>
        <x:v>72</x:v>
      </x:c>
      <x:c r="P17" s="206" t="n">
        <x:f>IFERROR(('03 Captura Mensual'!H17-'03 Captura Mensual'!I17)/'03 Captura Mensual'!H17,0)</x:f>
        <x:v>0.9632</x:v>
      </x:c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>
      <x:c r="A18" s="163"/>
      <x:c r="B18" s="163"/>
      <x:c r="C18" s="163"/>
      <x:c r="D18" s="163"/>
      <x:c r="E18" s="163"/>
      <x:c r="F18" s="163"/>
      <x:c r="G18" s="163"/>
      <x:c r="H18" s="163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>
      <x:c r="A19" s="163"/>
      <x:c r="B19" s="163"/>
      <x:c r="C19" s="163"/>
      <x:c r="D19" s="163"/>
      <x:c r="E19" s="163"/>
      <x:c r="F19" s="163"/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>
      <x:c r="A20" s="163"/>
      <x:c r="B20" s="163"/>
      <x:c r="C20" s="163"/>
      <x:c r="D20" s="163"/>
      <x:c r="E20" s="163"/>
      <x:c r="F20" s="163"/>
      <x:c r="G20" s="163"/>
      <x:c r="H20" s="16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>
      <x:c r="A21" s="163"/>
      <x:c r="B21" s="163"/>
      <x:c r="C21" s="163"/>
      <x:c r="D21" s="163"/>
      <x:c r="E21" s="163"/>
      <x:c r="F21" s="163"/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>
      <x:c r="A22" s="163"/>
      <x:c r="B22" s="163"/>
      <x:c r="C22" s="163"/>
      <x:c r="D22" s="163"/>
      <x:c r="E22" s="163"/>
      <x:c r="F22" s="163"/>
      <x:c r="G22" s="163"/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>
      <x:c r="A23" s="163"/>
      <x:c r="B23" s="163"/>
      <x:c r="C23" s="163"/>
      <x:c r="D23" s="163"/>
      <x:c r="E23" s="163"/>
      <x:c r="F23" s="163"/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>
      <x:c r="A24" s="163"/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>
      <x:c r="A25" s="163"/>
      <x:c r="B25" s="163"/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>
      <x:c r="A26" s="163"/>
      <x:c r="B26" s="163"/>
      <x:c r="C26" s="163"/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>
      <x:c r="A27" s="163"/>
      <x:c r="B27" s="163"/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>
      <x:c r="A28" s="163"/>
      <x:c r="B28" s="163"/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>
      <x:c r="A29" s="163"/>
      <x:c r="B29" s="163"/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</x:sheetData>
  <x:mergeCells>
    <x:mergeCell ref="A1:P2"/>
    <x:mergeCell ref="A3:P3"/>
  </x:mergeCells>
  <x:conditionalFormatting sqref="D6:D17">
    <x:cfRule type="dataBar" priority="1">
      <x:dataBar>
        <x:cfvo type="min"/>
        <x:cfvo type="max"/>
        <x:color rgb="D4AF37"/>
      </x:dataBar>
      <x:extLst>
        <x:ext xmlns:x14="http://schemas.microsoft.com/office/spreadsheetml/2009/9/main" uri="{B025F937-C7B1-47D3-B67F-A62EFF666E3E}">
          <x14:id>{3C23F230-6801-77D4-0257-5AE2A10C10FF}</x14:id>
        </x:ext>
      </x:extLst>
    </x:cfRule>
  </x:conditionalFormatting>
  <x:conditionalFormatting sqref="I6:I17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P6:P17">
    <x:cfRule type="colorScale" priority="3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75368acaa9a428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C23F230-6801-77D4-0257-5AE2A10C10FF}">
            <x14:dataBar gradient="1">
              <x14:cfvo type="min"/>
              <x14:cfvo type="max"/>
              <x14:fillColor rgb="D4AF37"/>
            </x14:dataBar>
          </x14:cfRule>
          <xm:sqref>D6:D17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8" hidden="0" customWidth="1"/>
    <x:col min="4" max="4" width="18" hidden="0" customWidth="1"/>
    <x:col min="5" max="5" width="16" hidden="0" customWidth="1"/>
    <x:col min="6" max="6" width="3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162" t="str">
        <x:v>DASHBOARD EJECUTIVO · 15 KPIs CLAVE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 ht="30" customHeight="1">
      <x:c r="A2" s="162"/>
      <x:c r="B2" s="162"/>
      <x:c r="C2" s="162"/>
      <x:c r="D2" s="162"/>
      <x:c r="E2" s="162"/>
      <x:c r="F2" s="162"/>
      <x:c r="G2" s="162"/>
      <x:c r="H2" s="162"/>
      <x:c r="I2" s="162"/>
      <x:c r="J2" s="162"/>
      <x:c r="K2" s="162"/>
      <x:c r="L2" s="162"/>
      <x:c r="M2" s="162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 ht="30" customHeight="1">
      <x:c r="A3" s="198" t="str">
        <x:v>Panel para visualizar desempeño mensual en ventas, rentabilidad, eficiencia operativa y crecimiento. Cambia el mes desde la hoja 02 Configuración.</x:v>
      </x:c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>
      <x:c r="A4" s="163"/>
      <x:c r="B4" s="163"/>
      <x:c r="C4" s="163"/>
      <x:c r="D4" s="163"/>
      <x:c r="E4" s="163"/>
      <x:c r="F4" s="163"/>
      <x:c r="G4" s="163"/>
      <x:c r="H4" s="163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 ht="28" customHeight="1">
      <x:c r="A5" s="165" t="str">
        <x:v>Mes seleccionado</x:v>
      </x:c>
      <x:c r="B5" s="165" t="str">
        <x:v>Empresa</x:v>
      </x:c>
      <x:c r="C5" s="165" t="str">
        <x:v>Año</x:v>
      </x:c>
      <x:c r="D5" s="165" t="str">
        <x:v>Ventas netas</x:v>
      </x:c>
      <x:c r="E5" s="165" t="str">
        <x:v>Utilidad neta</x:v>
      </x:c>
      <x:c r="F5" s="165" t="str">
        <x:v>Margen neto</x:v>
      </x:c>
      <x:c r="G5" s="165" t="str">
        <x:v>Cumplimiento meta</x:v>
      </x:c>
      <x:c r="H5" s="163"/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 ht="30" customHeight="1">
      <x:c r="A6" s="232" t="str">
        <x:f>'02 Configuración'!$B$7</x:f>
        <x:v>Mayo</x:v>
      </x:c>
      <x:c r="B6" s="232" t="str">
        <x:f>'02 Configuración'!$B$5</x:f>
        <x:v>ICADEM / Tu empresa</x:v>
      </x:c>
      <x:c r="C6" s="232" t="n">
        <x:f>'02 Configuración'!$B$6</x:f>
        <x:v>2026</x:v>
      </x:c>
      <x:c r="D6" s="233" t="n">
        <x:f>INDEX('04 KPIs Automáticos'!$B$6:$B$17,MATCH($A$6,'04 KPIs Automáticos'!$A$6:$A$17,0))</x:f>
        <x:v>168500</x:v>
      </x:c>
      <x:c r="E6" s="233" t="n">
        <x:f>INDEX('04 KPIs Automáticos'!$H$6:$H$17,MATCH($A$6,'04 KPIs Automáticos'!$A$6:$A$17,0))</x:f>
        <x:v>53500</x:v>
      </x:c>
      <x:c r="F6" s="234" t="n">
        <x:f>INDEX('04 KPIs Automáticos'!$I$6:$I$17,MATCH($A$6,'04 KPIs Automáticos'!$A$6:$A$17,0))</x:f>
        <x:v>0.31750741839762614</x:v>
      </x:c>
      <x:c r="G6" s="234" t="n">
        <x:f>INDEX('04 KPIs Automáticos'!$D$6:$D$17,MATCH($A$6,'04 KPIs Automáticos'!$A$6:$A$17,0))</x:f>
        <x:v>1.053125</x:v>
      </x:c>
      <x:c r="H6" s="163"/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>
      <x:c r="A7" s="163"/>
      <x:c r="B7" s="163"/>
      <x:c r="C7" s="163"/>
      <x:c r="D7" s="163"/>
      <x:c r="E7" s="163"/>
      <x:c r="F7" s="163"/>
      <x:c r="G7" s="163"/>
      <x:c r="H7" s="163"/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 ht="28" customHeight="1">
      <x:c r="A8" s="180" t="str">
        <x:v>Área</x:v>
      </x:c>
      <x:c r="B8" s="180" t="str">
        <x:v>Indicador</x:v>
      </x:c>
      <x:c r="C8" s="180" t="str">
        <x:v>Resultado actual</x:v>
      </x:c>
      <x:c r="D8" s="180" t="str">
        <x:v>Referencia</x:v>
      </x:c>
      <x:c r="E8" s="180" t="str">
        <x:v>Estado</x:v>
      </x:c>
      <x:c r="F8" s="180" t="str">
        <x:v>Lectura ejecutiva</x:v>
      </x:c>
      <x:c r="G8" s="163"/>
      <x:c r="H8" s="163"/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>
      <x:c r="A9" s="215" t="str">
        <x:v>Ventas</x:v>
      </x:c>
      <x:c r="B9" s="215" t="str">
        <x:v>Ventas netas</x:v>
      </x:c>
      <x:c r="C9" s="216" t="n">
        <x:f>INDEX('04 KPIs Automáticos'!$B$6:$B$17,MATCH($A$6,'04 KPIs Automáticos'!$A$6:$A$17,0))</x:f>
        <x:v>168500</x:v>
      </x:c>
      <x:c r="D9" s="216" t="n">
        <x:f>INDEX('03 Captura Mensual'!$B$6:$B$17,MATCH($A$6,'03 Captura Mensual'!$A$6:$A$17,0))</x:f>
        <x:v>160000</x:v>
      </x:c>
      <x:c r="E9" s="217" t="str">
        <x:f>IFERROR(IF(C9=0,"Sin datos",IF(C9&gt;=D9,"Óptimo",IF(C9&gt;=D9*0.85,"Atención","Crítico"))),"Sin datos")</x:f>
        <x:v>Óptimo</x:v>
      </x:c>
      <x:c r="F9" s="190" t="str">
        <x:f>IF(E9="Óptimo","Buen desempeño: mantener estrategia.",IF(E9="Atención","Revisar desviación y ajustar acciones.",IF(E9="Crítico","Prioridad alta: requiere acción correctiva.","Captura datos para analizar.")))</x:f>
        <x:v>Buen desempeño: mantener estrategia.</x:v>
      </x:c>
      <x:c r="G9" s="163"/>
      <x:c r="H9" s="163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>
      <x:c r="A10" s="215" t="str">
        <x:v>Ventas</x:v>
      </x:c>
      <x:c r="B10" s="215" t="str">
        <x:v>Crecimiento ventas %</x:v>
      </x:c>
      <x:c r="C10" s="218" t="n">
        <x:f>INDEX('04 KPIs Automáticos'!$C$6:$C$17,MATCH($A$6,'04 KPIs Automáticos'!$A$6:$A$17,0))</x:f>
        <x:v>0.09415584415584416</x:v>
      </x:c>
      <x:c r="D10" s="218" t="n">
        <x:f>'02 Configuración'!$B$15</x:f>
        <x:v>0.05</x:v>
      </x:c>
      <x:c r="E10" s="217" t="str">
        <x:f>IFERROR(IF(C10=0,"Sin datos",IF(C10&gt;=D10,"Óptimo",IF(C10&gt;=D10*0.85,"Atención","Crítico"))),"Sin datos")</x:f>
        <x:v>Óptimo</x:v>
      </x:c>
      <x:c r="F10" s="190" t="str">
        <x:f>IF(E10="Óptimo","Buen desempeño: mantener estrategia.",IF(E10="Atención","Revisar desviación y ajustar acciones.",IF(E10="Crítico","Prioridad alta: requiere acción correctiva.","Captura datos para analizar.")))</x:f>
        <x:v>Buen desempeño: mantener estrategia.</x:v>
      </x:c>
      <x:c r="G10" s="163"/>
      <x:c r="H10" s="163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>
      <x:c r="A11" s="215" t="str">
        <x:v>Ventas</x:v>
      </x:c>
      <x:c r="B11" s="215" t="str">
        <x:v>Cumplimiento meta %</x:v>
      </x:c>
      <x:c r="C11" s="218" t="n">
        <x:f>INDEX('04 KPIs Automáticos'!$D$6:$D$17,MATCH($A$6,'04 KPIs Automáticos'!$A$6:$A$17,0))</x:f>
        <x:v>1.053125</x:v>
      </x:c>
      <x:c r="D11" s="218" t="n">
        <x:f>1</x:f>
        <x:v>1</x:v>
      </x:c>
      <x:c r="E11" s="217" t="str">
        <x:f>IFERROR(IF(C11=0,"Sin datos",IF(C11&gt;=D11,"Óptimo",IF(C11&gt;=D11*0.85,"Atención","Crítico"))),"Sin datos")</x:f>
        <x:v>Óptimo</x:v>
      </x:c>
      <x:c r="F11" s="190" t="str">
        <x:f>IF(E11="Óptimo","Buen desempeño: mantener estrategia.",IF(E11="Atención","Revisar desviación y ajustar acciones.",IF(E11="Crítico","Prioridad alta: requiere acción correctiva.","Captura datos para analizar.")))</x:f>
        <x:v>Buen desempeño: mantener estrategia.</x:v>
      </x:c>
      <x:c r="G11" s="163"/>
      <x:c r="H11" s="163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>
      <x:c r="A12" s="215" t="str">
        <x:v>Ventas</x:v>
      </x:c>
      <x:c r="B12" s="215" t="str">
        <x:v>Ticket promedio</x:v>
      </x:c>
      <x:c r="C12" s="216" t="n">
        <x:f>INDEX('04 KPIs Automáticos'!$E$6:$E$17,MATCH($A$6,'04 KPIs Automáticos'!$A$6:$A$17,0))</x:f>
        <x:v>298.2300884955752</x:v>
      </x:c>
      <x:c r="D12" s="216" t="n">
        <x:f>AVERAGE('04 KPIs Automáticos'!$E$6:$E$17)</x:f>
        <x:v>295.3241764906387</x:v>
      </x:c>
      <x:c r="E12" s="217" t="str">
        <x:f>IFERROR(IF(C12=0,"Sin datos",IF(C12&gt;=D12,"Óptimo",IF(C12&gt;=D12*0.85,"Atención","Crítico"))),"Sin datos")</x:f>
        <x:v>Óptimo</x:v>
      </x:c>
      <x:c r="F12" s="190" t="str">
        <x:f>IF(E12="Óptimo","Buen desempeño: mantener estrategia.",IF(E12="Atención","Revisar desviación y ajustar acciones.",IF(E12="Crítico","Prioridad alta: requiere acción correctiva.","Captura datos para analizar.")))</x:f>
        <x:v>Buen desempeño: mantener estrategia.</x:v>
      </x:c>
      <x:c r="G12" s="163"/>
      <x:c r="H12" s="163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>
      <x:c r="A13" s="215" t="str">
        <x:v>Rentabilidad</x:v>
      </x:c>
      <x:c r="B13" s="215" t="str">
        <x:v>Utilidad bruta</x:v>
      </x:c>
      <x:c r="C13" s="216" t="n">
        <x:f>INDEX('04 KPIs Automáticos'!$F$6:$F$17,MATCH($A$6,'04 KPIs Automáticos'!$A$6:$A$17,0))</x:f>
        <x:v>99500</x:v>
      </x:c>
      <x:c r="D13" s="216" t="n">
        <x:f>0</x:f>
        <x:v>0</x:v>
      </x:c>
      <x:c r="E13" s="217" t="str">
        <x:f>IFERROR(IF(C13=0,"Sin datos",IF(C13&gt;D13,"Óptimo","Crítico")),"Sin datos")</x:f>
        <x:v>Óptimo</x:v>
      </x:c>
      <x:c r="F13" s="190" t="str">
        <x:f>IF(E13="Óptimo","Buen desempeño: mantener estrategia.",IF(E13="Atención","Revisar desviación y ajustar acciones.",IF(E13="Crítico","Prioridad alta: requiere acción correctiva.","Captura datos para analizar.")))</x:f>
        <x:v>Buen desempeño: mantener estrategia.</x:v>
      </x:c>
      <x:c r="G13" s="163"/>
      <x:c r="H13" s="163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>
      <x:c r="A14" s="215" t="str">
        <x:v>Rentabilidad</x:v>
      </x:c>
      <x:c r="B14" s="215" t="str">
        <x:v>Margen bruto %</x:v>
      </x:c>
      <x:c r="C14" s="218" t="n">
        <x:f>INDEX('04 KPIs Automáticos'!$G$6:$G$17,MATCH($A$6,'04 KPIs Automáticos'!$A$6:$A$17,0))</x:f>
        <x:v>0.5905044510385756</x:v>
      </x:c>
      <x:c r="D14" s="218" t="n">
        <x:f>'02 Configuración'!$B$9</x:f>
        <x:v>0.45</x:v>
      </x:c>
      <x:c r="E14" s="217" t="str">
        <x:f>IFERROR(IF(C14=0,"Sin datos",IF(C14&gt;=D14,"Óptimo",IF(C14&gt;=D14*0.85,"Atención","Crítico"))),"Sin datos")</x:f>
        <x:v>Óptimo</x:v>
      </x:c>
      <x:c r="F14" s="190" t="str">
        <x:f>IF(E14="Óptimo","Buen desempeño: mantener estrategia.",IF(E14="Atención","Revisar desviación y ajustar acciones.",IF(E14="Crítico","Prioridad alta: requiere acción correctiva.","Captura datos para analizar.")))</x:f>
        <x:v>Buen desempeño: mantener estrategia.</x:v>
      </x:c>
      <x:c r="G14" s="163"/>
      <x:c r="H14" s="163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>
      <x:c r="A15" s="215" t="str">
        <x:v>Rentabilidad</x:v>
      </x:c>
      <x:c r="B15" s="215" t="str">
        <x:v>Utilidad neta</x:v>
      </x:c>
      <x:c r="C15" s="216" t="n">
        <x:f>INDEX('04 KPIs Automáticos'!$H$6:$H$17,MATCH($A$6,'04 KPIs Automáticos'!$A$6:$A$17,0))</x:f>
        <x:v>53500</x:v>
      </x:c>
      <x:c r="D15" s="216" t="n">
        <x:f>0</x:f>
        <x:v>0</x:v>
      </x:c>
      <x:c r="E15" s="217" t="str">
        <x:f>IFERROR(IF(C15=0,"Sin datos",IF(C15&gt;D15,"Óptimo","Crítico")),"Sin datos")</x:f>
        <x:v>Óptimo</x:v>
      </x:c>
      <x:c r="F15" s="190" t="str">
        <x:f>IF(E15="Óptimo","Buen desempeño: mantener estrategia.",IF(E15="Atención","Revisar desviación y ajustar acciones.",IF(E15="Crítico","Prioridad alta: requiere acción correctiva.","Captura datos para analizar.")))</x:f>
        <x:v>Buen desempeño: mantener estrategia.</x:v>
      </x:c>
      <x:c r="G15" s="163"/>
      <x:c r="H15" s="163"/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>
      <x:c r="A16" s="215" t="str">
        <x:v>Rentabilidad</x:v>
      </x:c>
      <x:c r="B16" s="215" t="str">
        <x:v>Margen neto %</x:v>
      </x:c>
      <x:c r="C16" s="218" t="n">
        <x:f>INDEX('04 KPIs Automáticos'!$I$6:$I$17,MATCH($A$6,'04 KPIs Automáticos'!$A$6:$A$17,0))</x:f>
        <x:v>0.31750741839762614</x:v>
      </x:c>
      <x:c r="D16" s="218" t="n">
        <x:f>'02 Configuración'!$B$10</x:f>
        <x:v>0.18</x:v>
      </x:c>
      <x:c r="E16" s="217" t="str">
        <x:f>IFERROR(IF(C16=0,"Sin datos",IF(C16&gt;=D16,"Óptimo",IF(C16&gt;=D16*0.85,"Atención","Crítico"))),"Sin datos")</x:f>
        <x:v>Óptimo</x:v>
      </x:c>
      <x:c r="F16" s="190" t="str">
        <x:f>IF(E16="Óptimo","Buen desempeño: mantener estrategia.",IF(E16="Atención","Revisar desviación y ajustar acciones.",IF(E16="Crítico","Prioridad alta: requiere acción correctiva.","Captura datos para analizar.")))</x:f>
        <x:v>Buen desempeño: mantener estrategia.</x:v>
      </x:c>
      <x:c r="G16" s="163"/>
      <x:c r="H16" s="163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>
      <x:c r="A17" s="215" t="str">
        <x:v>Rentabilidad</x:v>
      </x:c>
      <x:c r="B17" s="215" t="str">
        <x:v>ROI marketing</x:v>
      </x:c>
      <x:c r="C17" s="218" t="n">
        <x:f>INDEX('04 KPIs Automáticos'!$J$6:$J$17,MATCH($A$6,'04 KPIs Automáticos'!$A$6:$A$17,0))</x:f>
        <x:v>8.045454545454545</x:v>
      </x:c>
      <x:c r="D17" s="218" t="n">
        <x:f>'02 Configuración'!$B$11</x:f>
        <x:v>2</x:v>
      </x:c>
      <x:c r="E17" s="217" t="str">
        <x:f>IFERROR(IF(C17=0,"Sin datos",IF(C17&gt;=D17,"Óptimo",IF(C17&gt;=D17*0.85,"Atención","Crítico"))),"Sin datos")</x:f>
        <x:v>Óptimo</x:v>
      </x:c>
      <x:c r="F17" s="190" t="str">
        <x:f>IF(E17="Óptimo","Buen desempeño: mantener estrategia.",IF(E17="Atención","Revisar desviación y ajustar acciones.",IF(E17="Crítico","Prioridad alta: requiere acción correctiva.","Captura datos para analizar.")))</x:f>
        <x:v>Buen desempeño: mantener estrategia.</x:v>
      </x:c>
      <x:c r="G17" s="163"/>
      <x:c r="H17" s="163"/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>
      <x:c r="A18" s="215" t="str">
        <x:v>Eficiencia Operativa</x:v>
      </x:c>
      <x:c r="B18" s="215" t="str">
        <x:v>Gastos operativos</x:v>
      </x:c>
      <x:c r="C18" s="216" t="n">
        <x:f>INDEX('04 KPIs Automáticos'!$K$6:$K$17,MATCH($A$6,'04 KPIs Automáticos'!$A$6:$A$17,0))</x:f>
        <x:v>35000</x:v>
      </x:c>
      <x:c r="D18" s="216" t="n">
        <x:f>AVERAGE('04 KPIs Automáticos'!$K$6:$K$17)</x:f>
        <x:v>38000</x:v>
      </x:c>
      <x:c r="E18" s="217" t="str">
        <x:f>IFERROR(IF(C18=0,"Sin datos",IF(C18&lt;=D18,"Óptimo",IF(C18&lt;=D18*1.15,"Atención","Crítico"))),"Sin datos")</x:f>
        <x:v>Óptimo</x:v>
      </x:c>
      <x:c r="F18" s="190" t="str">
        <x:f>IF(E18="Óptimo","Buen desempeño: mantener estrategia.",IF(E18="Atención","Revisar desviación y ajustar acciones.",IF(E18="Crítico","Prioridad alta: requiere acción correctiva.","Captura datos para analizar.")))</x:f>
        <x:v>Buen desempeño: mantener estrategia.</x:v>
      </x:c>
      <x:c r="G18" s="163"/>
      <x:c r="H18" s="163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>
      <x:c r="A19" s="215" t="str">
        <x:v>Eficiencia Operativa</x:v>
      </x:c>
      <x:c r="B19" s="215" t="str">
        <x:v>Gastos/Ventas %</x:v>
      </x:c>
      <x:c r="C19" s="218" t="n">
        <x:f>INDEX('04 KPIs Automáticos'!$L$6:$L$17,MATCH($A$6,'04 KPIs Automáticos'!$A$6:$A$17,0))</x:f>
        <x:v>0.20771513353115728</x:v>
      </x:c>
      <x:c r="D19" s="218" t="n">
        <x:f>'02 Configuración'!$B$12</x:f>
        <x:v>0.3</x:v>
      </x:c>
      <x:c r="E19" s="217" t="str">
        <x:f>IFERROR(IF(C19=0,"Sin datos",IF(C19&lt;=D19,"Óptimo",IF(C19&lt;=D19*1.15,"Atención","Crítico"))),"Sin datos")</x:f>
        <x:v>Óptimo</x:v>
      </x:c>
      <x:c r="F19" s="190" t="str">
        <x:f>IF(E19="Óptimo","Buen desempeño: mantener estrategia.",IF(E19="Atención","Revisar desviación y ajustar acciones.",IF(E19="Crítico","Prioridad alta: requiere acción correctiva.","Captura datos para analizar.")))</x:f>
        <x:v>Buen desempeño: mantener estrategia.</x:v>
      </x:c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>
      <x:c r="A20" s="215" t="str">
        <x:v>Eficiencia Operativa</x:v>
      </x:c>
      <x:c r="B20" s="215" t="str">
        <x:v>Productividad por empleado</x:v>
      </x:c>
      <x:c r="C20" s="216" t="n">
        <x:f>INDEX('04 KPIs Automáticos'!$M$6:$M$17,MATCH($A$6,'04 KPIs Automáticos'!$A$6:$A$17,0))</x:f>
        <x:v>16850</x:v>
      </x:c>
      <x:c r="D20" s="216" t="n">
        <x:f>AVERAGE('04 KPIs Automáticos'!$M$6:$M$17)</x:f>
        <x:v>17409.43651256151</x:v>
      </x:c>
      <x:c r="E20" s="217" t="str">
        <x:f>IFERROR(IF(C20=0,"Sin datos",IF(C20&gt;=D20,"Óptimo",IF(C20&gt;=D20*0.85,"Atención","Crítico"))),"Sin datos")</x:f>
        <x:v>Atención</x:v>
      </x:c>
      <x:c r="F20" s="190" t="str">
        <x:f>IF(E20="Óptimo","Buen desempeño: mantener estrategia.",IF(E20="Atención","Revisar desviación y ajustar acciones.",IF(E20="Crítico","Prioridad alta: requiere acción correctiva.","Captura datos para analizar.")))</x:f>
        <x:v>Revisar desviación y ajustar acciones.</x:v>
      </x:c>
      <x:c r="G20" s="163"/>
      <x:c r="H20" s="16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>
      <x:c r="A21" s="215" t="str">
        <x:v>Eficiencia Operativa</x:v>
      </x:c>
      <x:c r="B21" s="215" t="str">
        <x:v>Eficiencia cobranza %</x:v>
      </x:c>
      <x:c r="C21" s="218" t="n">
        <x:f>INDEX('04 KPIs Automáticos'!$N$6:$N$17,MATCH($A$6,'04 KPIs Automáticos'!$A$6:$A$17,0))</x:f>
        <x:v>0.95</x:v>
      </x:c>
      <x:c r="D21" s="218" t="n">
        <x:f>'02 Configuración'!$B$13</x:f>
        <x:v>0.85</x:v>
      </x:c>
      <x:c r="E21" s="217" t="str">
        <x:f>IFERROR(IF(C21=0,"Sin datos",IF(C21&gt;=D21,"Óptimo",IF(C21&gt;=D21*0.85,"Atención","Crítico"))),"Sin datos")</x:f>
        <x:v>Óptimo</x:v>
      </x:c>
      <x:c r="F21" s="190" t="str">
        <x:f>IF(E21="Óptimo","Buen desempeño: mantener estrategia.",IF(E21="Atención","Revisar desviación y ajustar acciones.",IF(E21="Crítico","Prioridad alta: requiere acción correctiva.","Captura datos para analizar.")))</x:f>
        <x:v>Buen desempeño: mantener estrategia.</x:v>
      </x:c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>
      <x:c r="A22" s="215" t="str">
        <x:v>Crecimiento</x:v>
      </x:c>
      <x:c r="B22" s="215" t="str">
        <x:v>Clientes nuevos</x:v>
      </x:c>
      <x:c r="C22" s="219" t="n">
        <x:f>INDEX('04 KPIs Automáticos'!$O$6:$O$17,MATCH($A$6,'04 KPIs Automáticos'!$A$6:$A$17,0))</x:f>
        <x:v>50</x:v>
      </x:c>
      <x:c r="D22" s="219" t="n">
        <x:f>AVERAGE('04 KPIs Automáticos'!$O$6:$O$17)</x:f>
        <x:v>51</x:v>
      </x:c>
      <x:c r="E22" s="217" t="str">
        <x:f>IFERROR(IF(C22=0,"Sin datos",IF(C22&gt;=D22,"Óptimo",IF(C22&gt;=D22*0.85,"Atención","Crítico"))),"Sin datos")</x:f>
        <x:v>Atención</x:v>
      </x:c>
      <x:c r="F22" s="190" t="str">
        <x:f>IF(E22="Óptimo","Buen desempeño: mantener estrategia.",IF(E22="Atención","Revisar desviación y ajustar acciones.",IF(E22="Crítico","Prioridad alta: requiere acción correctiva.","Captura datos para analizar.")))</x:f>
        <x:v>Revisar desviación y ajustar acciones.</x:v>
      </x:c>
      <x:c r="G22" s="163"/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>
      <x:c r="A23" s="215" t="str">
        <x:v>Crecimiento</x:v>
      </x:c>
      <x:c r="B23" s="215" t="str">
        <x:v>Retención clientes %</x:v>
      </x:c>
      <x:c r="C23" s="218" t="n">
        <x:f>INDEX('04 KPIs Automáticos'!$P$6:$P$17,MATCH($A$6,'04 KPIs Automáticos'!$A$6:$A$17,0))</x:f>
        <x:v>0.9630681818181818</x:v>
      </x:c>
      <x:c r="D23" s="218" t="n">
        <x:f>'02 Configuración'!$B$14</x:f>
        <x:v>0.9</x:v>
      </x:c>
      <x:c r="E23" s="217" t="str">
        <x:f>IFERROR(IF(C23=0,"Sin datos",IF(C23&gt;=D23,"Óptimo",IF(C23&gt;=D23*0.85,"Atención","Crítico"))),"Sin datos")</x:f>
        <x:v>Óptimo</x:v>
      </x:c>
      <x:c r="F23" s="190" t="str">
        <x:f>IF(E23="Óptimo","Buen desempeño: mantener estrategia.",IF(E23="Atención","Revisar desviación y ajustar acciones.",IF(E23="Crítico","Prioridad alta: requiere acción correctiva.","Captura datos para analizar.")))</x:f>
        <x:v>Buen desempeño: mantener estrategia.</x:v>
      </x:c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>
      <x:c r="A24" s="163"/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>
      <x:c r="A25" s="163"/>
      <x:c r="B25" s="163"/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>
      <x:c r="A26" s="163"/>
      <x:c r="B26" s="163"/>
      <x:c r="C26" s="163"/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>
      <x:c r="A27" s="163"/>
      <x:c r="B27" s="163"/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>
      <x:c r="A28" s="163"/>
      <x:c r="B28" s="163"/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>
      <x:c r="A29" s="163"/>
      <x:c r="B29" s="163"/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</x:sheetData>
  <x:mergeCells>
    <x:mergeCell ref="A1:M2"/>
    <x:mergeCell ref="A3:M3"/>
  </x:mergeCells>
  <x:conditionalFormatting sqref="E9:E23">
    <x:cfRule type="expression" dxfId="0" priority="1">
      <x:formula>E9="Óptimo"</x:formula>
    </x:cfRule>
    <x:cfRule type="expression" dxfId="1" priority="2">
      <x:formula>E9="Atención"</x:formula>
    </x:cfRule>
    <x:cfRule type="expression" dxfId="2" priority="3">
      <x:formula>E9="Crítico"</x:formula>
    </x:cfRule>
    <x:cfRule type="expression" dxfId="3" priority="4">
      <x:formula>E9="Sin datos"</x:formula>
    </x:cfRule>
  </x:conditionalFormatting>
  <x:pageMargins left="0.7" right="0.7" top="0.75" bottom="0.75" header="0.3" footer="0.3"/>
  <x:drawing xmlns:r="http://schemas.openxmlformats.org/officeDocument/2006/relationships" r:id="Rcbf614391c4d42a5"/>
  <x:tableParts count="1">
    <x:tablePart xmlns:r="http://schemas.openxmlformats.org/officeDocument/2006/relationships" r:id="R806161d7b006480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72" hidden="0" customWidth="1"/>
    <x:col min="4" max="4" width="16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162" t="str">
        <x:v>ANÁLISIS EJECUTIVO AUTOMÁTICO</x:v>
      </x:c>
      <x:c r="B1" s="162"/>
      <x:c r="C1" s="162"/>
      <x:c r="D1" s="162"/>
      <x:c r="E1" s="162"/>
      <x:c r="F1" s="162"/>
      <x:c r="G1" s="162"/>
      <x:c r="H1" s="162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>
      <x:c r="A2" s="162"/>
      <x:c r="B2" s="162"/>
      <x:c r="C2" s="162"/>
      <x:c r="D2" s="162"/>
      <x:c r="E2" s="162"/>
      <x:c r="F2" s="162"/>
      <x:c r="G2" s="162"/>
      <x:c r="H2" s="162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>
      <x:c r="A3" s="198" t="str">
        <x:v>Resumen de hallazgos para apoyar decisiones gerenciales con base en los datos capturados.</x:v>
      </x:c>
      <x:c r="B3" s="198"/>
      <x:c r="C3" s="198"/>
      <x:c r="D3" s="198"/>
      <x:c r="E3" s="198"/>
      <x:c r="F3" s="198"/>
      <x:c r="G3" s="198"/>
      <x:c r="H3" s="198"/>
      <x:c r="I3" s="163"/>
      <x:c r="J3" s="163"/>
      <x:c r="K3" s="163"/>
      <x:c r="L3" s="163"/>
      <x:c r="M3" s="163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>
      <x:c r="A4" s="163"/>
      <x:c r="B4" s="163"/>
      <x:c r="C4" s="163"/>
      <x:c r="D4" s="163"/>
      <x:c r="E4" s="163"/>
      <x:c r="F4" s="163"/>
      <x:c r="G4" s="163"/>
      <x:c r="H4" s="163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>
      <x:c r="A5" s="180" t="str">
        <x:v>Indicador ejecutivo</x:v>
      </x:c>
      <x:c r="B5" s="180" t="str">
        <x:v>Resultado</x:v>
      </x:c>
      <x:c r="C5" s="180" t="str">
        <x:v>Lectura</x:v>
      </x:c>
      <x:c r="D5" s="163"/>
      <x:c r="E5" s="163"/>
      <x:c r="F5" s="163"/>
      <x:c r="G5" s="163"/>
      <x:c r="H5" s="163"/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>
      <x:c r="A6" s="188" t="str">
        <x:v>Mejor mes por ventas</x:v>
      </x:c>
      <x:c r="B6" s="228" t="str">
        <x:f>INDEX('04 KPIs Automáticos'!$A$6:$A$17,MATCH(MAX('04 KPIs Automáticos'!$B$6:$B$17),'04 KPIs Automáticos'!$B$6:$B$17,0))</x:f>
        <x:v>Diciembre</x:v>
      </x:c>
      <x:c r="C6" s="190" t="str">
        <x:v>Mes con mayor volumen de ventas netas.</x:v>
      </x:c>
      <x:c r="D6" s="163"/>
      <x:c r="E6" s="163"/>
      <x:c r="F6" s="163"/>
      <x:c r="G6" s="163"/>
      <x:c r="H6" s="163"/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>
      <x:c r="A7" s="188" t="str">
        <x:v>Mes más crítico por utilidad neta</x:v>
      </x:c>
      <x:c r="B7" s="228" t="str">
        <x:f>INDEX('04 KPIs Automáticos'!$A$6:$A$17,MATCH(MIN('04 KPIs Automáticos'!$H$6:$H$17),'04 KPIs Automáticos'!$H$6:$H$17,0))</x:f>
        <x:v>Enero</x:v>
      </x:c>
      <x:c r="C7" s="190" t="str">
        <x:v>Mes con menor utilidad neta. Revisar costos, gastos y marketing.</x:v>
      </x:c>
      <x:c r="D7" s="163"/>
      <x:c r="E7" s="163"/>
      <x:c r="F7" s="163"/>
      <x:c r="G7" s="163"/>
      <x:c r="H7" s="163"/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>
      <x:c r="A8" s="188" t="str">
        <x:v>Ventas acumuladas</x:v>
      </x:c>
      <x:c r="B8" s="216" t="n">
        <x:f>SUM('04 KPIs Automáticos'!$B$6:$B$17)</x:f>
        <x:v>2163000</x:v>
      </x:c>
      <x:c r="C8" s="190" t="str">
        <x:v>Suma de ventas netas registradas en el año.</x:v>
      </x:c>
      <x:c r="D8" s="163"/>
      <x:c r="E8" s="163"/>
      <x:c r="F8" s="163"/>
      <x:c r="G8" s="163"/>
      <x:c r="H8" s="163"/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>
      <x:c r="A9" s="188" t="str">
        <x:v>Utilidad neta acumulada</x:v>
      </x:c>
      <x:c r="B9" s="216" t="n">
        <x:f>SUM('04 KPIs Automáticos'!$H$6:$H$17)</x:f>
        <x:v>673000</x:v>
      </x:c>
      <x:c r="C9" s="190" t="str">
        <x:v>Resultado final después de costos, gastos y marketing.</x:v>
      </x:c>
      <x:c r="D9" s="163"/>
      <x:c r="E9" s="163"/>
      <x:c r="F9" s="163"/>
      <x:c r="G9" s="163"/>
      <x:c r="H9" s="163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>
      <x:c r="A10" s="188" t="str">
        <x:v>Margen neto promedio</x:v>
      </x:c>
      <x:c r="B10" s="218" t="n">
        <x:f>AVERAGE('04 KPIs Automáticos'!$I$6:$I$17)</x:f>
        <x:v>0.3071848845645865</x:v>
      </x:c>
      <x:c r="C10" s="190" t="str">
        <x:v>Promedio anual del margen neto.</x:v>
      </x:c>
      <x:c r="D10" s="163"/>
      <x:c r="E10" s="163"/>
      <x:c r="F10" s="163"/>
      <x:c r="G10" s="163"/>
      <x:c r="H10" s="163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>
      <x:c r="A11" s="188" t="str">
        <x:v>Promedio cumplimiento meta</x:v>
      </x:c>
      <x:c r="B11" s="218" t="n">
        <x:f>AVERAGE('04 KPIs Automáticos'!$D$6:$D$17)</x:f>
        <x:v>1.022268427504012</x:v>
      </x:c>
      <x:c r="C11" s="190" t="str">
        <x:v>Nivel promedio de cumplimiento contra metas mensuales.</x:v>
      </x:c>
      <x:c r="D11" s="163"/>
      <x:c r="E11" s="163"/>
      <x:c r="F11" s="163"/>
      <x:c r="G11" s="163"/>
      <x:c r="H11" s="163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>
      <x:c r="A12" s="163"/>
      <x:c r="B12" s="163"/>
      <x:c r="C12" s="163"/>
      <x:c r="D12" s="163"/>
      <x:c r="E12" s="163"/>
      <x:c r="F12" s="163"/>
      <x:c r="G12" s="163"/>
      <x:c r="H12" s="163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>
      <x:c r="A13" s="163"/>
      <x:c r="B13" s="163"/>
      <x:c r="C13" s="163"/>
      <x:c r="D13" s="163"/>
      <x:c r="E13" s="163"/>
      <x:c r="F13" s="163"/>
      <x:c r="G13" s="163"/>
      <x:c r="H13" s="163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>
      <x:c r="A14" s="180" t="str">
        <x:v>Área</x:v>
      </x:c>
      <x:c r="B14" s="180" t="str">
        <x:v>Riesgo detectado</x:v>
      </x:c>
      <x:c r="C14" s="180" t="str">
        <x:v>Acción sugerida</x:v>
      </x:c>
      <x:c r="D14" s="180" t="str">
        <x:v>Prioridad</x:v>
      </x:c>
      <x:c r="E14" s="163"/>
      <x:c r="F14" s="163"/>
      <x:c r="G14" s="163"/>
      <x:c r="H14" s="163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>
      <x:c r="A15" s="167" t="str">
        <x:v>Ventas</x:v>
      </x:c>
      <x:c r="B15" s="167" t="str">
        <x:f>IF('05 Dashboard Ejecutivo'!E11="Crítico","Ventas por debajo de meta","Sin riesgo crítico")</x:f>
        <x:v>Sin riesgo crítico</x:v>
      </x:c>
      <x:c r="C15" s="167" t="str">
        <x:f>IF(B15="Ventas por debajo de meta","Revisar oferta, embudo comercial, precio, promociones y seguimiento de clientes.","Mantener estrategia comercial.")</x:f>
        <x:v>Mantener estrategia comercial.</x:v>
      </x:c>
      <x:c r="D15" s="167" t="str">
        <x:f>IF(B15="Ventas por debajo de meta","Alta","Normal")</x:f>
        <x:v>Normal</x:v>
      </x:c>
      <x:c r="E15" s="163"/>
      <x:c r="F15" s="163"/>
      <x:c r="G15" s="163"/>
      <x:c r="H15" s="163"/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>
      <x:c r="A16" s="167" t="str">
        <x:v>Rentabilidad</x:v>
      </x:c>
      <x:c r="B16" s="167" t="str">
        <x:f>IF('05 Dashboard Ejecutivo'!E16="Crítico","Margen neto insuficiente","Sin riesgo crítico")</x:f>
        <x:v>Sin riesgo crítico</x:v>
      </x:c>
      <x:c r="C16" s="167" t="str">
        <x:f>IF(B16="Margen neto insuficiente","Reducir costos variables, renegociar proveedores y revisar gastos operativos.","Mantener control de costos.")</x:f>
        <x:v>Mantener control de costos.</x:v>
      </x:c>
      <x:c r="D16" s="167" t="str">
        <x:f>IF(B16="Margen neto insuficiente","Alta","Normal")</x:f>
        <x:v>Normal</x:v>
      </x:c>
      <x:c r="E16" s="163"/>
      <x:c r="F16" s="163"/>
      <x:c r="G16" s="163"/>
      <x:c r="H16" s="163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>
      <x:c r="A17" s="167" t="str">
        <x:v>Eficiencia</x:v>
      </x:c>
      <x:c r="B17" s="167" t="str">
        <x:f>IF('05 Dashboard Ejecutivo'!E19="Crítico","Gastos operativos elevados","Sin riesgo crítico")</x:f>
        <x:v>Sin riesgo crítico</x:v>
      </x:c>
      <x:c r="C17" s="167" t="str">
        <x:f>IF(B17="Gastos operativos elevados","Auditar gastos, eliminar fugas de dinero y asignar presupuesto por área.","Continuar monitoreo mensual.")</x:f>
        <x:v>Continuar monitoreo mensual.</x:v>
      </x:c>
      <x:c r="D17" s="167" t="str">
        <x:f>IF(B17="Gastos operativos elevados","Media","Normal")</x:f>
        <x:v>Normal</x:v>
      </x:c>
      <x:c r="E17" s="163"/>
      <x:c r="F17" s="163"/>
      <x:c r="G17" s="163"/>
      <x:c r="H17" s="163"/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>
      <x:c r="A18" s="167" t="str">
        <x:v>Crecimiento</x:v>
      </x:c>
      <x:c r="B18" s="167" t="str">
        <x:f>IF('05 Dashboard Ejecutivo'!E23="Crítico","Retención baja","Sin riesgo crítico")</x:f>
        <x:v>Sin riesgo crítico</x:v>
      </x:c>
      <x:c r="C18" s="167" t="str">
        <x:f>IF(B18="Retención baja","Fortalecer atención al cliente, fidelización, seguimiento postventa y recompra.","Mantener acciones de fidelización.")</x:f>
        <x:v>Mantener acciones de fidelización.</x:v>
      </x:c>
      <x:c r="D18" s="167" t="str">
        <x:f>IF(B18="Retención baja","Alta","Normal")</x:f>
        <x:v>Normal</x:v>
      </x:c>
      <x:c r="E18" s="163"/>
      <x:c r="F18" s="163"/>
      <x:c r="G18" s="163"/>
      <x:c r="H18" s="163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>
      <x:c r="A19" s="163"/>
      <x:c r="B19" s="163"/>
      <x:c r="C19" s="163"/>
      <x:c r="D19" s="163"/>
      <x:c r="E19" s="163"/>
      <x:c r="F19" s="163"/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>
      <x:c r="A20" s="163"/>
      <x:c r="B20" s="163"/>
      <x:c r="C20" s="163"/>
      <x:c r="D20" s="163"/>
      <x:c r="E20" s="163"/>
      <x:c r="F20" s="163"/>
      <x:c r="G20" s="163"/>
      <x:c r="H20" s="16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>
      <x:c r="A21" s="163"/>
      <x:c r="B21" s="163"/>
      <x:c r="C21" s="163"/>
      <x:c r="D21" s="163"/>
      <x:c r="E21" s="163"/>
      <x:c r="F21" s="163"/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>
      <x:c r="A22" s="163"/>
      <x:c r="B22" s="163"/>
      <x:c r="C22" s="163"/>
      <x:c r="D22" s="163"/>
      <x:c r="E22" s="163"/>
      <x:c r="F22" s="163"/>
      <x:c r="G22" s="163"/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>
      <x:c r="A23" s="163"/>
      <x:c r="B23" s="163"/>
      <x:c r="C23" s="163"/>
      <x:c r="D23" s="163"/>
      <x:c r="E23" s="163"/>
      <x:c r="F23" s="163"/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>
      <x:c r="A24" s="163"/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>
      <x:c r="A25" s="163"/>
      <x:c r="B25" s="163"/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>
      <x:c r="A26" s="163"/>
      <x:c r="B26" s="163"/>
      <x:c r="C26" s="163"/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>
      <x:c r="A27" s="163"/>
      <x:c r="B27" s="163"/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>
      <x:c r="A28" s="163"/>
      <x:c r="B28" s="163"/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>
      <x:c r="A29" s="163"/>
      <x:c r="B29" s="163"/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</x:sheetData>
  <x:mergeCells>
    <x:mergeCell ref="A1:H2"/>
    <x:mergeCell ref="A3:H3"/>
  </x:mergeCells>
  <x:conditionalFormatting sqref="D15:D18">
    <x:cfRule type="expression" dxfId="4" priority="1">
      <x:formula>D15="Alta"</x:formula>
    </x:cfRule>
    <x:cfRule type="expression" dxfId="5" priority="2">
      <x:formula>D15="Media"</x:formula>
    </x:cfRule>
    <x:cfRule type="expression" dxfId="6" priority="3">
      <x:formula>D15="Normal"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6acc272a8c8a4709"/>
    <x:tablePart xmlns:r="http://schemas.openxmlformats.org/officeDocument/2006/relationships" r:id="R6bd3ef0972384d6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6" hidden="0" customWidth="1"/>
  </x:cols>
  <x:sheetData>
    <x:row r="1">
      <x:c r="A1" s="180" t="str">
        <x:v>Meses</x:v>
      </x:c>
      <x:c r="B1" s="180" t="str">
        <x:v>Estado KPI</x:v>
      </x:c>
      <x:c r="C1" s="180" t="str">
        <x:v>Área KPI</x:v>
      </x:c>
      <x:c r="D1" s="180" t="str">
        <x:v>Tipo de dato</x:v>
      </x:c>
      <x:c r="E1" s="163"/>
      <x:c r="F1" s="163"/>
      <x:c r="G1" s="163"/>
      <x:c r="H1" s="163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>
      <x:c r="A2" s="230" t="str">
        <x:v>Enero</x:v>
      </x:c>
      <x:c r="B2" s="230" t="str">
        <x:v>Óptimo</x:v>
      </x:c>
      <x:c r="C2" s="230" t="str">
        <x:v>Ventas</x:v>
      </x:c>
      <x:c r="D2" s="230" t="str">
        <x:v>Moneda</x:v>
      </x:c>
      <x:c r="E2" s="163"/>
      <x:c r="F2" s="163"/>
      <x:c r="G2" s="163"/>
      <x:c r="H2" s="163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>
      <x:c r="A3" s="230" t="str">
        <x:v>Febrero</x:v>
      </x:c>
      <x:c r="B3" s="230" t="str">
        <x:v>Atención</x:v>
      </x:c>
      <x:c r="C3" s="230" t="str">
        <x:v>Rentabilidad</x:v>
      </x:c>
      <x:c r="D3" s="230" t="str">
        <x:v>Porcentaje</x:v>
      </x:c>
      <x:c r="E3" s="163"/>
      <x:c r="F3" s="163"/>
      <x:c r="G3" s="163"/>
      <x:c r="H3" s="163"/>
      <x:c r="I3" s="163"/>
      <x:c r="J3" s="163"/>
      <x:c r="K3" s="163"/>
      <x:c r="L3" s="163"/>
      <x:c r="M3" s="163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>
      <x:c r="A4" s="230" t="str">
        <x:v>Marzo</x:v>
      </x:c>
      <x:c r="B4" s="230" t="str">
        <x:v>Crítico</x:v>
      </x:c>
      <x:c r="C4" s="230" t="str">
        <x:v>Eficiencia Operativa</x:v>
      </x:c>
      <x:c r="D4" s="230" t="str">
        <x:v>Número</x:v>
      </x:c>
      <x:c r="E4" s="163"/>
      <x:c r="F4" s="163"/>
      <x:c r="G4" s="163"/>
      <x:c r="H4" s="163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>
      <x:c r="A5" s="230" t="str">
        <x:v>Abril</x:v>
      </x:c>
      <x:c r="B5" s="230" t="str">
        <x:v>Sin datos</x:v>
      </x:c>
      <x:c r="C5" s="230" t="str">
        <x:v>Crecimiento</x:v>
      </x:c>
      <x:c r="D5" s="230"/>
      <x:c r="E5" s="163"/>
      <x:c r="F5" s="163"/>
      <x:c r="G5" s="163"/>
      <x:c r="H5" s="163"/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>
      <x:c r="A6" s="230" t="str">
        <x:v>Mayo</x:v>
      </x:c>
      <x:c r="B6" s="230"/>
      <x:c r="C6" s="230"/>
      <x:c r="D6" s="230"/>
      <x:c r="E6" s="163"/>
      <x:c r="F6" s="163"/>
      <x:c r="G6" s="163"/>
      <x:c r="H6" s="163"/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>
      <x:c r="A7" s="230" t="str">
        <x:v>Junio</x:v>
      </x:c>
      <x:c r="B7" s="230"/>
      <x:c r="C7" s="230"/>
      <x:c r="D7" s="230"/>
      <x:c r="E7" s="163"/>
      <x:c r="F7" s="163"/>
      <x:c r="G7" s="163"/>
      <x:c r="H7" s="163"/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>
      <x:c r="A8" s="230" t="str">
        <x:v>Julio</x:v>
      </x:c>
      <x:c r="B8" s="230"/>
      <x:c r="C8" s="230"/>
      <x:c r="D8" s="230"/>
      <x:c r="E8" s="163"/>
      <x:c r="F8" s="163"/>
      <x:c r="G8" s="163"/>
      <x:c r="H8" s="163"/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>
      <x:c r="A9" s="230" t="str">
        <x:v>Agosto</x:v>
      </x:c>
      <x:c r="B9" s="230"/>
      <x:c r="C9" s="230"/>
      <x:c r="D9" s="230"/>
      <x:c r="E9" s="163"/>
      <x:c r="F9" s="163"/>
      <x:c r="G9" s="163"/>
      <x:c r="H9" s="163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>
      <x:c r="A10" s="230" t="str">
        <x:v>Septiembre</x:v>
      </x:c>
      <x:c r="B10" s="230"/>
      <x:c r="C10" s="230"/>
      <x:c r="D10" s="230"/>
      <x:c r="E10" s="163"/>
      <x:c r="F10" s="163"/>
      <x:c r="G10" s="163"/>
      <x:c r="H10" s="163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>
      <x:c r="A11" s="230" t="str">
        <x:v>Octubre</x:v>
      </x:c>
      <x:c r="B11" s="230"/>
      <x:c r="C11" s="230"/>
      <x:c r="D11" s="230"/>
      <x:c r="E11" s="163"/>
      <x:c r="F11" s="163"/>
      <x:c r="G11" s="163"/>
      <x:c r="H11" s="163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>
      <x:c r="A12" s="230" t="str">
        <x:v>Noviembre</x:v>
      </x:c>
      <x:c r="B12" s="230"/>
      <x:c r="C12" s="230"/>
      <x:c r="D12" s="230"/>
      <x:c r="E12" s="163"/>
      <x:c r="F12" s="163"/>
      <x:c r="G12" s="163"/>
      <x:c r="H12" s="163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>
      <x:c r="A13" s="230" t="str">
        <x:v>Diciembre</x:v>
      </x:c>
      <x:c r="B13" s="230"/>
      <x:c r="C13" s="230"/>
      <x:c r="D13" s="230"/>
      <x:c r="E13" s="163"/>
      <x:c r="F13" s="163"/>
      <x:c r="G13" s="163"/>
      <x:c r="H13" s="163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>
      <x:c r="A14" s="163"/>
      <x:c r="B14" s="163"/>
      <x:c r="C14" s="163"/>
      <x:c r="D14" s="163"/>
      <x:c r="E14" s="163"/>
      <x:c r="F14" s="163"/>
      <x:c r="G14" s="163"/>
      <x:c r="H14" s="163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>
      <x:c r="A15" s="163"/>
      <x:c r="B15" s="163"/>
      <x:c r="C15" s="163"/>
      <x:c r="D15" s="163"/>
      <x:c r="E15" s="163"/>
      <x:c r="F15" s="163"/>
      <x:c r="G15" s="163"/>
      <x:c r="H15" s="163"/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>
      <x:c r="A16" s="163"/>
      <x:c r="B16" s="163"/>
      <x:c r="C16" s="163"/>
      <x:c r="D16" s="163"/>
      <x:c r="E16" s="163"/>
      <x:c r="F16" s="163"/>
      <x:c r="G16" s="163"/>
      <x:c r="H16" s="163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>
      <x:c r="A17" s="163"/>
      <x:c r="B17" s="163"/>
      <x:c r="C17" s="163"/>
      <x:c r="D17" s="163"/>
      <x:c r="E17" s="163"/>
      <x:c r="F17" s="163"/>
      <x:c r="G17" s="163"/>
      <x:c r="H17" s="163"/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>
      <x:c r="A18" s="163"/>
      <x:c r="B18" s="163"/>
      <x:c r="C18" s="163"/>
      <x:c r="D18" s="163"/>
      <x:c r="E18" s="163"/>
      <x:c r="F18" s="163"/>
      <x:c r="G18" s="163"/>
      <x:c r="H18" s="163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>
      <x:c r="A19" s="163"/>
      <x:c r="B19" s="163"/>
      <x:c r="C19" s="163"/>
      <x:c r="D19" s="163"/>
      <x:c r="E19" s="163"/>
      <x:c r="F19" s="163"/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>
      <x:c r="A20" s="163"/>
      <x:c r="B20" s="163"/>
      <x:c r="C20" s="163"/>
      <x:c r="D20" s="163"/>
      <x:c r="E20" s="163"/>
      <x:c r="F20" s="163"/>
      <x:c r="G20" s="163"/>
      <x:c r="H20" s="16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>
      <x:c r="A21" s="163"/>
      <x:c r="B21" s="163"/>
      <x:c r="C21" s="163"/>
      <x:c r="D21" s="163"/>
      <x:c r="E21" s="163"/>
      <x:c r="F21" s="163"/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>
      <x:c r="A22" s="163"/>
      <x:c r="B22" s="163"/>
      <x:c r="C22" s="163"/>
      <x:c r="D22" s="163"/>
      <x:c r="E22" s="163"/>
      <x:c r="F22" s="163"/>
      <x:c r="G22" s="163"/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>
      <x:c r="A23" s="163"/>
      <x:c r="B23" s="163"/>
      <x:c r="C23" s="163"/>
      <x:c r="D23" s="163"/>
      <x:c r="E23" s="163"/>
      <x:c r="F23" s="163"/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>
      <x:c r="A24" s="163"/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>
      <x:c r="A25" s="163"/>
      <x:c r="B25" s="163"/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>
      <x:c r="A26" s="163"/>
      <x:c r="B26" s="163"/>
      <x:c r="C26" s="163"/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>
      <x:c r="A27" s="163"/>
      <x:c r="B27" s="163"/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>
      <x:c r="A28" s="163"/>
      <x:c r="B28" s="163"/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>
      <x:c r="A29" s="163"/>
      <x:c r="B29" s="163"/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</x:sheetData>
  <x:pageMargins left="0.7" right="0.7" top="0.75" bottom="0.75" header="0.3" footer="0.3"/>
</x:worksheet>
</file>