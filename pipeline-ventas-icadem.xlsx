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0e18f74ec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ortada" sheetId="1" r:id="Rbc74c09abede4096"/>
    <x:sheet xmlns:r="http://schemas.openxmlformats.org/officeDocument/2006/relationships" name="01 Guía" sheetId="2" r:id="R09ca086aa7c44827"/>
    <x:sheet xmlns:r="http://schemas.openxmlformats.org/officeDocument/2006/relationships" name="02 Config" sheetId="3" r:id="Rcceda9c40cf04f21"/>
    <x:sheet xmlns:r="http://schemas.openxmlformats.org/officeDocument/2006/relationships" name="03 Prospectos" sheetId="4" r:id="Rc80afb3c833f4291"/>
    <x:sheet xmlns:r="http://schemas.openxmlformats.org/officeDocument/2006/relationships" name="04 Pipeline" sheetId="5" r:id="R7ee5b087450e472f"/>
    <x:sheet xmlns:r="http://schemas.openxmlformats.org/officeDocument/2006/relationships" name="05 Proyección" sheetId="6" r:id="R7783e38d43be45b3"/>
    <x:sheet xmlns:r="http://schemas.openxmlformats.org/officeDocument/2006/relationships" name="06 Dashboard" sheetId="7" r:id="R28b0a54f95ae4fad"/>
    <x:sheet xmlns:r="http://schemas.openxmlformats.org/officeDocument/2006/relationships" name="07 Catálogos" sheetId="8" r:id="R43aa6f7cc4ba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%"/>
    <x:numFmt numFmtId="202" formatCode="dd/mm/yyyy"/>
    <x:numFmt numFmtId="203" formatCode="0"/>
  </x:numFmts>
  <x:fonts count="14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0"/>
      <x:color rgb="1E3A8A"/>
      <x:name val="Carlito"/>
    </x:font>
    <x:font>
      <x:b/>
      <x:sz val="28"/>
      <x:color rgb="FFFFFF"/>
      <x:name val="Carlito"/>
    </x:font>
    <x:font>
      <x:b/>
      <x:sz val="11"/>
      <x:color rgb="1F2937"/>
      <x:name val="Carlito"/>
    </x:font>
    <x:font>
      <x:b/>
      <x:sz val="10"/>
      <x:color rgb="1F2937"/>
      <x:name val="Carlito"/>
    </x:font>
    <x:font>
      <x:b/>
      <x:sz val="22"/>
      <x:color rgb="FFFFFF"/>
      <x:name val="Carlito"/>
    </x:font>
    <x:font>
      <x:b/>
      <x:sz val="16"/>
      <x:color rgb="1E3A8A"/>
      <x:name val="Carlito"/>
    </x:font>
    <x:font>
      <x:sz val="11"/>
      <x:color rgb="64748B"/>
      <x:name val="Carlito"/>
    </x:font>
    <x:font>
      <x:b/>
      <x:sz val="20"/>
      <x:color rgb="FFFFFF"/>
      <x:name val="Carlito"/>
    </x:font>
    <x:font>
      <x:b/>
      <x:sz val="18"/>
      <x:color rgb="FFFFFF"/>
      <x:name val="Carlito"/>
    </x:font>
    <x:font>
      <x:b/>
      <x:sz val="20"/>
      <x:color rgb="7C5A00"/>
      <x:name val="Carlito"/>
    </x:font>
    <x:font>
      <x:b/>
      <x:sz val="10"/>
      <x:color rgb="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BFAF7"/>
      </x:patternFill>
    </x:fill>
    <x:fill>
      <x:patternFill patternType="solid">
        <x:fgColor rgb="0B1F3A"/>
      </x:patternFill>
    </x:fill>
    <x:fill>
      <x:patternFill patternType="solid">
        <x:fgColor rgb="FFFFFF"/>
      </x:patternFill>
    </x:fill>
    <x:fill>
      <x:patternFill patternType="solid">
        <x:fgColor rgb="EAF2FF"/>
      </x:patternFill>
    </x:fill>
    <x:fill>
      <x:patternFill patternType="solid">
        <x:fgColor rgb="F8E9B0"/>
      </x:patternFill>
    </x:fill>
    <x:fill>
      <x:patternFill patternType="solid">
        <x:fgColor rgb="1D4ED8"/>
      </x:patternFill>
    </x:fill>
    <x:fill>
      <x:patternFill patternType="solid">
        <x:fgColor rgb="EEF2F7"/>
      </x:patternFill>
    </x:fill>
    <x:fill>
      <x:patternFill patternType="solid">
        <x:fgColor rgb="102A4C"/>
      </x:patternFill>
    </x:fill>
  </x:fills>
  <x:borders count="2">
    <x:border/>
    <x:border/>
  </x:borders>
  <x:cellStyleXfs count="1">
    <x:xf numFmtId="0" fontId="0" fillId="0" borderId="0"/>
  </x:cellStyleXfs>
  <x:cellXfs count="2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horizont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200" fontId="2" fillId="5" borderId="0" xfId="0" applyNumberFormat="1" applyFont="1" applyFill="1" applyBorder="1"/>
    <x:xf numFmtId="200" fontId="2" fillId="5" borderId="1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1" fontId="2" fillId="4" borderId="0" xfId="0" applyNumberFormat="1" applyFont="1" applyFill="1" applyBorder="1" applyAlignment="1">
      <x:alignment wrapText="1"/>
    </x:xf>
    <x:xf numFmtId="201" fontId="2" fillId="4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horizont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202" fontId="2" fillId="4" borderId="0" xfId="0" applyNumberFormat="1" applyFont="1" applyFill="1" applyBorder="1" applyAlignment="1">
      <x:alignment wrapText="1"/>
    </x:xf>
    <x:xf numFmtId="202" fontId="2" fillId="4" borderId="1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201" fontId="2" fillId="8" borderId="0" xfId="0" applyNumberFormat="1" applyFont="1" applyFill="1" applyBorder="1" applyAlignment="1">
      <x:alignment horizontal="center" wrapText="1"/>
    </x:xf>
    <x:xf numFmtId="201" fontId="2" fillId="8" borderId="1" xfId="0" applyNumberFormat="1" applyFont="1" applyFill="1" applyBorder="1" applyAlignment="1">
      <x:alignment horizontal="center" wrapText="1"/>
    </x:xf>
    <x:xf numFmtId="200" fontId="2" fillId="4" borderId="0" xfId="0" applyNumberFormat="1" applyFont="1" applyFill="1" applyBorder="1" applyAlignment="1">
      <x:alignment wrapText="1"/>
    </x:xf>
    <x:xf numFmtId="200" fontId="2" fillId="8" borderId="0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  <x:xf numFmtId="200" fontId="2" fillId="8" borderId="1" xfId="0" applyNumberFormat="1" applyFont="1" applyFill="1" applyBorder="1" applyAlignment="1">
      <x:alignment wrapText="1"/>
    </x:xf>
    <x:xf numFmtId="203" fontId="2" fillId="8" borderId="0" xfId="0" applyNumberFormat="1" applyFont="1" applyFill="1" applyBorder="1" applyAlignment="1">
      <x:alignment horizontal="center" wrapText="1"/>
    </x:xf>
    <x:xf numFmtId="203" fontId="2" fillId="8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center"/>
    </x:xf>
    <x:xf numFmtId="202" fontId="2" fillId="4" borderId="0" xfId="0" applyNumberFormat="1" applyFont="1" applyFill="1" applyBorder="1" applyAlignment="1">
      <x:alignment horizontal="center"/>
    </x:xf>
    <x:xf numFmtId="202" fontId="2" fillId="4" borderId="1" xfId="0" applyNumberFormat="1" applyFont="1" applyFill="1" applyBorder="1" applyAlignment="1">
      <x:alignment horizontal="center"/>
    </x:xf>
    <x:xf numFmtId="200" fontId="2" fillId="8" borderId="0" xfId="0" applyNumberFormat="1" applyFont="1" applyFill="1" applyBorder="1" applyAlignment="1">
      <x:alignment horizontal="center"/>
    </x:xf>
    <x:xf numFmtId="200" fontId="2" fillId="8" borderId="1" xfId="0" applyNumberFormat="1" applyFont="1" applyFill="1" applyBorder="1" applyAlignment="1">
      <x:alignment horizontal="center"/>
    </x:xf>
    <x:xf numFmtId="201" fontId="2" fillId="4" borderId="0" xfId="0" applyNumberFormat="1" applyFont="1" applyFill="1" applyBorder="1" applyAlignment="1">
      <x:alignment horizontal="center"/>
    </x:xf>
    <x:xf numFmtId="201" fontId="2" fillId="4" borderId="1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2" fillId="6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13" fillId="9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13" fillId="9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200" fontId="8" fillId="4" borderId="0" xfId="0" applyNumberFormat="1" applyFont="1" applyFill="1" applyBorder="1" applyAlignment="1">
      <x:alignment horizontal="center" vertical="center" wrapText="1"/>
    </x:xf>
    <x:xf numFmtId="200" fontId="8" fillId="4" borderId="1" xfId="0" applyNumberFormat="1" applyFont="1" applyFill="1" applyBorder="1" applyAlignment="1">
      <x:alignment horizontal="center" vertical="center" wrapText="1"/>
    </x:xf>
    <x:xf numFmtId="203" fontId="8" fillId="4" borderId="0" xfId="0" applyNumberFormat="1" applyFont="1" applyFill="1" applyBorder="1" applyAlignment="1">
      <x:alignment horizontal="center" vertical="center" wrapText="1"/>
    </x:xf>
    <x:xf numFmtId="203" fontId="8" fillId="4" borderId="1" xfId="0" applyNumberFormat="1" applyFont="1" applyFill="1" applyBorder="1" applyAlignment="1">
      <x:alignment horizontal="center" vertical="center" wrapText="1"/>
    </x:xf>
    <x:xf numFmtId="201" fontId="8" fillId="4" borderId="0" xfId="0" applyNumberFormat="1" applyFont="1" applyFill="1" applyBorder="1" applyAlignment="1">
      <x:alignment horizontal="center" vertical="center" wrapText="1"/>
    </x:xf>
    <x:xf numFmtId="201" fontId="8" fillId="4" borderId="1" xfId="0" applyNumberFormat="1" applyFont="1" applyFill="1" applyBorder="1" applyAlignment="1">
      <x:alignment horizontal="center" vertical="center" wrapText="1"/>
    </x:xf>
    <x:xf numFmtId="200" fontId="2" fillId="4" borderId="0" xfId="0" applyNumberFormat="1" applyFont="1" applyFill="1" applyBorder="1" applyAlignment="1">
      <x:alignment horizontal="center"/>
    </x:xf>
    <x:xf numFmtId="200" fontId="2" fillId="4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200" fontId="2" fillId="5" borderId="1" xfId="0" applyNumberFormat="1" applyFont="1" applyFill="1" applyBorder="1" applyAlignment="1">
      <x:alignment wrapText="1"/>
    </x:xf>
    <x:xf numFmtId="202" fontId="2" fillId="4" borderId="0" xfId="0" applyNumberFormat="1" applyFont="1" applyFill="1" applyBorder="1" applyAlignment="1">
      <x:alignment horizontal="center" wrapText="1"/>
    </x:xf>
    <x:xf numFmtId="200" fontId="2" fillId="8" borderId="0" xfId="0" applyNumberFormat="1" applyFont="1" applyFill="1" applyBorder="1" applyAlignment="1">
      <x:alignment horizontal="center" wrapText="1"/>
    </x:xf>
    <x:xf numFmtId="201" fontId="2" fillId="4" borderId="0" xfId="0" applyNumberFormat="1" applyFont="1" applyFill="1" applyBorder="1" applyAlignment="1">
      <x:alignment horizontal="center" wrapText="1"/>
    </x:xf>
    <x:xf numFmtId="202" fontId="2" fillId="4" borderId="1" xfId="0" applyNumberFormat="1" applyFont="1" applyFill="1" applyBorder="1" applyAlignment="1">
      <x:alignment horizontal="center" wrapText="1"/>
    </x:xf>
    <x:xf numFmtId="200" fontId="2" fillId="8" borderId="1" xfId="0" applyNumberFormat="1" applyFont="1" applyFill="1" applyBorder="1" applyAlignment="1">
      <x:alignment horizontal="center" wrapText="1"/>
    </x:xf>
    <x:xf numFmtId="201" fontId="2" fillId="4" borderId="1" xfId="0" applyNumberFormat="1" applyFont="1" applyFill="1" applyBorder="1" applyAlignment="1">
      <x:alignment horizontal="center" wrapText="1"/>
    </x:xf>
    <x:xf numFmtId="200" fontId="2" fillId="4" borderId="0" xfId="0" applyNumberFormat="1" applyFont="1" applyFill="1" applyBorder="1" applyAlignment="1">
      <x:alignment horizontal="center" wrapText="1"/>
    </x:xf>
    <x:xf numFmtId="200" fontId="2" fillId="4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left" wrapText="1"/>
    </x:xf>
    <x:xf numFmtId="0" fontId="2" fillId="4" borderId="1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11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0ea617b684fad" /><Relationship Type="http://schemas.openxmlformats.org/officeDocument/2006/relationships/theme" Target="/xl/theme/theme1.xml" Id="R9a534628bcdd4af9" /><Relationship Type="http://schemas.openxmlformats.org/officeDocument/2006/relationships/sharedStrings" Target="/xl/sharedStrings.xml" Id="R7a0db27e97114d37" /><Relationship Type="http://schemas.openxmlformats.org/officeDocument/2006/relationships/worksheet" Target="/xl/worksheets/sheet1.xml" Id="Rbc74c09abede4096" /><Relationship Type="http://schemas.openxmlformats.org/officeDocument/2006/relationships/worksheet" Target="/xl/worksheets/sheet2.xml" Id="R09ca086aa7c44827" /><Relationship Type="http://schemas.openxmlformats.org/officeDocument/2006/relationships/worksheet" Target="/xl/worksheets/sheet3.xml" Id="Rcceda9c40cf04f21" /><Relationship Type="http://schemas.openxmlformats.org/officeDocument/2006/relationships/worksheet" Target="/xl/worksheets/sheet4.xml" Id="Rc80afb3c833f4291" /><Relationship Type="http://schemas.openxmlformats.org/officeDocument/2006/relationships/worksheet" Target="/xl/worksheets/sheet5.xml" Id="R7ee5b087450e472f" /><Relationship Type="http://schemas.openxmlformats.org/officeDocument/2006/relationships/worksheet" Target="/xl/worksheets/sheet6.xml" Id="R7783e38d43be45b3" /><Relationship Type="http://schemas.openxmlformats.org/officeDocument/2006/relationships/worksheet" Target="/xl/worksheets/sheet7.xml" Id="R28b0a54f95ae4fad" /><Relationship Type="http://schemas.openxmlformats.org/officeDocument/2006/relationships/worksheet" Target="/xl/worksheets/sheet8.xml" Id="R43aa6f7cc4ba4e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42f98f137443a8" /><Relationship Type="http://schemas.openxmlformats.org/officeDocument/2006/relationships/chart" Target="/xl/drawings/charts/chart2.xml" Id="R10b2d9f4721b414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Valor estimado</c:v>
          </c:tx>
          <c:cat>
            <c:strRef>
              <c:f>'06 Dashboard'!$A$24:$A$30</c:f>
              <c:strCache>
                <c:ptCount val="0"/>
              </c:strCache>
            </c:strRef>
          </c:cat>
          <c:val>
            <c:numRef>
              <c:f>'06 Dashboard'!$C$24:$C$30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Valor ponderado</c:v>
          </c:tx>
          <c:cat>
            <c:strRef>
              <c:f>'06 Dashboard'!$E$24:$E$35</c:f>
              <c:strCache>
                <c:ptCount val="0"/>
              </c:strCache>
            </c:strRef>
          </c:cat>
          <c:val>
            <c:numRef>
              <c:f>'06 Dashboard'!$F$24:$F$35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Ganado</c:v>
          </c:tx>
          <c:cat>
            <c:strRef>
              <c:f>'06 Dashboard'!$E$24:$E$35</c:f>
              <c:strCache>
                <c:ptCount val="0"/>
              </c:strCache>
            </c:strRef>
          </c:cat>
          <c:val>
            <c:numRef>
              <c:f>'06 Dashboard'!$G$24:$G$35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21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42f98f137443a8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11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b2d9f4721b41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Prospectos" displayName="TablaProspectos" ref="A5:N65" headerRowCount="1">
  <x:tableColumns count="14">
    <x:tableColumn id="1" name="ID"/>
    <x:tableColumn id="2" name="Fecha alta"/>
    <x:tableColumn id="3" name="Empresa / Cliente"/>
    <x:tableColumn id="4" name="Contacto"/>
    <x:tableColumn id="5" name="Canal"/>
    <x:tableColumn id="6" name="Responsable"/>
    <x:tableColumn id="7" name="Industria"/>
    <x:tableColumn id="8" name="Email"/>
    <x:tableColumn id="9" name="Teléfono"/>
    <x:tableColumn id="10" name="Necesidad principal"/>
    <x:tableColumn id="11" name="Notas"/>
    <x:tableColumn id="12" name="Estatus"/>
    <x:tableColumn id="13" name="Último contacto"/>
    <x:tableColumn id="14" name="Próximo paso sugerido"/>
  </x:tableColumns>
  <x:tableStyleInfo name="TableStyleMedium2" showRowStripes="1"/>
</x:table>
</file>

<file path=xl/tables/table2.xml><?xml version="1.0" encoding="utf-8"?>
<x:table xmlns:x="http://schemas.openxmlformats.org/spreadsheetml/2006/main" id="2" name="TablaPipeline" displayName="TablaPipeline" ref="A5:Q105" headerRowCount="1">
  <x:tableColumns count="17">
    <x:tableColumn id="1" name="Folio"/>
    <x:tableColumn id="2" name="Fecha alta"/>
    <x:tableColumn id="3" name="Prospecto"/>
    <x:tableColumn id="4" name="Producto / Servicio"/>
    <x:tableColumn id="5" name="Etapa"/>
    <x:tableColumn id="6" name="Prob."/>
    <x:tableColumn id="7" name="Valor estimado"/>
    <x:tableColumn id="8" name="Valor ponderado"/>
    <x:tableColumn id="9" name="Cierre estimado"/>
    <x:tableColumn id="10" name="Mes cierre"/>
    <x:tableColumn id="11" name="Días restantes"/>
    <x:tableColumn id="12" name="Prioridad"/>
    <x:tableColumn id="13" name="Estatus"/>
    <x:tableColumn id="14" name="Último contacto"/>
    <x:tableColumn id="15" name="Próxima acción"/>
    <x:tableColumn id="16" name="Responsable"/>
    <x:tableColumn id="17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TablaProyeccion" displayName="TablaProyeccion" ref="A5:L17" headerRowCount="1">
  <x:tableColumns count="12">
    <x:tableColumn id="1" name="Fecha mes"/>
    <x:tableColumn id="2" name="Mes"/>
    <x:tableColumn id="3" name="Pipeline abierto"/>
    <x:tableColumn id="4" name="Valor ponderado"/>
    <x:tableColumn id="5" name="Ventas ganadas"/>
    <x:tableColumn id="6" name="Oport. abiertas"/>
    <x:tableColumn id="7" name="Oport. ganadas"/>
    <x:tableColumn id="8" name="Oport. perdidas"/>
    <x:tableColumn id="9" name="Tasa cierre"/>
    <x:tableColumn id="10" name="Meta mensual"/>
    <x:tableColumn id="11" name="Brecha vs meta"/>
    <x:tableColumn id="12" name="Semáfor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81bbbbf23574b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e31d5ac4a5041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4fd419d58cf4c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a34ff404b624f80" /></Relationships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" hidden="0" customWidth="1"/>
  </x:cols>
  <x:sheetData>
    <x:row r="1" ht="22" customHeight="1">
      <x:c r="A1" s="176"/>
      <x:c r="B1" s="176"/>
      <x:c r="C1" s="176"/>
      <x:c r="D1" s="176"/>
      <x:c r="E1" s="176"/>
      <x:c r="F1" s="176"/>
      <x:c r="G1" s="176"/>
      <x:c r="H1" s="176"/>
      <x:c r="I1" s="177"/>
      <x:c r="J1" s="177"/>
      <x:c r="K1" s="177"/>
      <x:c r="L1" s="177"/>
      <x:c r="M1" s="177"/>
      <x:c r="N1" s="177"/>
      <x:c r="O1" s="177"/>
      <x:c r="P1" s="177"/>
      <x:c r="Q1" s="177"/>
      <x:c r="R1" s="177"/>
      <x:c r="S1" s="177"/>
      <x:c r="T1" s="177"/>
      <x:c r="U1" s="177"/>
      <x:c r="V1" s="177"/>
      <x:c r="W1" s="177"/>
      <x:c r="X1" s="177"/>
      <x:c r="Y1" s="177"/>
      <x:c r="Z1" s="177"/>
    </x:row>
    <x:row r="2" ht="22" customHeight="1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177"/>
      <x:c r="L2" s="177"/>
      <x:c r="M2" s="177"/>
      <x:c r="N2" s="177"/>
      <x:c r="O2" s="177"/>
      <x:c r="P2" s="177"/>
      <x:c r="Q2" s="177"/>
      <x:c r="R2" s="177"/>
      <x:c r="S2" s="177"/>
      <x:c r="T2" s="177"/>
      <x:c r="U2" s="177"/>
      <x:c r="V2" s="177"/>
      <x:c r="W2" s="177"/>
      <x:c r="X2" s="177"/>
      <x:c r="Y2" s="177"/>
      <x:c r="Z2" s="177"/>
    </x:row>
    <x:row r="3" ht="22" customHeight="1">
      <x:c r="A3" s="176"/>
      <x:c r="B3" s="178" t="str">
        <x:v>ICADEM VIP CLUB · PLANTILLAS PREMIUM</x:v>
      </x:c>
      <x:c r="C3" s="178"/>
      <x:c r="D3" s="178"/>
      <x:c r="E3" s="178"/>
      <x:c r="F3" s="178"/>
      <x:c r="G3" s="178"/>
      <x:c r="H3" s="176"/>
      <x:c r="I3" s="177"/>
      <x:c r="J3" s="177"/>
      <x:c r="K3" s="177"/>
      <x:c r="L3" s="177"/>
      <x:c r="M3" s="177"/>
      <x:c r="N3" s="177"/>
      <x:c r="O3" s="177"/>
      <x:c r="P3" s="177"/>
      <x:c r="Q3" s="177"/>
      <x:c r="R3" s="177"/>
      <x:c r="S3" s="177"/>
      <x:c r="T3" s="177"/>
      <x:c r="U3" s="177"/>
      <x:c r="V3" s="177"/>
      <x:c r="W3" s="177"/>
      <x:c r="X3" s="177"/>
      <x:c r="Y3" s="177"/>
      <x:c r="Z3" s="177"/>
    </x:row>
    <x:row r="4" ht="22" customHeight="1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177"/>
      <x:c r="L4" s="177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ht="22" customHeight="1">
      <x:c r="A5" s="176"/>
      <x:c r="B5" s="31" t="str">
        <x:v>Pipeline de Ventas</x:v>
      </x:c>
      <x:c r="C5" s="31"/>
      <x:c r="D5" s="31"/>
      <x:c r="E5" s="31"/>
      <x:c r="F5" s="31"/>
      <x:c r="G5" s="31"/>
      <x:c r="H5" s="176"/>
      <x:c r="I5" s="177"/>
      <x:c r="J5" s="177"/>
      <x:c r="K5" s="177"/>
      <x:c r="L5" s="177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ht="22" customHeight="1">
      <x:c r="A6" s="176"/>
      <x:c r="B6" s="31"/>
      <x:c r="C6" s="31"/>
      <x:c r="D6" s="31"/>
      <x:c r="E6" s="31"/>
      <x:c r="F6" s="31"/>
      <x:c r="G6" s="31"/>
      <x:c r="H6" s="176"/>
      <x:c r="I6" s="177"/>
      <x:c r="J6" s="177"/>
      <x:c r="K6" s="177"/>
      <x:c r="L6" s="177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ht="22" customHeight="1">
      <x:c r="A7" s="176"/>
      <x:c r="B7" s="176"/>
      <x:c r="C7" s="176"/>
      <x:c r="D7" s="176"/>
      <x:c r="E7" s="176"/>
      <x:c r="F7" s="176"/>
      <x:c r="G7" s="176"/>
      <x:c r="H7" s="176"/>
      <x:c r="I7" s="177"/>
      <x:c r="J7" s="177"/>
      <x:c r="K7" s="177"/>
      <x:c r="L7" s="177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ht="22" customHeight="1">
      <x:c r="A8" s="176"/>
      <x:c r="B8" s="39" t="str">
        <x:v>Embudo de ventas con etapas, probabilidad de cierre, valor estimado por prospecto y proyección mensual de ingresos. Toma el control de tu proceso comercial.</x:v>
      </x:c>
      <x:c r="C8" s="39"/>
      <x:c r="D8" s="39"/>
      <x:c r="E8" s="39"/>
      <x:c r="F8" s="39"/>
      <x:c r="G8" s="39"/>
      <x:c r="H8" s="176"/>
      <x:c r="I8" s="177"/>
      <x:c r="J8" s="177"/>
      <x:c r="K8" s="177"/>
      <x:c r="L8" s="177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ht="22" customHeight="1">
      <x:c r="A9" s="176"/>
      <x:c r="B9" s="39"/>
      <x:c r="C9" s="39"/>
      <x:c r="D9" s="39"/>
      <x:c r="E9" s="39"/>
      <x:c r="F9" s="39"/>
      <x:c r="G9" s="39"/>
      <x:c r="H9" s="176"/>
      <x:c r="I9" s="177"/>
      <x:c r="J9" s="177"/>
      <x:c r="K9" s="177"/>
      <x:c r="L9" s="177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ht="22" customHeight="1">
      <x:c r="A10" s="176"/>
      <x:c r="B10" s="176"/>
      <x:c r="C10" s="176"/>
      <x:c r="D10" s="176"/>
      <x:c r="E10" s="176"/>
      <x:c r="F10" s="176"/>
      <x:c r="G10" s="176"/>
      <x:c r="H10" s="176"/>
      <x:c r="I10" s="177"/>
      <x:c r="J10" s="177"/>
      <x:c r="K10" s="177"/>
      <x:c r="L10" s="177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ht="22" customHeight="1">
      <x:c r="A11" s="176"/>
      <x:c r="B11" s="176"/>
      <x:c r="C11" s="176"/>
      <x:c r="D11" s="176"/>
      <x:c r="E11" s="176"/>
      <x:c r="F11" s="176"/>
      <x:c r="G11" s="176"/>
      <x:c r="H11" s="176"/>
      <x:c r="I11" s="177"/>
      <x:c r="J11" s="177"/>
      <x:c r="K11" s="177"/>
      <x:c r="L11" s="177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ht="22" customHeight="1">
      <x:c r="A12" s="176"/>
      <x:c r="B12" s="176"/>
      <x:c r="C12" s="176"/>
      <x:c r="D12" s="176"/>
      <x:c r="E12" s="176"/>
      <x:c r="F12" s="176"/>
      <x:c r="G12" s="176"/>
      <x:c r="H12" s="176"/>
      <x:c r="I12" s="177"/>
      <x:c r="J12" s="177"/>
      <x:c r="K12" s="177"/>
      <x:c r="L12" s="177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ht="22" customHeight="1">
      <x:c r="A13" s="176"/>
      <x:c r="B13" s="47" t="str">
        <x:v>EMBUDO COMERCIAL
Controla oportunidades por etapa, responsable y prioridad.</x:v>
      </x:c>
      <x:c r="C13" s="47"/>
      <x:c r="D13" s="47" t="str">
        <x:v>FORECAST MENSUAL
Calcula valor estimado, ponderado y brecha contra meta.</x:v>
      </x:c>
      <x:c r="E13" s="47"/>
      <x:c r="F13" s="47" t="str">
        <x:v>DASHBOARD EJECUTIVO
Visualiza KPIs, riesgos, cierres y proyección de ventas.</x:v>
      </x:c>
      <x:c r="G13" s="47"/>
      <x:c r="H13" s="176"/>
      <x:c r="I13" s="177"/>
      <x:c r="J13" s="177"/>
      <x:c r="K13" s="177"/>
      <x:c r="L13" s="177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ht="22" customHeight="1">
      <x:c r="A14" s="176"/>
      <x:c r="B14" s="47"/>
      <x:c r="C14" s="47"/>
      <x:c r="D14" s="47"/>
      <x:c r="E14" s="47"/>
      <x:c r="F14" s="47"/>
      <x:c r="G14" s="47"/>
      <x:c r="H14" s="176"/>
      <x:c r="I14" s="177"/>
      <x:c r="J14" s="177"/>
      <x:c r="K14" s="177"/>
      <x:c r="L14" s="177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ht="22" customHeight="1">
      <x:c r="A15" s="176"/>
      <x:c r="B15" s="47"/>
      <x:c r="C15" s="47"/>
      <x:c r="D15" s="47"/>
      <x:c r="E15" s="47"/>
      <x:c r="F15" s="47"/>
      <x:c r="G15" s="47"/>
      <x:c r="H15" s="176"/>
      <x:c r="I15" s="177"/>
      <x:c r="J15" s="177"/>
      <x:c r="K15" s="177"/>
      <x:c r="L15" s="177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ht="22" customHeight="1">
      <x:c r="A16" s="176"/>
      <x:c r="B16" s="47"/>
      <x:c r="C16" s="47"/>
      <x:c r="D16" s="47"/>
      <x:c r="E16" s="47"/>
      <x:c r="F16" s="47"/>
      <x:c r="G16" s="47"/>
      <x:c r="H16" s="176"/>
      <x:c r="I16" s="177"/>
      <x:c r="J16" s="177"/>
      <x:c r="K16" s="177"/>
      <x:c r="L16" s="177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ht="22" customHeight="1">
      <x:c r="A17" s="176"/>
      <x:c r="B17" s="47"/>
      <x:c r="C17" s="47"/>
      <x:c r="D17" s="47"/>
      <x:c r="E17" s="47"/>
      <x:c r="F17" s="47"/>
      <x:c r="G17" s="47"/>
      <x:c r="H17" s="176"/>
      <x:c r="I17" s="177"/>
      <x:c r="J17" s="177"/>
      <x:c r="K17" s="177"/>
      <x:c r="L17" s="177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ht="22" customHeight="1">
      <x:c r="A18" s="176"/>
      <x:c r="B18" s="176"/>
      <x:c r="C18" s="176"/>
      <x:c r="D18" s="176"/>
      <x:c r="E18" s="176"/>
      <x:c r="F18" s="176"/>
      <x:c r="G18" s="176"/>
      <x:c r="H18" s="176"/>
      <x:c r="I18" s="177"/>
      <x:c r="J18" s="177"/>
      <x:c r="K18" s="177"/>
      <x:c r="L18" s="177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ht="22" customHeight="1">
      <x:c r="A19" s="176"/>
      <x:c r="B19" s="176"/>
      <x:c r="C19" s="176"/>
      <x:c r="D19" s="176"/>
      <x:c r="E19" s="176"/>
      <x:c r="F19" s="176"/>
      <x:c r="G19" s="176"/>
      <x:c r="H19" s="176"/>
      <x:c r="I19" s="177"/>
      <x:c r="J19" s="177"/>
      <x:c r="K19" s="177"/>
      <x:c r="L19" s="177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ht="22" customHeight="1">
      <x:c r="A20" s="176"/>
      <x:c r="B20" s="176"/>
      <x:c r="C20" s="176"/>
      <x:c r="D20" s="176"/>
      <x:c r="E20" s="176"/>
      <x:c r="F20" s="176"/>
      <x:c r="G20" s="176"/>
      <x:c r="H20" s="176"/>
      <x:c r="I20" s="177"/>
      <x:c r="J20" s="177"/>
      <x:c r="K20" s="177"/>
      <x:c r="L20" s="177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ht="22" customHeight="1">
      <x:c r="A21" s="176"/>
      <x:c r="B21" s="56" t="str">
        <x:v>Herramienta editable para equipos comerciales, emprendedores, consultores y PYMES que necesitan profesionalizar su seguimiento de ventas.</x:v>
      </x:c>
      <x:c r="C21" s="56"/>
      <x:c r="D21" s="56"/>
      <x:c r="E21" s="56"/>
      <x:c r="F21" s="56"/>
      <x:c r="G21" s="56"/>
      <x:c r="H21" s="176"/>
      <x:c r="I21" s="177"/>
      <x:c r="J21" s="177"/>
      <x:c r="K21" s="177"/>
      <x:c r="L21" s="177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ht="22" customHeight="1">
      <x:c r="A22" s="176"/>
      <x:c r="B22" s="56"/>
      <x:c r="C22" s="56"/>
      <x:c r="D22" s="56"/>
      <x:c r="E22" s="56"/>
      <x:c r="F22" s="56"/>
      <x:c r="G22" s="56"/>
      <x:c r="H22" s="176"/>
      <x:c r="I22" s="177"/>
      <x:c r="J22" s="177"/>
      <x:c r="K22" s="177"/>
      <x:c r="L22" s="177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ht="22" customHeight="1">
      <x:c r="A23" s="176"/>
      <x:c r="B23" s="176"/>
      <x:c r="C23" s="176"/>
      <x:c r="D23" s="176"/>
      <x:c r="E23" s="176"/>
      <x:c r="F23" s="176"/>
      <x:c r="G23" s="176"/>
      <x:c r="H23" s="176"/>
      <x:c r="I23" s="177"/>
      <x:c r="J23" s="177"/>
      <x:c r="K23" s="177"/>
      <x:c r="L23" s="177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ht="22" customHeight="1">
      <x:c r="A24" s="176"/>
      <x:c r="B24" s="176"/>
      <x:c r="C24" s="176"/>
      <x:c r="D24" s="176"/>
      <x:c r="E24" s="176"/>
      <x:c r="F24" s="176"/>
      <x:c r="G24" s="176"/>
      <x:c r="H24" s="176"/>
      <x:c r="I24" s="177"/>
      <x:c r="J24" s="177"/>
      <x:c r="K24" s="177"/>
      <x:c r="L24" s="177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ht="22" customHeight="1">
      <x:c r="A25" s="176"/>
      <x:c r="B25" s="65" t="str">
        <x:v>Editable · Fórmulas automáticas · Validaciones desplegables · Dashboard premium</x:v>
      </x:c>
      <x:c r="C25" s="65"/>
      <x:c r="D25" s="65"/>
      <x:c r="E25" s="65"/>
      <x:c r="F25" s="65"/>
      <x:c r="G25" s="65"/>
      <x:c r="H25" s="176"/>
      <x:c r="I25" s="177"/>
      <x:c r="J25" s="177"/>
      <x:c r="K25" s="177"/>
      <x:c r="L25" s="177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ht="22" customHeight="1">
      <x:c r="A26" s="176"/>
      <x:c r="B26" s="176"/>
      <x:c r="C26" s="176"/>
      <x:c r="D26" s="176"/>
      <x:c r="E26" s="176"/>
      <x:c r="F26" s="176"/>
      <x:c r="G26" s="176"/>
      <x:c r="H26" s="176"/>
      <x:c r="I26" s="177"/>
      <x:c r="J26" s="177"/>
      <x:c r="K26" s="177"/>
      <x:c r="L26" s="177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ht="22" customHeight="1">
      <x:c r="A27" s="176"/>
      <x:c r="B27" s="176"/>
      <x:c r="C27" s="176"/>
      <x:c r="D27" s="176"/>
      <x:c r="E27" s="176"/>
      <x:c r="F27" s="176"/>
      <x:c r="G27" s="176"/>
      <x:c r="H27" s="176"/>
      <x:c r="I27" s="177"/>
      <x:c r="J27" s="177"/>
      <x:c r="K27" s="177"/>
      <x:c r="L27" s="177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ht="22" customHeight="1">
      <x:c r="A28" s="176"/>
      <x:c r="B28" s="176"/>
      <x:c r="C28" s="176"/>
      <x:c r="D28" s="176"/>
      <x:c r="E28" s="176"/>
      <x:c r="F28" s="176"/>
      <x:c r="G28" s="176"/>
      <x:c r="H28" s="176"/>
      <x:c r="I28" s="177"/>
      <x:c r="J28" s="177"/>
      <x:c r="K28" s="177"/>
      <x:c r="L28" s="177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ht="22" customHeight="1">
      <x:c r="A29" s="176"/>
      <x:c r="B29" s="176"/>
      <x:c r="C29" s="176"/>
      <x:c r="D29" s="176"/>
      <x:c r="E29" s="176"/>
      <x:c r="F29" s="176"/>
      <x:c r="G29" s="176"/>
      <x:c r="H29" s="176"/>
      <x:c r="I29" s="177"/>
      <x:c r="J29" s="177"/>
      <x:c r="K29" s="177"/>
      <x:c r="L29" s="177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ht="22" customHeight="1">
      <x:c r="A30" s="176"/>
      <x:c r="B30" s="176"/>
      <x:c r="C30" s="176"/>
      <x:c r="D30" s="176"/>
      <x:c r="E30" s="176"/>
      <x:c r="F30" s="176"/>
      <x:c r="G30" s="176"/>
      <x:c r="H30" s="176"/>
      <x:c r="I30" s="177"/>
      <x:c r="J30" s="177"/>
      <x:c r="K30" s="177"/>
      <x:c r="L30" s="177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>
      <x:c r="A31" s="177"/>
      <x:c r="B31" s="177"/>
      <x:c r="C31" s="177"/>
      <x:c r="D31" s="177"/>
      <x:c r="E31" s="177"/>
      <x:c r="F31" s="177"/>
      <x:c r="G31" s="177"/>
      <x:c r="H31" s="177"/>
      <x:c r="I31" s="177"/>
      <x:c r="J31" s="177"/>
      <x:c r="K31" s="177"/>
      <x:c r="L31" s="177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>
      <x:c r="A32" s="177"/>
      <x:c r="B32" s="177"/>
      <x:c r="C32" s="177"/>
      <x:c r="D32" s="177"/>
      <x:c r="E32" s="177"/>
      <x:c r="F32" s="177"/>
      <x:c r="G32" s="177"/>
      <x:c r="H32" s="177"/>
      <x:c r="I32" s="177"/>
      <x:c r="J32" s="177"/>
      <x:c r="K32" s="177"/>
      <x:c r="L32" s="177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>
      <x:c r="A33" s="177"/>
      <x:c r="B33" s="177"/>
      <x:c r="C33" s="177"/>
      <x:c r="D33" s="177"/>
      <x:c r="E33" s="177"/>
      <x:c r="F33" s="177"/>
      <x:c r="G33" s="177"/>
      <x:c r="H33" s="177"/>
      <x:c r="I33" s="177"/>
      <x:c r="J33" s="177"/>
      <x:c r="K33" s="177"/>
      <x:c r="L33" s="177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>
      <x:c r="A34" s="177"/>
      <x:c r="B34" s="177"/>
      <x:c r="C34" s="177"/>
      <x:c r="D34" s="177"/>
      <x:c r="E34" s="177"/>
      <x:c r="F34" s="177"/>
      <x:c r="G34" s="177"/>
      <x:c r="H34" s="177"/>
      <x:c r="I34" s="177"/>
      <x:c r="J34" s="177"/>
      <x:c r="K34" s="177"/>
      <x:c r="L34" s="177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>
      <x:c r="A35" s="177"/>
      <x:c r="B35" s="177"/>
      <x:c r="C35" s="177"/>
      <x:c r="D35" s="177"/>
      <x:c r="E35" s="177"/>
      <x:c r="F35" s="177"/>
      <x:c r="G35" s="177"/>
      <x:c r="H35" s="177"/>
      <x:c r="I35" s="177"/>
      <x:c r="J35" s="177"/>
      <x:c r="K35" s="177"/>
      <x:c r="L35" s="177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>
      <x:c r="A36" s="177"/>
      <x:c r="B36" s="177"/>
      <x:c r="C36" s="177"/>
      <x:c r="D36" s="177"/>
      <x:c r="E36" s="177"/>
      <x:c r="F36" s="177"/>
      <x:c r="G36" s="177"/>
      <x:c r="H36" s="177"/>
      <x:c r="I36" s="177"/>
      <x:c r="J36" s="177"/>
      <x:c r="K36" s="177"/>
      <x:c r="L36" s="177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>
      <x:c r="A37" s="177"/>
      <x:c r="B37" s="177"/>
      <x:c r="C37" s="177"/>
      <x:c r="D37" s="177"/>
      <x:c r="E37" s="177"/>
      <x:c r="F37" s="177"/>
      <x:c r="G37" s="177"/>
      <x:c r="H37" s="177"/>
      <x:c r="I37" s="177"/>
      <x:c r="J37" s="177"/>
      <x:c r="K37" s="177"/>
      <x:c r="L37" s="177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>
      <x:c r="A38" s="177"/>
      <x:c r="B38" s="177"/>
      <x:c r="C38" s="177"/>
      <x:c r="D38" s="177"/>
      <x:c r="E38" s="177"/>
      <x:c r="F38" s="177"/>
      <x:c r="G38" s="177"/>
      <x:c r="H38" s="177"/>
      <x:c r="I38" s="177"/>
      <x:c r="J38" s="177"/>
      <x:c r="K38" s="177"/>
      <x:c r="L38" s="177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>
      <x:c r="A39" s="177"/>
      <x:c r="B39" s="177"/>
      <x:c r="C39" s="177"/>
      <x:c r="D39" s="177"/>
      <x:c r="E39" s="177"/>
      <x:c r="F39" s="177"/>
      <x:c r="G39" s="177"/>
      <x:c r="H39" s="177"/>
      <x:c r="I39" s="177"/>
      <x:c r="J39" s="177"/>
      <x:c r="K39" s="177"/>
      <x:c r="L39" s="177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>
      <x:c r="A40" s="177"/>
      <x:c r="B40" s="177"/>
      <x:c r="C40" s="177"/>
      <x:c r="D40" s="177"/>
      <x:c r="E40" s="177"/>
      <x:c r="F40" s="177"/>
      <x:c r="G40" s="177"/>
      <x:c r="H40" s="177"/>
      <x:c r="I40" s="177"/>
      <x:c r="J40" s="177"/>
      <x:c r="K40" s="177"/>
      <x:c r="L40" s="177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>
      <x:c r="A41" s="177"/>
      <x:c r="B41" s="177"/>
      <x:c r="C41" s="177"/>
      <x:c r="D41" s="177"/>
      <x:c r="E41" s="177"/>
      <x:c r="F41" s="177"/>
      <x:c r="G41" s="177"/>
      <x:c r="H41" s="177"/>
      <x:c r="I41" s="177"/>
      <x:c r="J41" s="177"/>
      <x:c r="K41" s="177"/>
      <x:c r="L41" s="177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>
      <x:c r="A42" s="177"/>
      <x:c r="B42" s="177"/>
      <x:c r="C42" s="177"/>
      <x:c r="D42" s="177"/>
      <x:c r="E42" s="177"/>
      <x:c r="F42" s="177"/>
      <x:c r="G42" s="177"/>
      <x:c r="H42" s="177"/>
      <x:c r="I42" s="177"/>
      <x:c r="J42" s="177"/>
      <x:c r="K42" s="177"/>
      <x:c r="L42" s="177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>
      <x:c r="A43" s="177"/>
      <x:c r="B43" s="177"/>
      <x:c r="C43" s="177"/>
      <x:c r="D43" s="177"/>
      <x:c r="E43" s="177"/>
      <x:c r="F43" s="177"/>
      <x:c r="G43" s="177"/>
      <x:c r="H43" s="177"/>
      <x:c r="I43" s="177"/>
      <x:c r="J43" s="177"/>
      <x:c r="K43" s="177"/>
      <x:c r="L43" s="177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>
      <x:c r="A44" s="177"/>
      <x:c r="B44" s="177"/>
      <x:c r="C44" s="177"/>
      <x:c r="D44" s="177"/>
      <x:c r="E44" s="177"/>
      <x:c r="F44" s="177"/>
      <x:c r="G44" s="177"/>
      <x:c r="H44" s="177"/>
      <x:c r="I44" s="177"/>
      <x:c r="J44" s="177"/>
      <x:c r="K44" s="177"/>
      <x:c r="L44" s="177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>
      <x:c r="A45" s="177"/>
      <x:c r="B45" s="177"/>
      <x:c r="C45" s="177"/>
      <x:c r="D45" s="177"/>
      <x:c r="E45" s="177"/>
      <x:c r="F45" s="177"/>
      <x:c r="G45" s="177"/>
      <x:c r="H45" s="177"/>
      <x:c r="I45" s="177"/>
      <x:c r="J45" s="177"/>
      <x:c r="K45" s="177"/>
      <x:c r="L45" s="177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>
      <x:c r="A46" s="177"/>
      <x:c r="B46" s="177"/>
      <x:c r="C46" s="177"/>
      <x:c r="D46" s="177"/>
      <x:c r="E46" s="177"/>
      <x:c r="F46" s="177"/>
      <x:c r="G46" s="177"/>
      <x:c r="H46" s="177"/>
      <x:c r="I46" s="177"/>
      <x:c r="J46" s="177"/>
      <x:c r="K46" s="177"/>
      <x:c r="L46" s="177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>
      <x:c r="A47" s="177"/>
      <x:c r="B47" s="177"/>
      <x:c r="C47" s="177"/>
      <x:c r="D47" s="177"/>
      <x:c r="E47" s="177"/>
      <x:c r="F47" s="177"/>
      <x:c r="G47" s="177"/>
      <x:c r="H47" s="177"/>
      <x:c r="I47" s="177"/>
      <x:c r="J47" s="177"/>
      <x:c r="K47" s="177"/>
      <x:c r="L47" s="177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>
      <x:c r="A48" s="177"/>
      <x:c r="B48" s="177"/>
      <x:c r="C48" s="177"/>
      <x:c r="D48" s="177"/>
      <x:c r="E48" s="177"/>
      <x:c r="F48" s="177"/>
      <x:c r="G48" s="177"/>
      <x:c r="H48" s="177"/>
      <x:c r="I48" s="177"/>
      <x:c r="J48" s="177"/>
      <x:c r="K48" s="177"/>
      <x:c r="L48" s="177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>
      <x:c r="A49" s="177"/>
      <x:c r="B49" s="177"/>
      <x:c r="C49" s="177"/>
      <x:c r="D49" s="177"/>
      <x:c r="E49" s="177"/>
      <x:c r="F49" s="177"/>
      <x:c r="G49" s="177"/>
      <x:c r="H49" s="177"/>
      <x:c r="I49" s="177"/>
      <x:c r="J49" s="177"/>
      <x:c r="K49" s="177"/>
      <x:c r="L49" s="177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>
      <x:c r="A50" s="177"/>
      <x:c r="B50" s="177"/>
      <x:c r="C50" s="177"/>
      <x:c r="D50" s="177"/>
      <x:c r="E50" s="177"/>
      <x:c r="F50" s="177"/>
      <x:c r="G50" s="177"/>
      <x:c r="H50" s="177"/>
      <x:c r="I50" s="177"/>
      <x:c r="J50" s="177"/>
      <x:c r="K50" s="177"/>
      <x:c r="L50" s="177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>
      <x:c r="A51" s="177"/>
      <x:c r="B51" s="177"/>
      <x:c r="C51" s="177"/>
      <x:c r="D51" s="177"/>
      <x:c r="E51" s="177"/>
      <x:c r="F51" s="177"/>
      <x:c r="G51" s="177"/>
      <x:c r="H51" s="177"/>
      <x:c r="I51" s="177"/>
      <x:c r="J51" s="177"/>
      <x:c r="K51" s="177"/>
      <x:c r="L51" s="177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>
      <x:c r="A52" s="177"/>
      <x:c r="B52" s="177"/>
      <x:c r="C52" s="177"/>
      <x:c r="D52" s="177"/>
      <x:c r="E52" s="177"/>
      <x:c r="F52" s="177"/>
      <x:c r="G52" s="177"/>
      <x:c r="H52" s="177"/>
      <x:c r="I52" s="177"/>
      <x:c r="J52" s="177"/>
      <x:c r="K52" s="177"/>
      <x:c r="L52" s="177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>
      <x:c r="A53" s="177"/>
      <x:c r="B53" s="177"/>
      <x:c r="C53" s="177"/>
      <x:c r="D53" s="177"/>
      <x:c r="E53" s="177"/>
      <x:c r="F53" s="177"/>
      <x:c r="G53" s="177"/>
      <x:c r="H53" s="177"/>
      <x:c r="I53" s="177"/>
      <x:c r="J53" s="177"/>
      <x:c r="K53" s="177"/>
      <x:c r="L53" s="177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>
      <x:c r="A54" s="177"/>
      <x:c r="B54" s="177"/>
      <x:c r="C54" s="177"/>
      <x:c r="D54" s="177"/>
      <x:c r="E54" s="177"/>
      <x:c r="F54" s="177"/>
      <x:c r="G54" s="177"/>
      <x:c r="H54" s="177"/>
      <x:c r="I54" s="177"/>
      <x:c r="J54" s="177"/>
      <x:c r="K54" s="177"/>
      <x:c r="L54" s="177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>
      <x:c r="A55" s="177"/>
      <x:c r="B55" s="177"/>
      <x:c r="C55" s="177"/>
      <x:c r="D55" s="177"/>
      <x:c r="E55" s="177"/>
      <x:c r="F55" s="177"/>
      <x:c r="G55" s="177"/>
      <x:c r="H55" s="177"/>
      <x:c r="I55" s="177"/>
      <x:c r="J55" s="177"/>
      <x:c r="K55" s="177"/>
      <x:c r="L55" s="177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>
      <x:c r="A56" s="177"/>
      <x:c r="B56" s="177"/>
      <x:c r="C56" s="177"/>
      <x:c r="D56" s="177"/>
      <x:c r="E56" s="177"/>
      <x:c r="F56" s="177"/>
      <x:c r="G56" s="177"/>
      <x:c r="H56" s="177"/>
      <x:c r="I56" s="177"/>
      <x:c r="J56" s="177"/>
      <x:c r="K56" s="177"/>
      <x:c r="L56" s="177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>
      <x:c r="A57" s="177"/>
      <x:c r="B57" s="177"/>
      <x:c r="C57" s="177"/>
      <x:c r="D57" s="177"/>
      <x:c r="E57" s="177"/>
      <x:c r="F57" s="177"/>
      <x:c r="G57" s="177"/>
      <x:c r="H57" s="177"/>
      <x:c r="I57" s="177"/>
      <x:c r="J57" s="177"/>
      <x:c r="K57" s="177"/>
      <x:c r="L57" s="177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>
      <x:c r="A58" s="177"/>
      <x:c r="B58" s="177"/>
      <x:c r="C58" s="177"/>
      <x:c r="D58" s="177"/>
      <x:c r="E58" s="177"/>
      <x:c r="F58" s="177"/>
      <x:c r="G58" s="177"/>
      <x:c r="H58" s="177"/>
      <x:c r="I58" s="177"/>
      <x:c r="J58" s="177"/>
      <x:c r="K58" s="177"/>
      <x:c r="L58" s="177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>
      <x:c r="A59" s="177"/>
      <x:c r="B59" s="177"/>
      <x:c r="C59" s="177"/>
      <x:c r="D59" s="177"/>
      <x:c r="E59" s="177"/>
      <x:c r="F59" s="177"/>
      <x:c r="G59" s="177"/>
      <x:c r="H59" s="177"/>
      <x:c r="I59" s="177"/>
      <x:c r="J59" s="177"/>
      <x:c r="K59" s="177"/>
      <x:c r="L59" s="177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>
      <x:c r="A60" s="177"/>
      <x:c r="B60" s="177"/>
      <x:c r="C60" s="177"/>
      <x:c r="D60" s="177"/>
      <x:c r="E60" s="177"/>
      <x:c r="F60" s="177"/>
      <x:c r="G60" s="177"/>
      <x:c r="H60" s="177"/>
      <x:c r="I60" s="177"/>
      <x:c r="J60" s="177"/>
      <x:c r="K60" s="177"/>
      <x:c r="L60" s="177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>
      <x:c r="A61" s="177"/>
      <x:c r="B61" s="177"/>
      <x:c r="C61" s="177"/>
      <x:c r="D61" s="177"/>
      <x:c r="E61" s="177"/>
      <x:c r="F61" s="177"/>
      <x:c r="G61" s="177"/>
      <x:c r="H61" s="177"/>
      <x:c r="I61" s="177"/>
      <x:c r="J61" s="177"/>
      <x:c r="K61" s="177"/>
      <x:c r="L61" s="177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>
      <x:c r="A62" s="177"/>
      <x:c r="B62" s="177"/>
      <x:c r="C62" s="177"/>
      <x:c r="D62" s="177"/>
      <x:c r="E62" s="177"/>
      <x:c r="F62" s="177"/>
      <x:c r="G62" s="177"/>
      <x:c r="H62" s="177"/>
      <x:c r="I62" s="177"/>
      <x:c r="J62" s="177"/>
      <x:c r="K62" s="177"/>
      <x:c r="L62" s="177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>
      <x:c r="A63" s="177"/>
      <x:c r="B63" s="177"/>
      <x:c r="C63" s="177"/>
      <x:c r="D63" s="177"/>
      <x:c r="E63" s="177"/>
      <x:c r="F63" s="177"/>
      <x:c r="G63" s="177"/>
      <x:c r="H63" s="177"/>
      <x:c r="I63" s="177"/>
      <x:c r="J63" s="177"/>
      <x:c r="K63" s="177"/>
      <x:c r="L63" s="177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>
      <x:c r="A64" s="177"/>
      <x:c r="B64" s="177"/>
      <x:c r="C64" s="177"/>
      <x:c r="D64" s="177"/>
      <x:c r="E64" s="177"/>
      <x:c r="F64" s="177"/>
      <x:c r="G64" s="177"/>
      <x:c r="H64" s="177"/>
      <x:c r="I64" s="177"/>
      <x:c r="J64" s="177"/>
      <x:c r="K64" s="177"/>
      <x:c r="L64" s="177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>
      <x:c r="A65" s="177"/>
      <x:c r="B65" s="177"/>
      <x:c r="C65" s="177"/>
      <x:c r="D65" s="177"/>
      <x:c r="E65" s="177"/>
      <x:c r="F65" s="177"/>
      <x:c r="G65" s="177"/>
      <x:c r="H65" s="177"/>
      <x:c r="I65" s="177"/>
      <x:c r="J65" s="177"/>
      <x:c r="K65" s="177"/>
      <x:c r="L65" s="177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>
      <x:c r="A66" s="177"/>
      <x:c r="B66" s="177"/>
      <x:c r="C66" s="177"/>
      <x:c r="D66" s="177"/>
      <x:c r="E66" s="177"/>
      <x:c r="F66" s="177"/>
      <x:c r="G66" s="177"/>
      <x:c r="H66" s="177"/>
      <x:c r="I66" s="177"/>
      <x:c r="J66" s="177"/>
      <x:c r="K66" s="177"/>
      <x:c r="L66" s="177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>
      <x:c r="A67" s="177"/>
      <x:c r="B67" s="177"/>
      <x:c r="C67" s="177"/>
      <x:c r="D67" s="177"/>
      <x:c r="E67" s="177"/>
      <x:c r="F67" s="177"/>
      <x:c r="G67" s="177"/>
      <x:c r="H67" s="177"/>
      <x:c r="I67" s="177"/>
      <x:c r="J67" s="177"/>
      <x:c r="K67" s="177"/>
      <x:c r="L67" s="177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>
      <x:c r="A68" s="177"/>
      <x:c r="B68" s="177"/>
      <x:c r="C68" s="177"/>
      <x:c r="D68" s="177"/>
      <x:c r="E68" s="177"/>
      <x:c r="F68" s="177"/>
      <x:c r="G68" s="177"/>
      <x:c r="H68" s="177"/>
      <x:c r="I68" s="177"/>
      <x:c r="J68" s="177"/>
      <x:c r="K68" s="177"/>
      <x:c r="L68" s="177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>
      <x:c r="A69" s="177"/>
      <x:c r="B69" s="177"/>
      <x:c r="C69" s="177"/>
      <x:c r="D69" s="177"/>
      <x:c r="E69" s="177"/>
      <x:c r="F69" s="177"/>
      <x:c r="G69" s="177"/>
      <x:c r="H69" s="177"/>
      <x:c r="I69" s="177"/>
      <x:c r="J69" s="177"/>
      <x:c r="K69" s="177"/>
      <x:c r="L69" s="177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>
      <x:c r="A70" s="177"/>
      <x:c r="B70" s="177"/>
      <x:c r="C70" s="177"/>
      <x:c r="D70" s="177"/>
      <x:c r="E70" s="177"/>
      <x:c r="F70" s="177"/>
      <x:c r="G70" s="177"/>
      <x:c r="H70" s="177"/>
      <x:c r="I70" s="177"/>
      <x:c r="J70" s="177"/>
      <x:c r="K70" s="177"/>
      <x:c r="L70" s="177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>
      <x:c r="A71" s="177"/>
      <x:c r="B71" s="177"/>
      <x:c r="C71" s="177"/>
      <x:c r="D71" s="177"/>
      <x:c r="E71" s="177"/>
      <x:c r="F71" s="177"/>
      <x:c r="G71" s="177"/>
      <x:c r="H71" s="177"/>
      <x:c r="I71" s="177"/>
      <x:c r="J71" s="177"/>
      <x:c r="K71" s="177"/>
      <x:c r="L71" s="177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>
      <x:c r="A72" s="177"/>
      <x:c r="B72" s="177"/>
      <x:c r="C72" s="177"/>
      <x:c r="D72" s="177"/>
      <x:c r="E72" s="177"/>
      <x:c r="F72" s="177"/>
      <x:c r="G72" s="177"/>
      <x:c r="H72" s="177"/>
      <x:c r="I72" s="177"/>
      <x:c r="J72" s="177"/>
      <x:c r="K72" s="177"/>
      <x:c r="L72" s="177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>
      <x:c r="A73" s="177"/>
      <x:c r="B73" s="177"/>
      <x:c r="C73" s="177"/>
      <x:c r="D73" s="177"/>
      <x:c r="E73" s="177"/>
      <x:c r="F73" s="177"/>
      <x:c r="G73" s="177"/>
      <x:c r="H73" s="177"/>
      <x:c r="I73" s="177"/>
      <x:c r="J73" s="177"/>
      <x:c r="K73" s="177"/>
      <x:c r="L73" s="177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>
      <x:c r="A74" s="177"/>
      <x:c r="B74" s="177"/>
      <x:c r="C74" s="177"/>
      <x:c r="D74" s="177"/>
      <x:c r="E74" s="177"/>
      <x:c r="F74" s="177"/>
      <x:c r="G74" s="177"/>
      <x:c r="H74" s="177"/>
      <x:c r="I74" s="177"/>
      <x:c r="J74" s="177"/>
      <x:c r="K74" s="177"/>
      <x:c r="L74" s="177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>
      <x:c r="A75" s="177"/>
      <x:c r="B75" s="177"/>
      <x:c r="C75" s="177"/>
      <x:c r="D75" s="177"/>
      <x:c r="E75" s="177"/>
      <x:c r="F75" s="177"/>
      <x:c r="G75" s="177"/>
      <x:c r="H75" s="177"/>
      <x:c r="I75" s="177"/>
      <x:c r="J75" s="177"/>
      <x:c r="K75" s="177"/>
      <x:c r="L75" s="177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>
      <x:c r="A76" s="177"/>
      <x:c r="B76" s="177"/>
      <x:c r="C76" s="177"/>
      <x:c r="D76" s="177"/>
      <x:c r="E76" s="177"/>
      <x:c r="F76" s="177"/>
      <x:c r="G76" s="177"/>
      <x:c r="H76" s="177"/>
      <x:c r="I76" s="177"/>
      <x:c r="J76" s="177"/>
      <x:c r="K76" s="177"/>
      <x:c r="L76" s="177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>
      <x:c r="A77" s="177"/>
      <x:c r="B77" s="177"/>
      <x:c r="C77" s="177"/>
      <x:c r="D77" s="177"/>
      <x:c r="E77" s="177"/>
      <x:c r="F77" s="177"/>
      <x:c r="G77" s="177"/>
      <x:c r="H77" s="177"/>
      <x:c r="I77" s="177"/>
      <x:c r="J77" s="177"/>
      <x:c r="K77" s="177"/>
      <x:c r="L77" s="177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>
      <x:c r="A78" s="177"/>
      <x:c r="B78" s="177"/>
      <x:c r="C78" s="177"/>
      <x:c r="D78" s="177"/>
      <x:c r="E78" s="177"/>
      <x:c r="F78" s="177"/>
      <x:c r="G78" s="177"/>
      <x:c r="H78" s="177"/>
      <x:c r="I78" s="177"/>
      <x:c r="J78" s="177"/>
      <x:c r="K78" s="177"/>
      <x:c r="L78" s="177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>
      <x:c r="A79" s="177"/>
      <x:c r="B79" s="177"/>
      <x:c r="C79" s="177"/>
      <x:c r="D79" s="177"/>
      <x:c r="E79" s="177"/>
      <x:c r="F79" s="177"/>
      <x:c r="G79" s="177"/>
      <x:c r="H79" s="177"/>
      <x:c r="I79" s="177"/>
      <x:c r="J79" s="177"/>
      <x:c r="K79" s="177"/>
      <x:c r="L79" s="177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>
      <x:c r="A80" s="177"/>
      <x:c r="B80" s="177"/>
      <x:c r="C80" s="177"/>
      <x:c r="D80" s="177"/>
      <x:c r="E80" s="177"/>
      <x:c r="F80" s="177"/>
      <x:c r="G80" s="177"/>
      <x:c r="H80" s="177"/>
      <x:c r="I80" s="177"/>
      <x:c r="J80" s="177"/>
      <x:c r="K80" s="177"/>
      <x:c r="L80" s="177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>
      <x:c r="A81" s="177"/>
      <x:c r="B81" s="177"/>
      <x:c r="C81" s="177"/>
      <x:c r="D81" s="177"/>
      <x:c r="E81" s="177"/>
      <x:c r="F81" s="177"/>
      <x:c r="G81" s="177"/>
      <x:c r="H81" s="177"/>
      <x:c r="I81" s="177"/>
      <x:c r="J81" s="177"/>
      <x:c r="K81" s="177"/>
      <x:c r="L81" s="177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>
      <x:c r="A82" s="177"/>
      <x:c r="B82" s="177"/>
      <x:c r="C82" s="177"/>
      <x:c r="D82" s="177"/>
      <x:c r="E82" s="177"/>
      <x:c r="F82" s="177"/>
      <x:c r="G82" s="177"/>
      <x:c r="H82" s="177"/>
      <x:c r="I82" s="177"/>
      <x:c r="J82" s="177"/>
      <x:c r="K82" s="177"/>
      <x:c r="L82" s="177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>
      <x:c r="A83" s="177"/>
      <x:c r="B83" s="177"/>
      <x:c r="C83" s="177"/>
      <x:c r="D83" s="177"/>
      <x:c r="E83" s="177"/>
      <x:c r="F83" s="177"/>
      <x:c r="G83" s="177"/>
      <x:c r="H83" s="177"/>
      <x:c r="I83" s="177"/>
      <x:c r="J83" s="177"/>
      <x:c r="K83" s="177"/>
      <x:c r="L83" s="177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>
      <x:c r="A84" s="177"/>
      <x:c r="B84" s="177"/>
      <x:c r="C84" s="177"/>
      <x:c r="D84" s="177"/>
      <x:c r="E84" s="177"/>
      <x:c r="F84" s="177"/>
      <x:c r="G84" s="177"/>
      <x:c r="H84" s="177"/>
      <x:c r="I84" s="177"/>
      <x:c r="J84" s="177"/>
      <x:c r="K84" s="177"/>
      <x:c r="L84" s="177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>
      <x:c r="A85" s="177"/>
      <x:c r="B85" s="177"/>
      <x:c r="C85" s="177"/>
      <x:c r="D85" s="177"/>
      <x:c r="E85" s="177"/>
      <x:c r="F85" s="177"/>
      <x:c r="G85" s="177"/>
      <x:c r="H85" s="177"/>
      <x:c r="I85" s="177"/>
      <x:c r="J85" s="177"/>
      <x:c r="K85" s="177"/>
      <x:c r="L85" s="177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>
      <x:c r="A86" s="177"/>
      <x:c r="B86" s="177"/>
      <x:c r="C86" s="177"/>
      <x:c r="D86" s="177"/>
      <x:c r="E86" s="177"/>
      <x:c r="F86" s="177"/>
      <x:c r="G86" s="177"/>
      <x:c r="H86" s="177"/>
      <x:c r="I86" s="177"/>
      <x:c r="J86" s="177"/>
      <x:c r="K86" s="177"/>
      <x:c r="L86" s="177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>
      <x:c r="A87" s="177"/>
      <x:c r="B87" s="177"/>
      <x:c r="C87" s="177"/>
      <x:c r="D87" s="177"/>
      <x:c r="E87" s="177"/>
      <x:c r="F87" s="177"/>
      <x:c r="G87" s="177"/>
      <x:c r="H87" s="177"/>
      <x:c r="I87" s="177"/>
      <x:c r="J87" s="177"/>
      <x:c r="K87" s="177"/>
      <x:c r="L87" s="177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>
      <x:c r="A88" s="177"/>
      <x:c r="B88" s="177"/>
      <x:c r="C88" s="177"/>
      <x:c r="D88" s="177"/>
      <x:c r="E88" s="177"/>
      <x:c r="F88" s="177"/>
      <x:c r="G88" s="177"/>
      <x:c r="H88" s="177"/>
      <x:c r="I88" s="177"/>
      <x:c r="J88" s="177"/>
      <x:c r="K88" s="177"/>
      <x:c r="L88" s="177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>
      <x:c r="A89" s="177"/>
      <x:c r="B89" s="177"/>
      <x:c r="C89" s="177"/>
      <x:c r="D89" s="177"/>
      <x:c r="E89" s="177"/>
      <x:c r="F89" s="177"/>
      <x:c r="G89" s="177"/>
      <x:c r="H89" s="177"/>
      <x:c r="I89" s="177"/>
      <x:c r="J89" s="177"/>
      <x:c r="K89" s="177"/>
      <x:c r="L89" s="177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>
      <x:c r="A90" s="177"/>
      <x:c r="B90" s="177"/>
      <x:c r="C90" s="177"/>
      <x:c r="D90" s="177"/>
      <x:c r="E90" s="177"/>
      <x:c r="F90" s="177"/>
      <x:c r="G90" s="177"/>
      <x:c r="H90" s="177"/>
      <x:c r="I90" s="177"/>
      <x:c r="J90" s="177"/>
      <x:c r="K90" s="177"/>
      <x:c r="L90" s="177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>
      <x:c r="A91" s="177"/>
      <x:c r="B91" s="177"/>
      <x:c r="C91" s="177"/>
      <x:c r="D91" s="177"/>
      <x:c r="E91" s="177"/>
      <x:c r="F91" s="177"/>
      <x:c r="G91" s="177"/>
      <x:c r="H91" s="177"/>
      <x:c r="I91" s="177"/>
      <x:c r="J91" s="177"/>
      <x:c r="K91" s="177"/>
      <x:c r="L91" s="177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>
      <x:c r="A92" s="177"/>
      <x:c r="B92" s="177"/>
      <x:c r="C92" s="177"/>
      <x:c r="D92" s="177"/>
      <x:c r="E92" s="177"/>
      <x:c r="F92" s="177"/>
      <x:c r="G92" s="177"/>
      <x:c r="H92" s="177"/>
      <x:c r="I92" s="177"/>
      <x:c r="J92" s="177"/>
      <x:c r="K92" s="177"/>
      <x:c r="L92" s="177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>
      <x:c r="A93" s="177"/>
      <x:c r="B93" s="177"/>
      <x:c r="C93" s="177"/>
      <x:c r="D93" s="177"/>
      <x:c r="E93" s="177"/>
      <x:c r="F93" s="177"/>
      <x:c r="G93" s="177"/>
      <x:c r="H93" s="177"/>
      <x:c r="I93" s="177"/>
      <x:c r="J93" s="177"/>
      <x:c r="K93" s="177"/>
      <x:c r="L93" s="177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>
      <x:c r="A94" s="177"/>
      <x:c r="B94" s="177"/>
      <x:c r="C94" s="177"/>
      <x:c r="D94" s="177"/>
      <x:c r="E94" s="177"/>
      <x:c r="F94" s="177"/>
      <x:c r="G94" s="177"/>
      <x:c r="H94" s="177"/>
      <x:c r="I94" s="177"/>
      <x:c r="J94" s="177"/>
      <x:c r="K94" s="177"/>
      <x:c r="L94" s="177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>
      <x:c r="A95" s="177"/>
      <x:c r="B95" s="177"/>
      <x:c r="C95" s="177"/>
      <x:c r="D95" s="177"/>
      <x:c r="E95" s="177"/>
      <x:c r="F95" s="177"/>
      <x:c r="G95" s="177"/>
      <x:c r="H95" s="177"/>
      <x:c r="I95" s="177"/>
      <x:c r="J95" s="177"/>
      <x:c r="K95" s="177"/>
      <x:c r="L95" s="177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>
      <x:c r="A96" s="177"/>
      <x:c r="B96" s="177"/>
      <x:c r="C96" s="177"/>
      <x:c r="D96" s="177"/>
      <x:c r="E96" s="177"/>
      <x:c r="F96" s="177"/>
      <x:c r="G96" s="177"/>
      <x:c r="H96" s="177"/>
      <x:c r="I96" s="177"/>
      <x:c r="J96" s="177"/>
      <x:c r="K96" s="177"/>
      <x:c r="L96" s="177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>
      <x:c r="A97" s="177"/>
      <x:c r="B97" s="177"/>
      <x:c r="C97" s="177"/>
      <x:c r="D97" s="177"/>
      <x:c r="E97" s="177"/>
      <x:c r="F97" s="177"/>
      <x:c r="G97" s="177"/>
      <x:c r="H97" s="177"/>
      <x:c r="I97" s="177"/>
      <x:c r="J97" s="177"/>
      <x:c r="K97" s="177"/>
      <x:c r="L97" s="177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>
      <x:c r="A98" s="177"/>
      <x:c r="B98" s="177"/>
      <x:c r="C98" s="177"/>
      <x:c r="D98" s="177"/>
      <x:c r="E98" s="177"/>
      <x:c r="F98" s="177"/>
      <x:c r="G98" s="177"/>
      <x:c r="H98" s="177"/>
      <x:c r="I98" s="177"/>
      <x:c r="J98" s="177"/>
      <x:c r="K98" s="177"/>
      <x:c r="L98" s="177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>
      <x:c r="A99" s="177"/>
      <x:c r="B99" s="177"/>
      <x:c r="C99" s="177"/>
      <x:c r="D99" s="177"/>
      <x:c r="E99" s="177"/>
      <x:c r="F99" s="177"/>
      <x:c r="G99" s="177"/>
      <x:c r="H99" s="177"/>
      <x:c r="I99" s="177"/>
      <x:c r="J99" s="177"/>
      <x:c r="K99" s="177"/>
      <x:c r="L99" s="177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>
      <x:c r="A100" s="177"/>
      <x:c r="B100" s="177"/>
      <x:c r="C100" s="177"/>
      <x:c r="D100" s="177"/>
      <x:c r="E100" s="177"/>
      <x:c r="F100" s="177"/>
      <x:c r="G100" s="177"/>
      <x:c r="H100" s="177"/>
      <x:c r="I100" s="177"/>
      <x:c r="J100" s="177"/>
      <x:c r="K100" s="177"/>
      <x:c r="L100" s="177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>
      <x:c r="A101" s="177"/>
      <x:c r="B101" s="177"/>
      <x:c r="C101" s="177"/>
      <x:c r="D101" s="177"/>
      <x:c r="E101" s="177"/>
      <x:c r="F101" s="177"/>
      <x:c r="G101" s="177"/>
      <x:c r="H101" s="177"/>
      <x:c r="I101" s="177"/>
      <x:c r="J101" s="177"/>
      <x:c r="K101" s="177"/>
      <x:c r="L101" s="177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>
      <x:c r="A102" s="177"/>
      <x:c r="B102" s="177"/>
      <x:c r="C102" s="177"/>
      <x:c r="D102" s="177"/>
      <x:c r="E102" s="177"/>
      <x:c r="F102" s="177"/>
      <x:c r="G102" s="177"/>
      <x:c r="H102" s="177"/>
      <x:c r="I102" s="177"/>
      <x:c r="J102" s="177"/>
      <x:c r="K102" s="177"/>
      <x:c r="L102" s="177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>
      <x:c r="A103" s="177"/>
      <x:c r="B103" s="177"/>
      <x:c r="C103" s="177"/>
      <x:c r="D103" s="177"/>
      <x:c r="E103" s="177"/>
      <x:c r="F103" s="177"/>
      <x:c r="G103" s="177"/>
      <x:c r="H103" s="177"/>
      <x:c r="I103" s="177"/>
      <x:c r="J103" s="177"/>
      <x:c r="K103" s="177"/>
      <x:c r="L103" s="177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>
      <x:c r="A104" s="177"/>
      <x:c r="B104" s="177"/>
      <x:c r="C104" s="177"/>
      <x:c r="D104" s="177"/>
      <x:c r="E104" s="177"/>
      <x:c r="F104" s="177"/>
      <x:c r="G104" s="177"/>
      <x:c r="H104" s="177"/>
      <x:c r="I104" s="177"/>
      <x:c r="J104" s="177"/>
      <x:c r="K104" s="177"/>
      <x:c r="L104" s="177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>
      <x:c r="A105" s="177"/>
      <x:c r="B105" s="177"/>
      <x:c r="C105" s="177"/>
      <x:c r="D105" s="177"/>
      <x:c r="E105" s="177"/>
      <x:c r="F105" s="177"/>
      <x:c r="G105" s="177"/>
      <x:c r="H105" s="177"/>
      <x:c r="I105" s="177"/>
      <x:c r="J105" s="177"/>
      <x:c r="K105" s="177"/>
      <x:c r="L105" s="177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>
      <x:c r="A106" s="177"/>
      <x:c r="B106" s="177"/>
      <x:c r="C106" s="177"/>
      <x:c r="D106" s="177"/>
      <x:c r="E106" s="177"/>
      <x:c r="F106" s="177"/>
      <x:c r="G106" s="177"/>
      <x:c r="H106" s="177"/>
      <x:c r="I106" s="177"/>
      <x:c r="J106" s="177"/>
      <x:c r="K106" s="177"/>
      <x:c r="L106" s="177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>
      <x:c r="A107" s="177"/>
      <x:c r="B107" s="177"/>
      <x:c r="C107" s="177"/>
      <x:c r="D107" s="177"/>
      <x:c r="E107" s="177"/>
      <x:c r="F107" s="177"/>
      <x:c r="G107" s="177"/>
      <x:c r="H107" s="177"/>
      <x:c r="I107" s="177"/>
      <x:c r="J107" s="177"/>
      <x:c r="K107" s="177"/>
      <x:c r="L107" s="177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>
      <x:c r="A108" s="177"/>
      <x:c r="B108" s="177"/>
      <x:c r="C108" s="177"/>
      <x:c r="D108" s="177"/>
      <x:c r="E108" s="177"/>
      <x:c r="F108" s="177"/>
      <x:c r="G108" s="177"/>
      <x:c r="H108" s="177"/>
      <x:c r="I108" s="177"/>
      <x:c r="J108" s="177"/>
      <x:c r="K108" s="177"/>
      <x:c r="L108" s="177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>
      <x:c r="A109" s="177"/>
      <x:c r="B109" s="177"/>
      <x:c r="C109" s="177"/>
      <x:c r="D109" s="177"/>
      <x:c r="E109" s="177"/>
      <x:c r="F109" s="177"/>
      <x:c r="G109" s="177"/>
      <x:c r="H109" s="177"/>
      <x:c r="I109" s="177"/>
      <x:c r="J109" s="177"/>
      <x:c r="K109" s="177"/>
      <x:c r="L109" s="177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>
      <x:c r="A110" s="177"/>
      <x:c r="B110" s="177"/>
      <x:c r="C110" s="177"/>
      <x:c r="D110" s="177"/>
      <x:c r="E110" s="177"/>
      <x:c r="F110" s="177"/>
      <x:c r="G110" s="177"/>
      <x:c r="H110" s="177"/>
      <x:c r="I110" s="177"/>
      <x:c r="J110" s="177"/>
      <x:c r="K110" s="177"/>
      <x:c r="L110" s="177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>
      <x:c r="A111" s="177"/>
      <x:c r="B111" s="177"/>
      <x:c r="C111" s="177"/>
      <x:c r="D111" s="177"/>
      <x:c r="E111" s="177"/>
      <x:c r="F111" s="177"/>
      <x:c r="G111" s="177"/>
      <x:c r="H111" s="177"/>
      <x:c r="I111" s="177"/>
      <x:c r="J111" s="177"/>
      <x:c r="K111" s="177"/>
      <x:c r="L111" s="177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>
      <x:c r="A112" s="177"/>
      <x:c r="B112" s="177"/>
      <x:c r="C112" s="177"/>
      <x:c r="D112" s="177"/>
      <x:c r="E112" s="177"/>
      <x:c r="F112" s="177"/>
      <x:c r="G112" s="177"/>
      <x:c r="H112" s="177"/>
      <x:c r="I112" s="177"/>
      <x:c r="J112" s="177"/>
      <x:c r="K112" s="177"/>
      <x:c r="L112" s="177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>
      <x:c r="A113" s="177"/>
      <x:c r="B113" s="177"/>
      <x:c r="C113" s="177"/>
      <x:c r="D113" s="177"/>
      <x:c r="E113" s="177"/>
      <x:c r="F113" s="177"/>
      <x:c r="G113" s="177"/>
      <x:c r="H113" s="177"/>
      <x:c r="I113" s="177"/>
      <x:c r="J113" s="177"/>
      <x:c r="K113" s="177"/>
      <x:c r="L113" s="177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>
      <x:c r="A114" s="177"/>
      <x:c r="B114" s="177"/>
      <x:c r="C114" s="177"/>
      <x:c r="D114" s="177"/>
      <x:c r="E114" s="177"/>
      <x:c r="F114" s="177"/>
      <x:c r="G114" s="177"/>
      <x:c r="H114" s="177"/>
      <x:c r="I114" s="177"/>
      <x:c r="J114" s="177"/>
      <x:c r="K114" s="177"/>
      <x:c r="L114" s="177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>
      <x:c r="A115" s="177"/>
      <x:c r="B115" s="177"/>
      <x:c r="C115" s="177"/>
      <x:c r="D115" s="177"/>
      <x:c r="E115" s="177"/>
      <x:c r="F115" s="177"/>
      <x:c r="G115" s="177"/>
      <x:c r="H115" s="177"/>
      <x:c r="I115" s="177"/>
      <x:c r="J115" s="177"/>
      <x:c r="K115" s="177"/>
      <x:c r="L115" s="177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>
      <x:c r="A116" s="177"/>
      <x:c r="B116" s="177"/>
      <x:c r="C116" s="177"/>
      <x:c r="D116" s="177"/>
      <x:c r="E116" s="177"/>
      <x:c r="F116" s="177"/>
      <x:c r="G116" s="177"/>
      <x:c r="H116" s="177"/>
      <x:c r="I116" s="177"/>
      <x:c r="J116" s="177"/>
      <x:c r="K116" s="177"/>
      <x:c r="L116" s="177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>
      <x:c r="A117" s="177"/>
      <x:c r="B117" s="177"/>
      <x:c r="C117" s="177"/>
      <x:c r="D117" s="177"/>
      <x:c r="E117" s="177"/>
      <x:c r="F117" s="177"/>
      <x:c r="G117" s="177"/>
      <x:c r="H117" s="177"/>
      <x:c r="I117" s="177"/>
      <x:c r="J117" s="177"/>
      <x:c r="K117" s="177"/>
      <x:c r="L117" s="177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>
      <x:c r="A118" s="177"/>
      <x:c r="B118" s="177"/>
      <x:c r="C118" s="177"/>
      <x:c r="D118" s="177"/>
      <x:c r="E118" s="177"/>
      <x:c r="F118" s="177"/>
      <x:c r="G118" s="177"/>
      <x:c r="H118" s="177"/>
      <x:c r="I118" s="177"/>
      <x:c r="J118" s="177"/>
      <x:c r="K118" s="177"/>
      <x:c r="L118" s="177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>
      <x:c r="A119" s="177"/>
      <x:c r="B119" s="177"/>
      <x:c r="C119" s="177"/>
      <x:c r="D119" s="177"/>
      <x:c r="E119" s="177"/>
      <x:c r="F119" s="177"/>
      <x:c r="G119" s="177"/>
      <x:c r="H119" s="177"/>
      <x:c r="I119" s="177"/>
      <x:c r="J119" s="177"/>
      <x:c r="K119" s="177"/>
      <x:c r="L119" s="177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>
      <x:c r="A120" s="177"/>
      <x:c r="B120" s="177"/>
      <x:c r="C120" s="177"/>
      <x:c r="D120" s="177"/>
      <x:c r="E120" s="177"/>
      <x:c r="F120" s="177"/>
      <x:c r="G120" s="177"/>
      <x:c r="H120" s="177"/>
      <x:c r="I120" s="177"/>
      <x:c r="J120" s="177"/>
      <x:c r="K120" s="177"/>
      <x:c r="L120" s="177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</x:sheetData>
  <x:mergeCells>
    <x:mergeCell ref="B3:G3"/>
    <x:mergeCell ref="B5:G6"/>
    <x:mergeCell ref="B8:G9"/>
    <x:mergeCell ref="B13:C17"/>
    <x:mergeCell ref="D13:E17"/>
    <x:mergeCell ref="F13:G17"/>
    <x:mergeCell ref="B21:G22"/>
    <x:mergeCell ref="B25:G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4" hidden="0" customWidth="1"/>
    <x:col min="3" max="3" width="26" hidden="0" customWidth="1"/>
    <x:col min="4" max="4" width="50" hidden="0" customWidth="1"/>
    <x:col min="5" max="5" width="3" hidden="0" customWidth="1"/>
    <x:col min="6" max="6" width="22" hidden="0" customWidth="1"/>
    <x:col min="7" max="7" width="22" hidden="0" customWidth="1"/>
    <x:col min="8" max="8" width="22" hidden="0" customWidth="1"/>
    <x:col min="9" max="9" width="3" hidden="0" customWidth="1"/>
  </x:cols>
  <x:sheetData>
    <x:row r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7"/>
      <x:c r="K1" s="177"/>
      <x:c r="L1" s="177"/>
      <x:c r="M1" s="177"/>
      <x:c r="N1" s="177"/>
      <x:c r="O1" s="177"/>
      <x:c r="P1" s="177"/>
      <x:c r="Q1" s="177"/>
      <x:c r="R1" s="177"/>
      <x:c r="S1" s="177"/>
      <x:c r="T1" s="177"/>
      <x:c r="U1" s="177"/>
      <x:c r="V1" s="177"/>
      <x:c r="W1" s="177"/>
      <x:c r="X1" s="177"/>
      <x:c r="Y1" s="177"/>
      <x:c r="Z1" s="177"/>
    </x:row>
    <x:row r="2">
      <x:c r="A2" s="176"/>
      <x:c r="B2" s="73" t="str">
        <x:v>Guía rápida de uso</x:v>
      </x:c>
      <x:c r="C2" s="73"/>
      <x:c r="D2" s="73"/>
      <x:c r="E2" s="73"/>
      <x:c r="F2" s="73"/>
      <x:c r="G2" s="73"/>
      <x:c r="H2" s="73"/>
      <x:c r="I2" s="176"/>
      <x:c r="J2" s="177"/>
      <x:c r="K2" s="177"/>
      <x:c r="L2" s="177"/>
      <x:c r="M2" s="177"/>
      <x:c r="N2" s="177"/>
      <x:c r="O2" s="177"/>
      <x:c r="P2" s="177"/>
      <x:c r="Q2" s="177"/>
      <x:c r="R2" s="177"/>
      <x:c r="S2" s="177"/>
      <x:c r="T2" s="177"/>
      <x:c r="U2" s="177"/>
      <x:c r="V2" s="177"/>
      <x:c r="W2" s="177"/>
      <x:c r="X2" s="177"/>
      <x:c r="Y2" s="177"/>
      <x:c r="Z2" s="177"/>
    </x:row>
    <x:row r="3">
      <x:c r="A3" s="176"/>
      <x:c r="B3" s="73"/>
      <x:c r="C3" s="73"/>
      <x:c r="D3" s="73"/>
      <x:c r="E3" s="73"/>
      <x:c r="F3" s="73"/>
      <x:c r="G3" s="73"/>
      <x:c r="H3" s="73"/>
      <x:c r="I3" s="176"/>
      <x:c r="J3" s="177"/>
      <x:c r="K3" s="177"/>
      <x:c r="L3" s="177"/>
      <x:c r="M3" s="177"/>
      <x:c r="N3" s="177"/>
      <x:c r="O3" s="177"/>
      <x:c r="P3" s="177"/>
      <x:c r="Q3" s="177"/>
      <x:c r="R3" s="177"/>
      <x:c r="S3" s="177"/>
      <x:c r="T3" s="177"/>
      <x:c r="U3" s="177"/>
      <x:c r="V3" s="177"/>
      <x:c r="W3" s="177"/>
      <x:c r="X3" s="177"/>
      <x:c r="Y3" s="177"/>
      <x:c r="Z3" s="177"/>
    </x:row>
    <x:row r="4">
      <x:c r="A4" s="176"/>
      <x:c r="B4" s="176"/>
      <x:c r="C4" s="176"/>
      <x:c r="D4" s="176"/>
      <x:c r="E4" s="176"/>
      <x:c r="F4" s="176"/>
      <x:c r="G4" s="176"/>
      <x:c r="H4" s="176"/>
      <x:c r="I4" s="176"/>
      <x:c r="J4" s="177"/>
      <x:c r="K4" s="177"/>
      <x:c r="L4" s="177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>
      <x:c r="A5" s="176"/>
      <x:c r="B5" s="39" t="str">
        <x:v>Sigue este flujo para mantener el pipeline actualizado y convertir datos comerciales en decisiones claras.</x:v>
      </x:c>
      <x:c r="C5" s="39"/>
      <x:c r="D5" s="39"/>
      <x:c r="E5" s="39"/>
      <x:c r="F5" s="39"/>
      <x:c r="G5" s="39"/>
      <x:c r="H5" s="39"/>
      <x:c r="I5" s="176"/>
      <x:c r="J5" s="177"/>
      <x:c r="K5" s="177"/>
      <x:c r="L5" s="177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>
      <x:c r="A6" s="176"/>
      <x:c r="B6" s="39"/>
      <x:c r="C6" s="39"/>
      <x:c r="D6" s="39"/>
      <x:c r="E6" s="39"/>
      <x:c r="F6" s="39"/>
      <x:c r="G6" s="39"/>
      <x:c r="H6" s="39"/>
      <x:c r="I6" s="176"/>
      <x:c r="J6" s="177"/>
      <x:c r="K6" s="177"/>
      <x:c r="L6" s="177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>
      <x:c r="A7" s="176"/>
      <x:c r="B7" s="176"/>
      <x:c r="C7" s="176"/>
      <x:c r="D7" s="176"/>
      <x:c r="E7" s="176"/>
      <x:c r="F7" s="176"/>
      <x:c r="G7" s="176"/>
      <x:c r="H7" s="176"/>
      <x:c r="I7" s="176"/>
      <x:c r="J7" s="177"/>
      <x:c r="K7" s="177"/>
      <x:c r="L7" s="177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>
      <x:c r="A8" s="176"/>
      <x:c r="B8" s="176"/>
      <x:c r="C8" s="176"/>
      <x:c r="D8" s="176"/>
      <x:c r="E8" s="176"/>
      <x:c r="F8" s="176"/>
      <x:c r="G8" s="176"/>
      <x:c r="H8" s="176"/>
      <x:c r="I8" s="176"/>
      <x:c r="J8" s="177"/>
      <x:c r="K8" s="177"/>
      <x:c r="L8" s="177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>
      <x:c r="A9" s="176"/>
      <x:c r="B9" s="82" t="str">
        <x:v>Paso</x:v>
      </x:c>
      <x:c r="C9" s="82" t="str">
        <x:v>Acción</x:v>
      </x:c>
      <x:c r="D9" s="82" t="str">
        <x:v>Qué debe hacer el usuario</x:v>
      </x:c>
      <x:c r="E9" s="176"/>
      <x:c r="F9" s="7" t="str">
        <x:v>Leyenda de edición</x:v>
      </x:c>
      <x:c r="G9" s="7"/>
      <x:c r="H9" s="7"/>
      <x:c r="I9" s="176"/>
      <x:c r="J9" s="177"/>
      <x:c r="K9" s="177"/>
      <x:c r="L9" s="177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ht="42" customHeight="1">
      <x:c r="A10" s="176"/>
      <x:c r="B10" s="182" t="str">
        <x:v>1</x:v>
      </x:c>
      <x:c r="C10" s="45" t="str">
        <x:v>Configura</x:v>
      </x:c>
      <x:c r="D10" s="93" t="str">
        <x:v>En 02 Config define empresa, año, mes de análisis, moneda, meta mensual, etapas y probabilidades.</x:v>
      </x:c>
      <x:c r="E10" s="176"/>
      <x:c r="F10" s="183" t="str">
        <x:v>Azul claro</x:v>
      </x:c>
      <x:c r="G10" s="93" t="str">
        <x:v>Captura editable</x:v>
      </x:c>
      <x:c r="H10" s="93"/>
      <x:c r="I10" s="176"/>
      <x:c r="J10" s="177"/>
      <x:c r="K10" s="177"/>
      <x:c r="L10" s="177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ht="42" customHeight="1">
      <x:c r="A11" s="176"/>
      <x:c r="B11" s="182" t="str">
        <x:v>2</x:v>
      </x:c>
      <x:c r="C11" s="45" t="str">
        <x:v>Registra prospectos</x:v>
      </x:c>
      <x:c r="D11" s="93" t="str">
        <x:v>En 03 Prospectos captura clientes potenciales, fuente, responsable e información de contacto.</x:v>
      </x:c>
      <x:c r="E11" s="176"/>
      <x:c r="F11" s="183" t="str">
        <x:v>Gris</x:v>
      </x:c>
      <x:c r="G11" s="93" t="str">
        <x:v>Fórmula automática</x:v>
      </x:c>
      <x:c r="H11" s="93"/>
      <x:c r="I11" s="176"/>
      <x:c r="J11" s="177"/>
      <x:c r="K11" s="177"/>
      <x:c r="L11" s="177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ht="42" customHeight="1">
      <x:c r="A12" s="176"/>
      <x:c r="B12" s="182" t="str">
        <x:v>3</x:v>
      </x:c>
      <x:c r="C12" s="45" t="str">
        <x:v>Carga oportunidades</x:v>
      </x:c>
      <x:c r="D12" s="93" t="str">
        <x:v>En 04 Pipeline registra cada venta potencial con valor, etapa, cierre estimado, prioridad y próximo paso.</x:v>
      </x:c>
      <x:c r="E12" s="176"/>
      <x:c r="F12" s="183" t="str">
        <x:v>Dorado</x:v>
      </x:c>
      <x:c r="G12" s="93" t="str">
        <x:v>Resultado clave</x:v>
      </x:c>
      <x:c r="H12" s="93"/>
      <x:c r="I12" s="176"/>
      <x:c r="J12" s="177"/>
      <x:c r="K12" s="177"/>
      <x:c r="L12" s="177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ht="42" customHeight="1">
      <x:c r="A13" s="176"/>
      <x:c r="B13" s="182" t="str">
        <x:v>4</x:v>
      </x:c>
      <x:c r="C13" s="45" t="str">
        <x:v>Revisa la proyección</x:v>
      </x:c>
      <x:c r="D13" s="93" t="str">
        <x:v>En 05 Proyección identifica ingresos esperados por mes, valor ponderado y brecha contra la meta.</x:v>
      </x:c>
      <x:c r="E13" s="176"/>
      <x:c r="F13" s="183" t="str">
        <x:v>Rojo</x:v>
      </x:c>
      <x:c r="G13" s="93" t="str">
        <x:v>Alerta o riesgo</x:v>
      </x:c>
      <x:c r="H13" s="93"/>
      <x:c r="I13" s="176"/>
      <x:c r="J13" s="177"/>
      <x:c r="K13" s="177"/>
      <x:c r="L13" s="177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ht="42" customHeight="1">
      <x:c r="A14" s="176"/>
      <x:c r="B14" s="182" t="str">
        <x:v>5</x:v>
      </x:c>
      <x:c r="C14" s="45" t="str">
        <x:v>Analiza el dashboard</x:v>
      </x:c>
      <x:c r="D14" s="93" t="str">
        <x:v>En 06 Dashboard observa los indicadores clave y toma decisiones de seguimiento comercial.</x:v>
      </x:c>
      <x:c r="E14" s="176"/>
      <x:c r="F14" s="176"/>
      <x:c r="G14" s="176"/>
      <x:c r="H14" s="176"/>
      <x:c r="I14" s="176"/>
      <x:c r="J14" s="177"/>
      <x:c r="K14" s="177"/>
      <x:c r="L14" s="177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>
      <x:c r="A15" s="176"/>
      <x:c r="B15" s="176"/>
      <x:c r="C15" s="176"/>
      <x:c r="D15" s="176"/>
      <x:c r="E15" s="176"/>
      <x:c r="F15" s="176"/>
      <x:c r="G15" s="176"/>
      <x:c r="H15" s="176"/>
      <x:c r="I15" s="176"/>
      <x:c r="J15" s="177"/>
      <x:c r="K15" s="177"/>
      <x:c r="L15" s="177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>
      <x:c r="A16" s="176"/>
      <x:c r="B16" s="176"/>
      <x:c r="C16" s="176"/>
      <x:c r="D16" s="176"/>
      <x:c r="E16" s="176"/>
      <x:c r="F16" s="176"/>
      <x:c r="G16" s="176"/>
      <x:c r="H16" s="176"/>
      <x:c r="I16" s="176"/>
      <x:c r="J16" s="177"/>
      <x:c r="K16" s="177"/>
      <x:c r="L16" s="177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>
      <x:c r="A17" s="176"/>
      <x:c r="B17" s="176"/>
      <x:c r="C17" s="176"/>
      <x:c r="D17" s="176"/>
      <x:c r="E17" s="176"/>
      <x:c r="F17" s="176"/>
      <x:c r="G17" s="176"/>
      <x:c r="H17" s="176"/>
      <x:c r="I17" s="176"/>
      <x:c r="J17" s="177"/>
      <x:c r="K17" s="177"/>
      <x:c r="L17" s="177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>
      <x:c r="A18" s="176"/>
      <x:c r="B18" s="56" t="str">
        <x:v>Consejo profesional: actualiza esta plantilla semanalmente. Toda oportunidad abierta debe tener fecha estimada de cierre, responsable y próxima acción para que el forecast sea confiable.</x:v>
      </x:c>
      <x:c r="C18" s="56"/>
      <x:c r="D18" s="56"/>
      <x:c r="E18" s="56"/>
      <x:c r="F18" s="56"/>
      <x:c r="G18" s="56"/>
      <x:c r="H18" s="56"/>
      <x:c r="I18" s="176"/>
      <x:c r="J18" s="177"/>
      <x:c r="K18" s="177"/>
      <x:c r="L18" s="177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>
      <x:c r="A19" s="176"/>
      <x:c r="B19" s="56"/>
      <x:c r="C19" s="56"/>
      <x:c r="D19" s="56"/>
      <x:c r="E19" s="56"/>
      <x:c r="F19" s="56"/>
      <x:c r="G19" s="56"/>
      <x:c r="H19" s="56"/>
      <x:c r="I19" s="176"/>
      <x:c r="J19" s="177"/>
      <x:c r="K19" s="177"/>
      <x:c r="L19" s="177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>
      <x:c r="A20" s="176"/>
      <x:c r="B20" s="56"/>
      <x:c r="C20" s="56"/>
      <x:c r="D20" s="56"/>
      <x:c r="E20" s="56"/>
      <x:c r="F20" s="56"/>
      <x:c r="G20" s="56"/>
      <x:c r="H20" s="56"/>
      <x:c r="I20" s="176"/>
      <x:c r="J20" s="177"/>
      <x:c r="K20" s="177"/>
      <x:c r="L20" s="177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>
      <x:c r="A21" s="176"/>
      <x:c r="B21" s="56"/>
      <x:c r="C21" s="56"/>
      <x:c r="D21" s="56"/>
      <x:c r="E21" s="56"/>
      <x:c r="F21" s="56"/>
      <x:c r="G21" s="56"/>
      <x:c r="H21" s="56"/>
      <x:c r="I21" s="176"/>
      <x:c r="J21" s="177"/>
      <x:c r="K21" s="177"/>
      <x:c r="L21" s="177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>
      <x:c r="A22" s="176"/>
      <x:c r="B22" s="56"/>
      <x:c r="C22" s="56"/>
      <x:c r="D22" s="56"/>
      <x:c r="E22" s="56"/>
      <x:c r="F22" s="56"/>
      <x:c r="G22" s="56"/>
      <x:c r="H22" s="56"/>
      <x:c r="I22" s="176"/>
      <x:c r="J22" s="177"/>
      <x:c r="K22" s="177"/>
      <x:c r="L22" s="177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>
      <x:c r="A23" s="176"/>
      <x:c r="B23" s="176"/>
      <x:c r="C23" s="176"/>
      <x:c r="D23" s="176"/>
      <x:c r="E23" s="176"/>
      <x:c r="F23" s="176"/>
      <x:c r="G23" s="176"/>
      <x:c r="H23" s="176"/>
      <x:c r="I23" s="176"/>
      <x:c r="J23" s="177"/>
      <x:c r="K23" s="177"/>
      <x:c r="L23" s="177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7"/>
      <x:c r="K24" s="177"/>
      <x:c r="L24" s="177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7"/>
      <x:c r="K25" s="177"/>
      <x:c r="L25" s="177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>
      <x:c r="A26" s="176"/>
      <x:c r="B26" s="176"/>
      <x:c r="C26" s="176"/>
      <x:c r="D26" s="176"/>
      <x:c r="E26" s="176"/>
      <x:c r="F26" s="176"/>
      <x:c r="G26" s="176"/>
      <x:c r="H26" s="176"/>
      <x:c r="I26" s="176"/>
      <x:c r="J26" s="177"/>
      <x:c r="K26" s="177"/>
      <x:c r="L26" s="177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>
      <x:c r="A27" s="176"/>
      <x:c r="B27" s="176"/>
      <x:c r="C27" s="176"/>
      <x:c r="D27" s="176"/>
      <x:c r="E27" s="176"/>
      <x:c r="F27" s="176"/>
      <x:c r="G27" s="176"/>
      <x:c r="H27" s="176"/>
      <x:c r="I27" s="176"/>
      <x:c r="J27" s="177"/>
      <x:c r="K27" s="177"/>
      <x:c r="L27" s="177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>
      <x:c r="A28" s="176"/>
      <x:c r="B28" s="176"/>
      <x:c r="C28" s="176"/>
      <x:c r="D28" s="176"/>
      <x:c r="E28" s="176"/>
      <x:c r="F28" s="176"/>
      <x:c r="G28" s="176"/>
      <x:c r="H28" s="176"/>
      <x:c r="I28" s="176"/>
      <x:c r="J28" s="177"/>
      <x:c r="K28" s="177"/>
      <x:c r="L28" s="177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>
      <x:c r="A29" s="176"/>
      <x:c r="B29" s="176"/>
      <x:c r="C29" s="176"/>
      <x:c r="D29" s="176"/>
      <x:c r="E29" s="176"/>
      <x:c r="F29" s="176"/>
      <x:c r="G29" s="176"/>
      <x:c r="H29" s="176"/>
      <x:c r="I29" s="176"/>
      <x:c r="J29" s="177"/>
      <x:c r="K29" s="177"/>
      <x:c r="L29" s="177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>
      <x:c r="A30" s="176"/>
      <x:c r="B30" s="176"/>
      <x:c r="C30" s="176"/>
      <x:c r="D30" s="176"/>
      <x:c r="E30" s="176"/>
      <x:c r="F30" s="176"/>
      <x:c r="G30" s="176"/>
      <x:c r="H30" s="176"/>
      <x:c r="I30" s="176"/>
      <x:c r="J30" s="177"/>
      <x:c r="K30" s="177"/>
      <x:c r="L30" s="177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>
      <x:c r="A31" s="176"/>
      <x:c r="B31" s="176"/>
      <x:c r="C31" s="176"/>
      <x:c r="D31" s="176"/>
      <x:c r="E31" s="176"/>
      <x:c r="F31" s="176"/>
      <x:c r="G31" s="176"/>
      <x:c r="H31" s="176"/>
      <x:c r="I31" s="176"/>
      <x:c r="J31" s="177"/>
      <x:c r="K31" s="177"/>
      <x:c r="L31" s="177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>
      <x:c r="A32" s="176"/>
      <x:c r="B32" s="176"/>
      <x:c r="C32" s="176"/>
      <x:c r="D32" s="176"/>
      <x:c r="E32" s="176"/>
      <x:c r="F32" s="176"/>
      <x:c r="G32" s="176"/>
      <x:c r="H32" s="176"/>
      <x:c r="I32" s="176"/>
      <x:c r="J32" s="177"/>
      <x:c r="K32" s="177"/>
      <x:c r="L32" s="177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>
      <x:c r="A33" s="176"/>
      <x:c r="B33" s="176"/>
      <x:c r="C33" s="176"/>
      <x:c r="D33" s="176"/>
      <x:c r="E33" s="176"/>
      <x:c r="F33" s="176"/>
      <x:c r="G33" s="176"/>
      <x:c r="H33" s="176"/>
      <x:c r="I33" s="176"/>
      <x:c r="J33" s="177"/>
      <x:c r="K33" s="177"/>
      <x:c r="L33" s="177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>
      <x:c r="A34" s="176"/>
      <x:c r="B34" s="176"/>
      <x:c r="C34" s="176"/>
      <x:c r="D34" s="176"/>
      <x:c r="E34" s="176"/>
      <x:c r="F34" s="176"/>
      <x:c r="G34" s="176"/>
      <x:c r="H34" s="176"/>
      <x:c r="I34" s="176"/>
      <x:c r="J34" s="177"/>
      <x:c r="K34" s="177"/>
      <x:c r="L34" s="177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>
      <x:c r="A35" s="176"/>
      <x:c r="B35" s="176"/>
      <x:c r="C35" s="176"/>
      <x:c r="D35" s="176"/>
      <x:c r="E35" s="176"/>
      <x:c r="F35" s="176"/>
      <x:c r="G35" s="176"/>
      <x:c r="H35" s="176"/>
      <x:c r="I35" s="176"/>
      <x:c r="J35" s="177"/>
      <x:c r="K35" s="177"/>
      <x:c r="L35" s="177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>
      <x:c r="A36" s="176"/>
      <x:c r="B36" s="176"/>
      <x:c r="C36" s="176"/>
      <x:c r="D36" s="176"/>
      <x:c r="E36" s="176"/>
      <x:c r="F36" s="176"/>
      <x:c r="G36" s="176"/>
      <x:c r="H36" s="176"/>
      <x:c r="I36" s="176"/>
      <x:c r="J36" s="177"/>
      <x:c r="K36" s="177"/>
      <x:c r="L36" s="177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7"/>
      <x:c r="K37" s="177"/>
      <x:c r="L37" s="177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>
      <x:c r="A38" s="176"/>
      <x:c r="B38" s="176"/>
      <x:c r="C38" s="176"/>
      <x:c r="D38" s="176"/>
      <x:c r="E38" s="176"/>
      <x:c r="F38" s="176"/>
      <x:c r="G38" s="176"/>
      <x:c r="H38" s="176"/>
      <x:c r="I38" s="176"/>
      <x:c r="J38" s="177"/>
      <x:c r="K38" s="177"/>
      <x:c r="L38" s="177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>
      <x:c r="A39" s="176"/>
      <x:c r="B39" s="176"/>
      <x:c r="C39" s="176"/>
      <x:c r="D39" s="176"/>
      <x:c r="E39" s="176"/>
      <x:c r="F39" s="176"/>
      <x:c r="G39" s="176"/>
      <x:c r="H39" s="176"/>
      <x:c r="I39" s="176"/>
      <x:c r="J39" s="177"/>
      <x:c r="K39" s="177"/>
      <x:c r="L39" s="177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>
      <x:c r="A40" s="176"/>
      <x:c r="B40" s="176"/>
      <x:c r="C40" s="176"/>
      <x:c r="D40" s="176"/>
      <x:c r="E40" s="176"/>
      <x:c r="F40" s="176"/>
      <x:c r="G40" s="176"/>
      <x:c r="H40" s="176"/>
      <x:c r="I40" s="176"/>
      <x:c r="J40" s="177"/>
      <x:c r="K40" s="177"/>
      <x:c r="L40" s="177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>
      <x:c r="A41" s="177"/>
      <x:c r="B41" s="177"/>
      <x:c r="C41" s="177"/>
      <x:c r="D41" s="177"/>
      <x:c r="E41" s="177"/>
      <x:c r="F41" s="177"/>
      <x:c r="G41" s="177"/>
      <x:c r="H41" s="177"/>
      <x:c r="I41" s="177"/>
      <x:c r="J41" s="177"/>
      <x:c r="K41" s="177"/>
      <x:c r="L41" s="177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>
      <x:c r="A42" s="177"/>
      <x:c r="B42" s="177"/>
      <x:c r="C42" s="177"/>
      <x:c r="D42" s="177"/>
      <x:c r="E42" s="177"/>
      <x:c r="F42" s="177"/>
      <x:c r="G42" s="177"/>
      <x:c r="H42" s="177"/>
      <x:c r="I42" s="177"/>
      <x:c r="J42" s="177"/>
      <x:c r="K42" s="177"/>
      <x:c r="L42" s="177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>
      <x:c r="A43" s="177"/>
      <x:c r="B43" s="177"/>
      <x:c r="C43" s="177"/>
      <x:c r="D43" s="177"/>
      <x:c r="E43" s="177"/>
      <x:c r="F43" s="177"/>
      <x:c r="G43" s="177"/>
      <x:c r="H43" s="177"/>
      <x:c r="I43" s="177"/>
      <x:c r="J43" s="177"/>
      <x:c r="K43" s="177"/>
      <x:c r="L43" s="177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>
      <x:c r="A44" s="177"/>
      <x:c r="B44" s="177"/>
      <x:c r="C44" s="177"/>
      <x:c r="D44" s="177"/>
      <x:c r="E44" s="177"/>
      <x:c r="F44" s="177"/>
      <x:c r="G44" s="177"/>
      <x:c r="H44" s="177"/>
      <x:c r="I44" s="177"/>
      <x:c r="J44" s="177"/>
      <x:c r="K44" s="177"/>
      <x:c r="L44" s="177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>
      <x:c r="A45" s="177"/>
      <x:c r="B45" s="177"/>
      <x:c r="C45" s="177"/>
      <x:c r="D45" s="177"/>
      <x:c r="E45" s="177"/>
      <x:c r="F45" s="177"/>
      <x:c r="G45" s="177"/>
      <x:c r="H45" s="177"/>
      <x:c r="I45" s="177"/>
      <x:c r="J45" s="177"/>
      <x:c r="K45" s="177"/>
      <x:c r="L45" s="177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>
      <x:c r="A46" s="177"/>
      <x:c r="B46" s="177"/>
      <x:c r="C46" s="177"/>
      <x:c r="D46" s="177"/>
      <x:c r="E46" s="177"/>
      <x:c r="F46" s="177"/>
      <x:c r="G46" s="177"/>
      <x:c r="H46" s="177"/>
      <x:c r="I46" s="177"/>
      <x:c r="J46" s="177"/>
      <x:c r="K46" s="177"/>
      <x:c r="L46" s="177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>
      <x:c r="A47" s="177"/>
      <x:c r="B47" s="177"/>
      <x:c r="C47" s="177"/>
      <x:c r="D47" s="177"/>
      <x:c r="E47" s="177"/>
      <x:c r="F47" s="177"/>
      <x:c r="G47" s="177"/>
      <x:c r="H47" s="177"/>
      <x:c r="I47" s="177"/>
      <x:c r="J47" s="177"/>
      <x:c r="K47" s="177"/>
      <x:c r="L47" s="177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>
      <x:c r="A48" s="177"/>
      <x:c r="B48" s="177"/>
      <x:c r="C48" s="177"/>
      <x:c r="D48" s="177"/>
      <x:c r="E48" s="177"/>
      <x:c r="F48" s="177"/>
      <x:c r="G48" s="177"/>
      <x:c r="H48" s="177"/>
      <x:c r="I48" s="177"/>
      <x:c r="J48" s="177"/>
      <x:c r="K48" s="177"/>
      <x:c r="L48" s="177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>
      <x:c r="A49" s="177"/>
      <x:c r="B49" s="177"/>
      <x:c r="C49" s="177"/>
      <x:c r="D49" s="177"/>
      <x:c r="E49" s="177"/>
      <x:c r="F49" s="177"/>
      <x:c r="G49" s="177"/>
      <x:c r="H49" s="177"/>
      <x:c r="I49" s="177"/>
      <x:c r="J49" s="177"/>
      <x:c r="K49" s="177"/>
      <x:c r="L49" s="177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>
      <x:c r="A50" s="177"/>
      <x:c r="B50" s="177"/>
      <x:c r="C50" s="177"/>
      <x:c r="D50" s="177"/>
      <x:c r="E50" s="177"/>
      <x:c r="F50" s="177"/>
      <x:c r="G50" s="177"/>
      <x:c r="H50" s="177"/>
      <x:c r="I50" s="177"/>
      <x:c r="J50" s="177"/>
      <x:c r="K50" s="177"/>
      <x:c r="L50" s="177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>
      <x:c r="A51" s="177"/>
      <x:c r="B51" s="177"/>
      <x:c r="C51" s="177"/>
      <x:c r="D51" s="177"/>
      <x:c r="E51" s="177"/>
      <x:c r="F51" s="177"/>
      <x:c r="G51" s="177"/>
      <x:c r="H51" s="177"/>
      <x:c r="I51" s="177"/>
      <x:c r="J51" s="177"/>
      <x:c r="K51" s="177"/>
      <x:c r="L51" s="177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>
      <x:c r="A52" s="177"/>
      <x:c r="B52" s="177"/>
      <x:c r="C52" s="177"/>
      <x:c r="D52" s="177"/>
      <x:c r="E52" s="177"/>
      <x:c r="F52" s="177"/>
      <x:c r="G52" s="177"/>
      <x:c r="H52" s="177"/>
      <x:c r="I52" s="177"/>
      <x:c r="J52" s="177"/>
      <x:c r="K52" s="177"/>
      <x:c r="L52" s="177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>
      <x:c r="A53" s="177"/>
      <x:c r="B53" s="177"/>
      <x:c r="C53" s="177"/>
      <x:c r="D53" s="177"/>
      <x:c r="E53" s="177"/>
      <x:c r="F53" s="177"/>
      <x:c r="G53" s="177"/>
      <x:c r="H53" s="177"/>
      <x:c r="I53" s="177"/>
      <x:c r="J53" s="177"/>
      <x:c r="K53" s="177"/>
      <x:c r="L53" s="177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>
      <x:c r="A54" s="177"/>
      <x:c r="B54" s="177"/>
      <x:c r="C54" s="177"/>
      <x:c r="D54" s="177"/>
      <x:c r="E54" s="177"/>
      <x:c r="F54" s="177"/>
      <x:c r="G54" s="177"/>
      <x:c r="H54" s="177"/>
      <x:c r="I54" s="177"/>
      <x:c r="J54" s="177"/>
      <x:c r="K54" s="177"/>
      <x:c r="L54" s="177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>
      <x:c r="A55" s="177"/>
      <x:c r="B55" s="177"/>
      <x:c r="C55" s="177"/>
      <x:c r="D55" s="177"/>
      <x:c r="E55" s="177"/>
      <x:c r="F55" s="177"/>
      <x:c r="G55" s="177"/>
      <x:c r="H55" s="177"/>
      <x:c r="I55" s="177"/>
      <x:c r="J55" s="177"/>
      <x:c r="K55" s="177"/>
      <x:c r="L55" s="177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>
      <x:c r="A56" s="177"/>
      <x:c r="B56" s="177"/>
      <x:c r="C56" s="177"/>
      <x:c r="D56" s="177"/>
      <x:c r="E56" s="177"/>
      <x:c r="F56" s="177"/>
      <x:c r="G56" s="177"/>
      <x:c r="H56" s="177"/>
      <x:c r="I56" s="177"/>
      <x:c r="J56" s="177"/>
      <x:c r="K56" s="177"/>
      <x:c r="L56" s="177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>
      <x:c r="A57" s="177"/>
      <x:c r="B57" s="177"/>
      <x:c r="C57" s="177"/>
      <x:c r="D57" s="177"/>
      <x:c r="E57" s="177"/>
      <x:c r="F57" s="177"/>
      <x:c r="G57" s="177"/>
      <x:c r="H57" s="177"/>
      <x:c r="I57" s="177"/>
      <x:c r="J57" s="177"/>
      <x:c r="K57" s="177"/>
      <x:c r="L57" s="177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>
      <x:c r="A58" s="177"/>
      <x:c r="B58" s="177"/>
      <x:c r="C58" s="177"/>
      <x:c r="D58" s="177"/>
      <x:c r="E58" s="177"/>
      <x:c r="F58" s="177"/>
      <x:c r="G58" s="177"/>
      <x:c r="H58" s="177"/>
      <x:c r="I58" s="177"/>
      <x:c r="J58" s="177"/>
      <x:c r="K58" s="177"/>
      <x:c r="L58" s="177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>
      <x:c r="A59" s="177"/>
      <x:c r="B59" s="177"/>
      <x:c r="C59" s="177"/>
      <x:c r="D59" s="177"/>
      <x:c r="E59" s="177"/>
      <x:c r="F59" s="177"/>
      <x:c r="G59" s="177"/>
      <x:c r="H59" s="177"/>
      <x:c r="I59" s="177"/>
      <x:c r="J59" s="177"/>
      <x:c r="K59" s="177"/>
      <x:c r="L59" s="177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>
      <x:c r="A60" s="177"/>
      <x:c r="B60" s="177"/>
      <x:c r="C60" s="177"/>
      <x:c r="D60" s="177"/>
      <x:c r="E60" s="177"/>
      <x:c r="F60" s="177"/>
      <x:c r="G60" s="177"/>
      <x:c r="H60" s="177"/>
      <x:c r="I60" s="177"/>
      <x:c r="J60" s="177"/>
      <x:c r="K60" s="177"/>
      <x:c r="L60" s="177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>
      <x:c r="A61" s="177"/>
      <x:c r="B61" s="177"/>
      <x:c r="C61" s="177"/>
      <x:c r="D61" s="177"/>
      <x:c r="E61" s="177"/>
      <x:c r="F61" s="177"/>
      <x:c r="G61" s="177"/>
      <x:c r="H61" s="177"/>
      <x:c r="I61" s="177"/>
      <x:c r="J61" s="177"/>
      <x:c r="K61" s="177"/>
      <x:c r="L61" s="177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>
      <x:c r="A62" s="177"/>
      <x:c r="B62" s="177"/>
      <x:c r="C62" s="177"/>
      <x:c r="D62" s="177"/>
      <x:c r="E62" s="177"/>
      <x:c r="F62" s="177"/>
      <x:c r="G62" s="177"/>
      <x:c r="H62" s="177"/>
      <x:c r="I62" s="177"/>
      <x:c r="J62" s="177"/>
      <x:c r="K62" s="177"/>
      <x:c r="L62" s="177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>
      <x:c r="A63" s="177"/>
      <x:c r="B63" s="177"/>
      <x:c r="C63" s="177"/>
      <x:c r="D63" s="177"/>
      <x:c r="E63" s="177"/>
      <x:c r="F63" s="177"/>
      <x:c r="G63" s="177"/>
      <x:c r="H63" s="177"/>
      <x:c r="I63" s="177"/>
      <x:c r="J63" s="177"/>
      <x:c r="K63" s="177"/>
      <x:c r="L63" s="177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>
      <x:c r="A64" s="177"/>
      <x:c r="B64" s="177"/>
      <x:c r="C64" s="177"/>
      <x:c r="D64" s="177"/>
      <x:c r="E64" s="177"/>
      <x:c r="F64" s="177"/>
      <x:c r="G64" s="177"/>
      <x:c r="H64" s="177"/>
      <x:c r="I64" s="177"/>
      <x:c r="J64" s="177"/>
      <x:c r="K64" s="177"/>
      <x:c r="L64" s="177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>
      <x:c r="A65" s="177"/>
      <x:c r="B65" s="177"/>
      <x:c r="C65" s="177"/>
      <x:c r="D65" s="177"/>
      <x:c r="E65" s="177"/>
      <x:c r="F65" s="177"/>
      <x:c r="G65" s="177"/>
      <x:c r="H65" s="177"/>
      <x:c r="I65" s="177"/>
      <x:c r="J65" s="177"/>
      <x:c r="K65" s="177"/>
      <x:c r="L65" s="177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>
      <x:c r="A66" s="177"/>
      <x:c r="B66" s="177"/>
      <x:c r="C66" s="177"/>
      <x:c r="D66" s="177"/>
      <x:c r="E66" s="177"/>
      <x:c r="F66" s="177"/>
      <x:c r="G66" s="177"/>
      <x:c r="H66" s="177"/>
      <x:c r="I66" s="177"/>
      <x:c r="J66" s="177"/>
      <x:c r="K66" s="177"/>
      <x:c r="L66" s="177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>
      <x:c r="A67" s="177"/>
      <x:c r="B67" s="177"/>
      <x:c r="C67" s="177"/>
      <x:c r="D67" s="177"/>
      <x:c r="E67" s="177"/>
      <x:c r="F67" s="177"/>
      <x:c r="G67" s="177"/>
      <x:c r="H67" s="177"/>
      <x:c r="I67" s="177"/>
      <x:c r="J67" s="177"/>
      <x:c r="K67" s="177"/>
      <x:c r="L67" s="177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>
      <x:c r="A68" s="177"/>
      <x:c r="B68" s="177"/>
      <x:c r="C68" s="177"/>
      <x:c r="D68" s="177"/>
      <x:c r="E68" s="177"/>
      <x:c r="F68" s="177"/>
      <x:c r="G68" s="177"/>
      <x:c r="H68" s="177"/>
      <x:c r="I68" s="177"/>
      <x:c r="J68" s="177"/>
      <x:c r="K68" s="177"/>
      <x:c r="L68" s="177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>
      <x:c r="A69" s="177"/>
      <x:c r="B69" s="177"/>
      <x:c r="C69" s="177"/>
      <x:c r="D69" s="177"/>
      <x:c r="E69" s="177"/>
      <x:c r="F69" s="177"/>
      <x:c r="G69" s="177"/>
      <x:c r="H69" s="177"/>
      <x:c r="I69" s="177"/>
      <x:c r="J69" s="177"/>
      <x:c r="K69" s="177"/>
      <x:c r="L69" s="177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>
      <x:c r="A70" s="177"/>
      <x:c r="B70" s="177"/>
      <x:c r="C70" s="177"/>
      <x:c r="D70" s="177"/>
      <x:c r="E70" s="177"/>
      <x:c r="F70" s="177"/>
      <x:c r="G70" s="177"/>
      <x:c r="H70" s="177"/>
      <x:c r="I70" s="177"/>
      <x:c r="J70" s="177"/>
      <x:c r="K70" s="177"/>
      <x:c r="L70" s="177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>
      <x:c r="A71" s="177"/>
      <x:c r="B71" s="177"/>
      <x:c r="C71" s="177"/>
      <x:c r="D71" s="177"/>
      <x:c r="E71" s="177"/>
      <x:c r="F71" s="177"/>
      <x:c r="G71" s="177"/>
      <x:c r="H71" s="177"/>
      <x:c r="I71" s="177"/>
      <x:c r="J71" s="177"/>
      <x:c r="K71" s="177"/>
      <x:c r="L71" s="177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>
      <x:c r="A72" s="177"/>
      <x:c r="B72" s="177"/>
      <x:c r="C72" s="177"/>
      <x:c r="D72" s="177"/>
      <x:c r="E72" s="177"/>
      <x:c r="F72" s="177"/>
      <x:c r="G72" s="177"/>
      <x:c r="H72" s="177"/>
      <x:c r="I72" s="177"/>
      <x:c r="J72" s="177"/>
      <x:c r="K72" s="177"/>
      <x:c r="L72" s="177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>
      <x:c r="A73" s="177"/>
      <x:c r="B73" s="177"/>
      <x:c r="C73" s="177"/>
      <x:c r="D73" s="177"/>
      <x:c r="E73" s="177"/>
      <x:c r="F73" s="177"/>
      <x:c r="G73" s="177"/>
      <x:c r="H73" s="177"/>
      <x:c r="I73" s="177"/>
      <x:c r="J73" s="177"/>
      <x:c r="K73" s="177"/>
      <x:c r="L73" s="177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>
      <x:c r="A74" s="177"/>
      <x:c r="B74" s="177"/>
      <x:c r="C74" s="177"/>
      <x:c r="D74" s="177"/>
      <x:c r="E74" s="177"/>
      <x:c r="F74" s="177"/>
      <x:c r="G74" s="177"/>
      <x:c r="H74" s="177"/>
      <x:c r="I74" s="177"/>
      <x:c r="J74" s="177"/>
      <x:c r="K74" s="177"/>
      <x:c r="L74" s="177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>
      <x:c r="A75" s="177"/>
      <x:c r="B75" s="177"/>
      <x:c r="C75" s="177"/>
      <x:c r="D75" s="177"/>
      <x:c r="E75" s="177"/>
      <x:c r="F75" s="177"/>
      <x:c r="G75" s="177"/>
      <x:c r="H75" s="177"/>
      <x:c r="I75" s="177"/>
      <x:c r="J75" s="177"/>
      <x:c r="K75" s="177"/>
      <x:c r="L75" s="177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>
      <x:c r="A76" s="177"/>
      <x:c r="B76" s="177"/>
      <x:c r="C76" s="177"/>
      <x:c r="D76" s="177"/>
      <x:c r="E76" s="177"/>
      <x:c r="F76" s="177"/>
      <x:c r="G76" s="177"/>
      <x:c r="H76" s="177"/>
      <x:c r="I76" s="177"/>
      <x:c r="J76" s="177"/>
      <x:c r="K76" s="177"/>
      <x:c r="L76" s="177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>
      <x:c r="A77" s="177"/>
      <x:c r="B77" s="177"/>
      <x:c r="C77" s="177"/>
      <x:c r="D77" s="177"/>
      <x:c r="E77" s="177"/>
      <x:c r="F77" s="177"/>
      <x:c r="G77" s="177"/>
      <x:c r="H77" s="177"/>
      <x:c r="I77" s="177"/>
      <x:c r="J77" s="177"/>
      <x:c r="K77" s="177"/>
      <x:c r="L77" s="177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>
      <x:c r="A78" s="177"/>
      <x:c r="B78" s="177"/>
      <x:c r="C78" s="177"/>
      <x:c r="D78" s="177"/>
      <x:c r="E78" s="177"/>
      <x:c r="F78" s="177"/>
      <x:c r="G78" s="177"/>
      <x:c r="H78" s="177"/>
      <x:c r="I78" s="177"/>
      <x:c r="J78" s="177"/>
      <x:c r="K78" s="177"/>
      <x:c r="L78" s="177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>
      <x:c r="A79" s="177"/>
      <x:c r="B79" s="177"/>
      <x:c r="C79" s="177"/>
      <x:c r="D79" s="177"/>
      <x:c r="E79" s="177"/>
      <x:c r="F79" s="177"/>
      <x:c r="G79" s="177"/>
      <x:c r="H79" s="177"/>
      <x:c r="I79" s="177"/>
      <x:c r="J79" s="177"/>
      <x:c r="K79" s="177"/>
      <x:c r="L79" s="177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>
      <x:c r="A80" s="177"/>
      <x:c r="B80" s="177"/>
      <x:c r="C80" s="177"/>
      <x:c r="D80" s="177"/>
      <x:c r="E80" s="177"/>
      <x:c r="F80" s="177"/>
      <x:c r="G80" s="177"/>
      <x:c r="H80" s="177"/>
      <x:c r="I80" s="177"/>
      <x:c r="J80" s="177"/>
      <x:c r="K80" s="177"/>
      <x:c r="L80" s="177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>
      <x:c r="A81" s="177"/>
      <x:c r="B81" s="177"/>
      <x:c r="C81" s="177"/>
      <x:c r="D81" s="177"/>
      <x:c r="E81" s="177"/>
      <x:c r="F81" s="177"/>
      <x:c r="G81" s="177"/>
      <x:c r="H81" s="177"/>
      <x:c r="I81" s="177"/>
      <x:c r="J81" s="177"/>
      <x:c r="K81" s="177"/>
      <x:c r="L81" s="177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>
      <x:c r="A82" s="177"/>
      <x:c r="B82" s="177"/>
      <x:c r="C82" s="177"/>
      <x:c r="D82" s="177"/>
      <x:c r="E82" s="177"/>
      <x:c r="F82" s="177"/>
      <x:c r="G82" s="177"/>
      <x:c r="H82" s="177"/>
      <x:c r="I82" s="177"/>
      <x:c r="J82" s="177"/>
      <x:c r="K82" s="177"/>
      <x:c r="L82" s="177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>
      <x:c r="A83" s="177"/>
      <x:c r="B83" s="177"/>
      <x:c r="C83" s="177"/>
      <x:c r="D83" s="177"/>
      <x:c r="E83" s="177"/>
      <x:c r="F83" s="177"/>
      <x:c r="G83" s="177"/>
      <x:c r="H83" s="177"/>
      <x:c r="I83" s="177"/>
      <x:c r="J83" s="177"/>
      <x:c r="K83" s="177"/>
      <x:c r="L83" s="177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>
      <x:c r="A84" s="177"/>
      <x:c r="B84" s="177"/>
      <x:c r="C84" s="177"/>
      <x:c r="D84" s="177"/>
      <x:c r="E84" s="177"/>
      <x:c r="F84" s="177"/>
      <x:c r="G84" s="177"/>
      <x:c r="H84" s="177"/>
      <x:c r="I84" s="177"/>
      <x:c r="J84" s="177"/>
      <x:c r="K84" s="177"/>
      <x:c r="L84" s="177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>
      <x:c r="A85" s="177"/>
      <x:c r="B85" s="177"/>
      <x:c r="C85" s="177"/>
      <x:c r="D85" s="177"/>
      <x:c r="E85" s="177"/>
      <x:c r="F85" s="177"/>
      <x:c r="G85" s="177"/>
      <x:c r="H85" s="177"/>
      <x:c r="I85" s="177"/>
      <x:c r="J85" s="177"/>
      <x:c r="K85" s="177"/>
      <x:c r="L85" s="177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>
      <x:c r="A86" s="177"/>
      <x:c r="B86" s="177"/>
      <x:c r="C86" s="177"/>
      <x:c r="D86" s="177"/>
      <x:c r="E86" s="177"/>
      <x:c r="F86" s="177"/>
      <x:c r="G86" s="177"/>
      <x:c r="H86" s="177"/>
      <x:c r="I86" s="177"/>
      <x:c r="J86" s="177"/>
      <x:c r="K86" s="177"/>
      <x:c r="L86" s="177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>
      <x:c r="A87" s="177"/>
      <x:c r="B87" s="177"/>
      <x:c r="C87" s="177"/>
      <x:c r="D87" s="177"/>
      <x:c r="E87" s="177"/>
      <x:c r="F87" s="177"/>
      <x:c r="G87" s="177"/>
      <x:c r="H87" s="177"/>
      <x:c r="I87" s="177"/>
      <x:c r="J87" s="177"/>
      <x:c r="K87" s="177"/>
      <x:c r="L87" s="177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>
      <x:c r="A88" s="177"/>
      <x:c r="B88" s="177"/>
      <x:c r="C88" s="177"/>
      <x:c r="D88" s="177"/>
      <x:c r="E88" s="177"/>
      <x:c r="F88" s="177"/>
      <x:c r="G88" s="177"/>
      <x:c r="H88" s="177"/>
      <x:c r="I88" s="177"/>
      <x:c r="J88" s="177"/>
      <x:c r="K88" s="177"/>
      <x:c r="L88" s="177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>
      <x:c r="A89" s="177"/>
      <x:c r="B89" s="177"/>
      <x:c r="C89" s="177"/>
      <x:c r="D89" s="177"/>
      <x:c r="E89" s="177"/>
      <x:c r="F89" s="177"/>
      <x:c r="G89" s="177"/>
      <x:c r="H89" s="177"/>
      <x:c r="I89" s="177"/>
      <x:c r="J89" s="177"/>
      <x:c r="K89" s="177"/>
      <x:c r="L89" s="177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>
      <x:c r="A90" s="177"/>
      <x:c r="B90" s="177"/>
      <x:c r="C90" s="177"/>
      <x:c r="D90" s="177"/>
      <x:c r="E90" s="177"/>
      <x:c r="F90" s="177"/>
      <x:c r="G90" s="177"/>
      <x:c r="H90" s="177"/>
      <x:c r="I90" s="177"/>
      <x:c r="J90" s="177"/>
      <x:c r="K90" s="177"/>
      <x:c r="L90" s="177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>
      <x:c r="A91" s="177"/>
      <x:c r="B91" s="177"/>
      <x:c r="C91" s="177"/>
      <x:c r="D91" s="177"/>
      <x:c r="E91" s="177"/>
      <x:c r="F91" s="177"/>
      <x:c r="G91" s="177"/>
      <x:c r="H91" s="177"/>
      <x:c r="I91" s="177"/>
      <x:c r="J91" s="177"/>
      <x:c r="K91" s="177"/>
      <x:c r="L91" s="177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>
      <x:c r="A92" s="177"/>
      <x:c r="B92" s="177"/>
      <x:c r="C92" s="177"/>
      <x:c r="D92" s="177"/>
      <x:c r="E92" s="177"/>
      <x:c r="F92" s="177"/>
      <x:c r="G92" s="177"/>
      <x:c r="H92" s="177"/>
      <x:c r="I92" s="177"/>
      <x:c r="J92" s="177"/>
      <x:c r="K92" s="177"/>
      <x:c r="L92" s="177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>
      <x:c r="A93" s="177"/>
      <x:c r="B93" s="177"/>
      <x:c r="C93" s="177"/>
      <x:c r="D93" s="177"/>
      <x:c r="E93" s="177"/>
      <x:c r="F93" s="177"/>
      <x:c r="G93" s="177"/>
      <x:c r="H93" s="177"/>
      <x:c r="I93" s="177"/>
      <x:c r="J93" s="177"/>
      <x:c r="K93" s="177"/>
      <x:c r="L93" s="177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>
      <x:c r="A94" s="177"/>
      <x:c r="B94" s="177"/>
      <x:c r="C94" s="177"/>
      <x:c r="D94" s="177"/>
      <x:c r="E94" s="177"/>
      <x:c r="F94" s="177"/>
      <x:c r="G94" s="177"/>
      <x:c r="H94" s="177"/>
      <x:c r="I94" s="177"/>
      <x:c r="J94" s="177"/>
      <x:c r="K94" s="177"/>
      <x:c r="L94" s="177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>
      <x:c r="A95" s="177"/>
      <x:c r="B95" s="177"/>
      <x:c r="C95" s="177"/>
      <x:c r="D95" s="177"/>
      <x:c r="E95" s="177"/>
      <x:c r="F95" s="177"/>
      <x:c r="G95" s="177"/>
      <x:c r="H95" s="177"/>
      <x:c r="I95" s="177"/>
      <x:c r="J95" s="177"/>
      <x:c r="K95" s="177"/>
      <x:c r="L95" s="177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>
      <x:c r="A96" s="177"/>
      <x:c r="B96" s="177"/>
      <x:c r="C96" s="177"/>
      <x:c r="D96" s="177"/>
      <x:c r="E96" s="177"/>
      <x:c r="F96" s="177"/>
      <x:c r="G96" s="177"/>
      <x:c r="H96" s="177"/>
      <x:c r="I96" s="177"/>
      <x:c r="J96" s="177"/>
      <x:c r="K96" s="177"/>
      <x:c r="L96" s="177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>
      <x:c r="A97" s="177"/>
      <x:c r="B97" s="177"/>
      <x:c r="C97" s="177"/>
      <x:c r="D97" s="177"/>
      <x:c r="E97" s="177"/>
      <x:c r="F97" s="177"/>
      <x:c r="G97" s="177"/>
      <x:c r="H97" s="177"/>
      <x:c r="I97" s="177"/>
      <x:c r="J97" s="177"/>
      <x:c r="K97" s="177"/>
      <x:c r="L97" s="177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>
      <x:c r="A98" s="177"/>
      <x:c r="B98" s="177"/>
      <x:c r="C98" s="177"/>
      <x:c r="D98" s="177"/>
      <x:c r="E98" s="177"/>
      <x:c r="F98" s="177"/>
      <x:c r="G98" s="177"/>
      <x:c r="H98" s="177"/>
      <x:c r="I98" s="177"/>
      <x:c r="J98" s="177"/>
      <x:c r="K98" s="177"/>
      <x:c r="L98" s="177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>
      <x:c r="A99" s="177"/>
      <x:c r="B99" s="177"/>
      <x:c r="C99" s="177"/>
      <x:c r="D99" s="177"/>
      <x:c r="E99" s="177"/>
      <x:c r="F99" s="177"/>
      <x:c r="G99" s="177"/>
      <x:c r="H99" s="177"/>
      <x:c r="I99" s="177"/>
      <x:c r="J99" s="177"/>
      <x:c r="K99" s="177"/>
      <x:c r="L99" s="177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>
      <x:c r="A100" s="177"/>
      <x:c r="B100" s="177"/>
      <x:c r="C100" s="177"/>
      <x:c r="D100" s="177"/>
      <x:c r="E100" s="177"/>
      <x:c r="F100" s="177"/>
      <x:c r="G100" s="177"/>
      <x:c r="H100" s="177"/>
      <x:c r="I100" s="177"/>
      <x:c r="J100" s="177"/>
      <x:c r="K100" s="177"/>
      <x:c r="L100" s="177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>
      <x:c r="A101" s="177"/>
      <x:c r="B101" s="177"/>
      <x:c r="C101" s="177"/>
      <x:c r="D101" s="177"/>
      <x:c r="E101" s="177"/>
      <x:c r="F101" s="177"/>
      <x:c r="G101" s="177"/>
      <x:c r="H101" s="177"/>
      <x:c r="I101" s="177"/>
      <x:c r="J101" s="177"/>
      <x:c r="K101" s="177"/>
      <x:c r="L101" s="177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>
      <x:c r="A102" s="177"/>
      <x:c r="B102" s="177"/>
      <x:c r="C102" s="177"/>
      <x:c r="D102" s="177"/>
      <x:c r="E102" s="177"/>
      <x:c r="F102" s="177"/>
      <x:c r="G102" s="177"/>
      <x:c r="H102" s="177"/>
      <x:c r="I102" s="177"/>
      <x:c r="J102" s="177"/>
      <x:c r="K102" s="177"/>
      <x:c r="L102" s="177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>
      <x:c r="A103" s="177"/>
      <x:c r="B103" s="177"/>
      <x:c r="C103" s="177"/>
      <x:c r="D103" s="177"/>
      <x:c r="E103" s="177"/>
      <x:c r="F103" s="177"/>
      <x:c r="G103" s="177"/>
      <x:c r="H103" s="177"/>
      <x:c r="I103" s="177"/>
      <x:c r="J103" s="177"/>
      <x:c r="K103" s="177"/>
      <x:c r="L103" s="177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>
      <x:c r="A104" s="177"/>
      <x:c r="B104" s="177"/>
      <x:c r="C104" s="177"/>
      <x:c r="D104" s="177"/>
      <x:c r="E104" s="177"/>
      <x:c r="F104" s="177"/>
      <x:c r="G104" s="177"/>
      <x:c r="H104" s="177"/>
      <x:c r="I104" s="177"/>
      <x:c r="J104" s="177"/>
      <x:c r="K104" s="177"/>
      <x:c r="L104" s="177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>
      <x:c r="A105" s="177"/>
      <x:c r="B105" s="177"/>
      <x:c r="C105" s="177"/>
      <x:c r="D105" s="177"/>
      <x:c r="E105" s="177"/>
      <x:c r="F105" s="177"/>
      <x:c r="G105" s="177"/>
      <x:c r="H105" s="177"/>
      <x:c r="I105" s="177"/>
      <x:c r="J105" s="177"/>
      <x:c r="K105" s="177"/>
      <x:c r="L105" s="177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>
      <x:c r="A106" s="177"/>
      <x:c r="B106" s="177"/>
      <x:c r="C106" s="177"/>
      <x:c r="D106" s="177"/>
      <x:c r="E106" s="177"/>
      <x:c r="F106" s="177"/>
      <x:c r="G106" s="177"/>
      <x:c r="H106" s="177"/>
      <x:c r="I106" s="177"/>
      <x:c r="J106" s="177"/>
      <x:c r="K106" s="177"/>
      <x:c r="L106" s="177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>
      <x:c r="A107" s="177"/>
      <x:c r="B107" s="177"/>
      <x:c r="C107" s="177"/>
      <x:c r="D107" s="177"/>
      <x:c r="E107" s="177"/>
      <x:c r="F107" s="177"/>
      <x:c r="G107" s="177"/>
      <x:c r="H107" s="177"/>
      <x:c r="I107" s="177"/>
      <x:c r="J107" s="177"/>
      <x:c r="K107" s="177"/>
      <x:c r="L107" s="177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>
      <x:c r="A108" s="177"/>
      <x:c r="B108" s="177"/>
      <x:c r="C108" s="177"/>
      <x:c r="D108" s="177"/>
      <x:c r="E108" s="177"/>
      <x:c r="F108" s="177"/>
      <x:c r="G108" s="177"/>
      <x:c r="H108" s="177"/>
      <x:c r="I108" s="177"/>
      <x:c r="J108" s="177"/>
      <x:c r="K108" s="177"/>
      <x:c r="L108" s="177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>
      <x:c r="A109" s="177"/>
      <x:c r="B109" s="177"/>
      <x:c r="C109" s="177"/>
      <x:c r="D109" s="177"/>
      <x:c r="E109" s="177"/>
      <x:c r="F109" s="177"/>
      <x:c r="G109" s="177"/>
      <x:c r="H109" s="177"/>
      <x:c r="I109" s="177"/>
      <x:c r="J109" s="177"/>
      <x:c r="K109" s="177"/>
      <x:c r="L109" s="177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>
      <x:c r="A110" s="177"/>
      <x:c r="B110" s="177"/>
      <x:c r="C110" s="177"/>
      <x:c r="D110" s="177"/>
      <x:c r="E110" s="177"/>
      <x:c r="F110" s="177"/>
      <x:c r="G110" s="177"/>
      <x:c r="H110" s="177"/>
      <x:c r="I110" s="177"/>
      <x:c r="J110" s="177"/>
      <x:c r="K110" s="177"/>
      <x:c r="L110" s="177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>
      <x:c r="A111" s="177"/>
      <x:c r="B111" s="177"/>
      <x:c r="C111" s="177"/>
      <x:c r="D111" s="177"/>
      <x:c r="E111" s="177"/>
      <x:c r="F111" s="177"/>
      <x:c r="G111" s="177"/>
      <x:c r="H111" s="177"/>
      <x:c r="I111" s="177"/>
      <x:c r="J111" s="177"/>
      <x:c r="K111" s="177"/>
      <x:c r="L111" s="177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>
      <x:c r="A112" s="177"/>
      <x:c r="B112" s="177"/>
      <x:c r="C112" s="177"/>
      <x:c r="D112" s="177"/>
      <x:c r="E112" s="177"/>
      <x:c r="F112" s="177"/>
      <x:c r="G112" s="177"/>
      <x:c r="H112" s="177"/>
      <x:c r="I112" s="177"/>
      <x:c r="J112" s="177"/>
      <x:c r="K112" s="177"/>
      <x:c r="L112" s="177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>
      <x:c r="A113" s="177"/>
      <x:c r="B113" s="177"/>
      <x:c r="C113" s="177"/>
      <x:c r="D113" s="177"/>
      <x:c r="E113" s="177"/>
      <x:c r="F113" s="177"/>
      <x:c r="G113" s="177"/>
      <x:c r="H113" s="177"/>
      <x:c r="I113" s="177"/>
      <x:c r="J113" s="177"/>
      <x:c r="K113" s="177"/>
      <x:c r="L113" s="177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>
      <x:c r="A114" s="177"/>
      <x:c r="B114" s="177"/>
      <x:c r="C114" s="177"/>
      <x:c r="D114" s="177"/>
      <x:c r="E114" s="177"/>
      <x:c r="F114" s="177"/>
      <x:c r="G114" s="177"/>
      <x:c r="H114" s="177"/>
      <x:c r="I114" s="177"/>
      <x:c r="J114" s="177"/>
      <x:c r="K114" s="177"/>
      <x:c r="L114" s="177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>
      <x:c r="A115" s="177"/>
      <x:c r="B115" s="177"/>
      <x:c r="C115" s="177"/>
      <x:c r="D115" s="177"/>
      <x:c r="E115" s="177"/>
      <x:c r="F115" s="177"/>
      <x:c r="G115" s="177"/>
      <x:c r="H115" s="177"/>
      <x:c r="I115" s="177"/>
      <x:c r="J115" s="177"/>
      <x:c r="K115" s="177"/>
      <x:c r="L115" s="177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>
      <x:c r="A116" s="177"/>
      <x:c r="B116" s="177"/>
      <x:c r="C116" s="177"/>
      <x:c r="D116" s="177"/>
      <x:c r="E116" s="177"/>
      <x:c r="F116" s="177"/>
      <x:c r="G116" s="177"/>
      <x:c r="H116" s="177"/>
      <x:c r="I116" s="177"/>
      <x:c r="J116" s="177"/>
      <x:c r="K116" s="177"/>
      <x:c r="L116" s="177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>
      <x:c r="A117" s="177"/>
      <x:c r="B117" s="177"/>
      <x:c r="C117" s="177"/>
      <x:c r="D117" s="177"/>
      <x:c r="E117" s="177"/>
      <x:c r="F117" s="177"/>
      <x:c r="G117" s="177"/>
      <x:c r="H117" s="177"/>
      <x:c r="I117" s="177"/>
      <x:c r="J117" s="177"/>
      <x:c r="K117" s="177"/>
      <x:c r="L117" s="177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>
      <x:c r="A118" s="177"/>
      <x:c r="B118" s="177"/>
      <x:c r="C118" s="177"/>
      <x:c r="D118" s="177"/>
      <x:c r="E118" s="177"/>
      <x:c r="F118" s="177"/>
      <x:c r="G118" s="177"/>
      <x:c r="H118" s="177"/>
      <x:c r="I118" s="177"/>
      <x:c r="J118" s="177"/>
      <x:c r="K118" s="177"/>
      <x:c r="L118" s="177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>
      <x:c r="A119" s="177"/>
      <x:c r="B119" s="177"/>
      <x:c r="C119" s="177"/>
      <x:c r="D119" s="177"/>
      <x:c r="E119" s="177"/>
      <x:c r="F119" s="177"/>
      <x:c r="G119" s="177"/>
      <x:c r="H119" s="177"/>
      <x:c r="I119" s="177"/>
      <x:c r="J119" s="177"/>
      <x:c r="K119" s="177"/>
      <x:c r="L119" s="177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>
      <x:c r="A120" s="177"/>
      <x:c r="B120" s="177"/>
      <x:c r="C120" s="177"/>
      <x:c r="D120" s="177"/>
      <x:c r="E120" s="177"/>
      <x:c r="F120" s="177"/>
      <x:c r="G120" s="177"/>
      <x:c r="H120" s="177"/>
      <x:c r="I120" s="177"/>
      <x:c r="J120" s="177"/>
      <x:c r="K120" s="177"/>
      <x:c r="L120" s="177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</x:sheetData>
  <x:mergeCells>
    <x:mergeCell ref="B2:H3"/>
    <x:mergeCell ref="B5:H6"/>
    <x:mergeCell ref="F9:H9"/>
    <x:mergeCell ref="B18:H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5" hidden="0" customWidth="1"/>
    <x:col min="3" max="3" width="30" hidden="0" customWidth="1"/>
    <x:col min="4" max="4" width="5" hidden="0" customWidth="1"/>
    <x:col min="5" max="5" width="20" hidden="0" customWidth="1"/>
    <x:col min="6" max="6" width="18" hidden="0" customWidth="1"/>
    <x:col min="7" max="7" width="18" hidden="0" customWidth="1"/>
    <x:col min="8" max="8" width="5" hidden="0" customWidth="1"/>
    <x:col min="9" max="9" width="24" hidden="0" customWidth="1"/>
    <x:col min="10" max="10" width="26" hidden="0" customWidth="1"/>
    <x:col min="11" max="11" width="18" hidden="0" customWidth="1"/>
    <x:col min="12" max="12" width="3" hidden="0" customWidth="1"/>
  </x:cols>
  <x:sheetData>
    <x:row r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7"/>
      <x:c r="N1" s="177"/>
      <x:c r="O1" s="177"/>
      <x:c r="P1" s="177"/>
      <x:c r="Q1" s="177"/>
      <x:c r="R1" s="177"/>
      <x:c r="S1" s="177"/>
      <x:c r="T1" s="177"/>
      <x:c r="U1" s="177"/>
      <x:c r="V1" s="177"/>
      <x:c r="W1" s="177"/>
      <x:c r="X1" s="177"/>
      <x:c r="Y1" s="177"/>
      <x:c r="Z1" s="177"/>
    </x:row>
    <x:row r="2">
      <x:c r="A2" s="176"/>
      <x:c r="B2" s="105" t="str">
        <x:v>Configuración del Pipeline</x:v>
      </x:c>
      <x:c r="C2" s="105"/>
      <x:c r="D2" s="105"/>
      <x:c r="E2" s="105"/>
      <x:c r="F2" s="105"/>
      <x:c r="G2" s="105"/>
      <x:c r="H2" s="105"/>
      <x:c r="I2" s="105"/>
      <x:c r="J2" s="105"/>
      <x:c r="K2" s="105"/>
      <x:c r="L2" s="176"/>
      <x:c r="M2" s="177"/>
      <x:c r="N2" s="177"/>
      <x:c r="O2" s="177"/>
      <x:c r="P2" s="177"/>
      <x:c r="Q2" s="177"/>
      <x:c r="R2" s="177"/>
      <x:c r="S2" s="177"/>
      <x:c r="T2" s="177"/>
      <x:c r="U2" s="177"/>
      <x:c r="V2" s="177"/>
      <x:c r="W2" s="177"/>
      <x:c r="X2" s="177"/>
      <x:c r="Y2" s="177"/>
      <x:c r="Z2" s="177"/>
    </x:row>
    <x:row r="3">
      <x:c r="A3" s="176"/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76"/>
      <x:c r="M3" s="177"/>
      <x:c r="N3" s="177"/>
      <x:c r="O3" s="177"/>
      <x:c r="P3" s="177"/>
      <x:c r="Q3" s="177"/>
      <x:c r="R3" s="177"/>
      <x:c r="S3" s="177"/>
      <x:c r="T3" s="177"/>
      <x:c r="U3" s="177"/>
      <x:c r="V3" s="177"/>
      <x:c r="W3" s="177"/>
      <x:c r="X3" s="177"/>
      <x:c r="Y3" s="177"/>
      <x:c r="Z3" s="177"/>
    </x:row>
    <x:row r="4">
      <x:c r="A4" s="176"/>
      <x:c r="B4" s="176"/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>
      <x:c r="A5" s="176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>
      <x:c r="A6" s="176"/>
      <x:c r="B6" s="186" t="str">
        <x:v>Empresa</x:v>
      </x:c>
      <x:c r="C6" s="37" t="str">
        <x:v>Mi Empresa S.A. de C.V.</x:v>
      </x:c>
      <x:c r="D6" s="176"/>
      <x:c r="E6" s="176"/>
      <x:c r="F6" s="176"/>
      <x:c r="G6" s="176"/>
      <x:c r="H6" s="176"/>
      <x:c r="I6" s="176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>
      <x:c r="A7" s="176"/>
      <x:c r="B7" s="186" t="str">
        <x:v>Responsable comercial</x:v>
      </x:c>
      <x:c r="C7" s="37" t="str">
        <x:v>Dirección Comercial</x:v>
      </x:c>
      <x:c r="D7" s="176"/>
      <x:c r="E7" s="176"/>
      <x:c r="F7" s="176"/>
      <x:c r="G7" s="176"/>
      <x:c r="H7" s="176"/>
      <x:c r="I7" s="176"/>
      <x:c r="J7" s="176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>
      <x:c r="A8" s="176"/>
      <x:c r="B8" s="186" t="str">
        <x:v>Año de análisis</x:v>
      </x:c>
      <x:c r="C8" s="37" t="n">
        <x:v>2026</x:v>
      </x:c>
      <x:c r="D8" s="176"/>
      <x:c r="E8" s="176"/>
      <x:c r="F8" s="176"/>
      <x:c r="G8" s="176"/>
      <x:c r="H8" s="176"/>
      <x:c r="I8" s="176"/>
      <x:c r="J8" s="176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>
      <x:c r="A9" s="176"/>
      <x:c r="B9" s="186" t="str">
        <x:v>Mes de análisis</x:v>
      </x:c>
      <x:c r="C9" s="37" t="str">
        <x:v>Mayo</x:v>
      </x:c>
      <x:c r="D9" s="176"/>
      <x:c r="E9" s="176"/>
      <x:c r="F9" s="176"/>
      <x:c r="G9" s="176"/>
      <x:c r="H9" s="176"/>
      <x:c r="I9" s="176"/>
      <x:c r="J9" s="176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>
      <x:c r="A10" s="176"/>
      <x:c r="B10" s="186" t="str">
        <x:v>Moneda</x:v>
      </x:c>
      <x:c r="C10" s="37" t="str">
        <x:v>MXN</x:v>
      </x:c>
      <x:c r="D10" s="176"/>
      <x:c r="E10" s="176"/>
      <x:c r="F10" s="176"/>
      <x:c r="G10" s="176"/>
      <x:c r="H10" s="176"/>
      <x:c r="I10" s="176"/>
      <x:c r="J10" s="176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>
      <x:c r="A11" s="176"/>
      <x:c r="B11" s="186" t="str">
        <x:v>Meta mensual de ventas</x:v>
      </x:c>
      <x:c r="C11" s="187" t="n">
        <x:v>150000</x:v>
      </x:c>
      <x:c r="D11" s="176"/>
      <x:c r="E11" s="176"/>
      <x:c r="F11" s="176"/>
      <x:c r="G11" s="176"/>
      <x:c r="H11" s="176"/>
      <x:c r="I11" s="176"/>
      <x:c r="J11" s="176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>
      <x:c r="A12" s="176"/>
      <x:c r="B12" s="186" t="str">
        <x:v>Ticket meta promedio</x:v>
      </x:c>
      <x:c r="C12" s="187" t="n">
        <x:v>50000</x:v>
      </x:c>
      <x:c r="D12" s="176"/>
      <x:c r="E12" s="176"/>
      <x:c r="F12" s="176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>
      <x:c r="A13" s="176"/>
      <x:c r="B13" s="176"/>
      <x:c r="C13" s="176"/>
      <x:c r="D13" s="176"/>
      <x:c r="E13" s="176"/>
      <x:c r="F13" s="176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>
      <x:c r="A14" s="176"/>
      <x:c r="B14" s="176"/>
      <x:c r="C14" s="176"/>
      <x:c r="D14" s="176"/>
      <x:c r="E14" s="176"/>
      <x:c r="F14" s="176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>
      <x:c r="A15" s="176"/>
      <x:c r="B15" s="81" t="str">
        <x:v>Etapas del embudo y probabilidades</x:v>
      </x:c>
      <x:c r="C15" s="81"/>
      <x:c r="D15" s="81"/>
      <x:c r="E15" s="81"/>
      <x:c r="F15" s="81"/>
      <x:c r="G15" s="176"/>
      <x:c r="H15" s="176"/>
      <x:c r="I15" s="81" t="str">
        <x:v>Criterios ejecutivos</x:v>
      </x:c>
      <x:c r="J15" s="81"/>
      <x:c r="K15" s="81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>
      <x:c r="A16" s="176"/>
      <x:c r="B16" s="8" t="str">
        <x:v>Etapa</x:v>
      </x:c>
      <x:c r="C16" s="8" t="str">
        <x:v>Probabilidad</x:v>
      </x:c>
      <x:c r="D16" s="8" t="str">
        <x:v>Orden</x:v>
      </x:c>
      <x:c r="E16" s="8" t="str">
        <x:v>Tipo</x:v>
      </x:c>
      <x:c r="F16" s="8" t="str">
        <x:v>Descripción</x:v>
      </x:c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>
      <x:c r="A17" s="176"/>
      <x:c r="B17" s="118" t="str">
        <x:v>Nuevo lead</x:v>
      </x:c>
      <x:c r="C17" s="120" t="n">
        <x:v>0.1</x:v>
      </x:c>
      <x:c r="D17" s="118" t="n">
        <x:v>1</x:v>
      </x:c>
      <x:c r="E17" s="118" t="str">
        <x:v>Abierto</x:v>
      </x:c>
      <x:c r="F17" s="118" t="str">
        <x:v>Contacto inicial sin diagnóstico confirmado.</x:v>
      </x:c>
      <x:c r="G17" s="176"/>
      <x:c r="H17" s="176"/>
      <x:c r="I17" s="186" t="str">
        <x:v>Pipeline sano</x:v>
      </x:c>
      <x:c r="J17" s="93" t="str">
        <x:v>Valor ponderado abierto ≥ meta mensual</x:v>
      </x:c>
      <x:c r="K17" s="93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>
      <x:c r="A18" s="176"/>
      <x:c r="B18" s="118" t="str">
        <x:v>Contactado</x:v>
      </x:c>
      <x:c r="C18" s="120" t="n">
        <x:v>0.2</x:v>
      </x:c>
      <x:c r="D18" s="118" t="n">
        <x:v>2</x:v>
      </x:c>
      <x:c r="E18" s="118" t="str">
        <x:v>Abierto</x:v>
      </x:c>
      <x:c r="F18" s="118" t="str">
        <x:v>Ya existe respuesta o primer acercamiento.</x:v>
      </x:c>
      <x:c r="G18" s="176"/>
      <x:c r="H18" s="176"/>
      <x:c r="I18" s="186" t="str">
        <x:v>Riesgo comercial</x:v>
      </x:c>
      <x:c r="J18" s="93" t="str">
        <x:v>Cierre próximo sin avance o próxima acción vencida</x:v>
      </x:c>
      <x:c r="K18" s="93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>
      <x:c r="A19" s="176"/>
      <x:c r="B19" s="118" t="str">
        <x:v>Calificado</x:v>
      </x:c>
      <x:c r="C19" s="120" t="n">
        <x:v>0.35</x:v>
      </x:c>
      <x:c r="D19" s="118" t="n">
        <x:v>3</x:v>
      </x:c>
      <x:c r="E19" s="118" t="str">
        <x:v>Abierto</x:v>
      </x:c>
      <x:c r="F19" s="118" t="str">
        <x:v>Necesidad, presupuesto e interés validados.</x:v>
      </x:c>
      <x:c r="G19" s="176"/>
      <x:c r="H19" s="176"/>
      <x:c r="I19" s="186" t="str">
        <x:v>Alta prioridad</x:v>
      </x:c>
      <x:c r="J19" s="93" t="str">
        <x:v>Valor alto + etapa avanzada + cierre cercano</x:v>
      </x:c>
      <x:c r="K19" s="93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>
      <x:c r="A20" s="176"/>
      <x:c r="B20" s="118" t="str">
        <x:v>Propuesta enviada</x:v>
      </x:c>
      <x:c r="C20" s="120" t="n">
        <x:v>0.55</x:v>
      </x:c>
      <x:c r="D20" s="118" t="n">
        <x:v>4</x:v>
      </x:c>
      <x:c r="E20" s="118" t="str">
        <x:v>Abierto</x:v>
      </x:c>
      <x:c r="F20" s="118" t="str">
        <x:v>Propuesta o cotización enviada al prospecto.</x:v>
      </x:c>
      <x:c r="G20" s="176"/>
      <x:c r="H20" s="176"/>
      <x:c r="I20" s="186" t="str">
        <x:v>Forecast</x:v>
      </x:c>
      <x:c r="J20" s="93" t="str">
        <x:v>Ingresos esperados según cierre estimado y probabilidad</x:v>
      </x:c>
      <x:c r="K20" s="93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>
      <x:c r="A21" s="176"/>
      <x:c r="B21" s="118" t="str">
        <x:v>Negociación</x:v>
      </x:c>
      <x:c r="C21" s="120" t="n">
        <x:v>0.75</x:v>
      </x:c>
      <x:c r="D21" s="118" t="n">
        <x:v>5</x:v>
      </x:c>
      <x:c r="E21" s="118" t="str">
        <x:v>Abierto</x:v>
      </x:c>
      <x:c r="F21" s="118" t="str">
        <x:v>Se están ajustando condiciones o cierre.</x:v>
      </x:c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>
      <x:c r="A22" s="176"/>
      <x:c r="B22" s="118" t="str">
        <x:v>Ganado</x:v>
      </x:c>
      <x:c r="C22" s="120" t="n">
        <x:v>1</x:v>
      </x:c>
      <x:c r="D22" s="118" t="n">
        <x:v>6</x:v>
      </x:c>
      <x:c r="E22" s="118" t="str">
        <x:v>Cerrado</x:v>
      </x:c>
      <x:c r="F22" s="118" t="str">
        <x:v>Venta cerrada y aceptada.</x:v>
      </x:c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>
      <x:c r="A23" s="176"/>
      <x:c r="B23" s="118" t="str">
        <x:v>Perdido</x:v>
      </x:c>
      <x:c r="C23" s="120" t="n">
        <x:v>0</x:v>
      </x:c>
      <x:c r="D23" s="118" t="n">
        <x:v>7</x:v>
      </x:c>
      <x:c r="E23" s="118" t="str">
        <x:v>Cerrado</x:v>
      </x:c>
      <x:c r="F23" s="118" t="str">
        <x:v>Oportunidad descartada o perdida.</x:v>
      </x:c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>
      <x:c r="A26" s="176"/>
      <x:c r="B26" s="176"/>
      <x:c r="C26" s="176"/>
      <x:c r="D26" s="176"/>
      <x:c r="E26" s="176"/>
      <x:c r="F26" s="176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>
      <x:c r="A27" s="176"/>
      <x:c r="B27" s="56" t="str">
        <x:v>Personaliza las etapas, porcentajes y metas de acuerdo con el proceso comercial de tu empresa. Las fórmulas del pipeline leerán automáticamente estos porcentajes.</x:v>
      </x:c>
      <x:c r="C27" s="56"/>
      <x:c r="D27" s="56"/>
      <x:c r="E27" s="56"/>
      <x:c r="F27" s="56"/>
      <x:c r="G27" s="56"/>
      <x:c r="H27" s="56"/>
      <x:c r="I27" s="56"/>
      <x:c r="J27" s="56"/>
      <x:c r="K27" s="5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>
      <x:c r="A28" s="176"/>
      <x:c r="B28" s="56"/>
      <x:c r="C28" s="56"/>
      <x:c r="D28" s="56"/>
      <x:c r="E28" s="56"/>
      <x:c r="F28" s="56"/>
      <x:c r="G28" s="56"/>
      <x:c r="H28" s="56"/>
      <x:c r="I28" s="56"/>
      <x:c r="J28" s="56"/>
      <x:c r="K28" s="56"/>
      <x:c r="L28" s="176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>
      <x:c r="A29" s="176"/>
      <x:c r="B29" s="56"/>
      <x:c r="C29" s="56"/>
      <x:c r="D29" s="56"/>
      <x:c r="E29" s="56"/>
      <x:c r="F29" s="56"/>
      <x:c r="G29" s="56"/>
      <x:c r="H29" s="56"/>
      <x:c r="I29" s="56"/>
      <x:c r="J29" s="56"/>
      <x:c r="K29" s="56"/>
      <x:c r="L29" s="176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>
      <x:c r="A30" s="176"/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176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>
      <x:c r="A31" s="176"/>
      <x:c r="B31" s="176"/>
      <x:c r="C31" s="176"/>
      <x:c r="D31" s="176"/>
      <x:c r="E31" s="176"/>
      <x:c r="F31" s="176"/>
      <x:c r="G31" s="176"/>
      <x:c r="H31" s="176"/>
      <x:c r="I31" s="176"/>
      <x:c r="J31" s="176"/>
      <x:c r="K31" s="176"/>
      <x:c r="L31" s="176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>
      <x:c r="A32" s="176"/>
      <x:c r="B32" s="176"/>
      <x:c r="C32" s="176"/>
      <x:c r="D32" s="176"/>
      <x:c r="E32" s="176"/>
      <x:c r="F32" s="176"/>
      <x:c r="G32" s="176"/>
      <x:c r="H32" s="176"/>
      <x:c r="I32" s="176"/>
      <x:c r="J32" s="176"/>
      <x:c r="K32" s="176"/>
      <x:c r="L32" s="176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>
      <x:c r="A33" s="176"/>
      <x:c r="B33" s="176"/>
      <x:c r="C33" s="176"/>
      <x:c r="D33" s="176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>
      <x:c r="A34" s="176"/>
      <x:c r="B34" s="176"/>
      <x:c r="C34" s="176"/>
      <x:c r="D34" s="176"/>
      <x:c r="E34" s="176"/>
      <x:c r="F34" s="176"/>
      <x:c r="G34" s="176"/>
      <x:c r="H34" s="176"/>
      <x:c r="I34" s="176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>
      <x:c r="A35" s="176"/>
      <x:c r="B35" s="176"/>
      <x:c r="C35" s="176"/>
      <x:c r="D35" s="176"/>
      <x:c r="E35" s="176"/>
      <x:c r="F35" s="176"/>
      <x:c r="G35" s="176"/>
      <x:c r="H35" s="176"/>
      <x:c r="I35" s="176"/>
      <x:c r="J35" s="176"/>
      <x:c r="K35" s="17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>
      <x:c r="A36" s="176"/>
      <x:c r="B36" s="176"/>
      <x:c r="C36" s="176"/>
      <x:c r="D36" s="176"/>
      <x:c r="E36" s="176"/>
      <x:c r="F36" s="176"/>
      <x:c r="G36" s="176"/>
      <x:c r="H36" s="176"/>
      <x:c r="I36" s="176"/>
      <x:c r="J36" s="176"/>
      <x:c r="K36" s="176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6"/>
      <x:c r="K37" s="176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>
      <x:c r="A38" s="176"/>
      <x:c r="B38" s="176"/>
      <x:c r="C38" s="176"/>
      <x:c r="D38" s="176"/>
      <x:c r="E38" s="176"/>
      <x:c r="F38" s="176"/>
      <x:c r="G38" s="176"/>
      <x:c r="H38" s="176"/>
      <x:c r="I38" s="176"/>
      <x:c r="J38" s="176"/>
      <x:c r="K38" s="176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>
      <x:c r="A39" s="176"/>
      <x:c r="B39" s="176"/>
      <x:c r="C39" s="176"/>
      <x:c r="D39" s="176"/>
      <x:c r="E39" s="176"/>
      <x:c r="F39" s="176"/>
      <x:c r="G39" s="176"/>
      <x:c r="H39" s="176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>
      <x:c r="A40" s="176"/>
      <x:c r="B40" s="176"/>
      <x:c r="C40" s="176"/>
      <x:c r="D40" s="176"/>
      <x:c r="E40" s="176"/>
      <x:c r="F40" s="176"/>
      <x:c r="G40" s="176"/>
      <x:c r="H40" s="176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>
      <x:c r="A41" s="176"/>
      <x:c r="B41" s="176"/>
      <x:c r="C41" s="176"/>
      <x:c r="D41" s="176"/>
      <x:c r="E41" s="176"/>
      <x:c r="F41" s="176"/>
      <x:c r="G41" s="176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>
      <x:c r="A42" s="176"/>
      <x:c r="B42" s="176"/>
      <x:c r="C42" s="176"/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>
      <x:c r="A43" s="176"/>
      <x:c r="B43" s="176"/>
      <x:c r="C43" s="176"/>
      <x:c r="D43" s="176"/>
      <x:c r="E43" s="176"/>
      <x:c r="F43" s="176"/>
      <x:c r="G43" s="176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>
      <x:c r="A44" s="176"/>
      <x:c r="B44" s="176"/>
      <x:c r="C44" s="176"/>
      <x:c r="D44" s="176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>
      <x:c r="A45" s="176"/>
      <x:c r="B45" s="176"/>
      <x:c r="C45" s="176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>
      <x:c r="A46" s="176"/>
      <x:c r="B46" s="176"/>
      <x:c r="C46" s="176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>
      <x:c r="A47" s="176"/>
      <x:c r="B47" s="176"/>
      <x:c r="C47" s="176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>
      <x:c r="A48" s="176"/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>
      <x:c r="A50" s="176"/>
      <x:c r="B50" s="176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>
      <x:c r="A51" s="176"/>
      <x:c r="B51" s="176"/>
      <x:c r="C51" s="176"/>
      <x:c r="D51" s="176"/>
      <x:c r="E51" s="176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>
      <x:c r="A52" s="176"/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>
      <x:c r="A53" s="176"/>
      <x:c r="B53" s="176"/>
      <x:c r="C53" s="176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>
      <x:c r="A61" s="177"/>
      <x:c r="B61" s="177"/>
      <x:c r="C61" s="177"/>
      <x:c r="D61" s="177"/>
      <x:c r="E61" s="177"/>
      <x:c r="F61" s="177"/>
      <x:c r="G61" s="177"/>
      <x:c r="H61" s="177"/>
      <x:c r="I61" s="177"/>
      <x:c r="J61" s="177"/>
      <x:c r="K61" s="177"/>
      <x:c r="L61" s="177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>
      <x:c r="A62" s="177"/>
      <x:c r="B62" s="177"/>
      <x:c r="C62" s="177"/>
      <x:c r="D62" s="177"/>
      <x:c r="E62" s="177"/>
      <x:c r="F62" s="177"/>
      <x:c r="G62" s="177"/>
      <x:c r="H62" s="177"/>
      <x:c r="I62" s="177"/>
      <x:c r="J62" s="177"/>
      <x:c r="K62" s="177"/>
      <x:c r="L62" s="177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>
      <x:c r="A63" s="177"/>
      <x:c r="B63" s="177"/>
      <x:c r="C63" s="177"/>
      <x:c r="D63" s="177"/>
      <x:c r="E63" s="177"/>
      <x:c r="F63" s="177"/>
      <x:c r="G63" s="177"/>
      <x:c r="H63" s="177"/>
      <x:c r="I63" s="177"/>
      <x:c r="J63" s="177"/>
      <x:c r="K63" s="177"/>
      <x:c r="L63" s="177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>
      <x:c r="A64" s="177"/>
      <x:c r="B64" s="177"/>
      <x:c r="C64" s="177"/>
      <x:c r="D64" s="177"/>
      <x:c r="E64" s="177"/>
      <x:c r="F64" s="177"/>
      <x:c r="G64" s="177"/>
      <x:c r="H64" s="177"/>
      <x:c r="I64" s="177"/>
      <x:c r="J64" s="177"/>
      <x:c r="K64" s="177"/>
      <x:c r="L64" s="177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>
      <x:c r="A65" s="177"/>
      <x:c r="B65" s="177"/>
      <x:c r="C65" s="177"/>
      <x:c r="D65" s="177"/>
      <x:c r="E65" s="177"/>
      <x:c r="F65" s="177"/>
      <x:c r="G65" s="177"/>
      <x:c r="H65" s="177"/>
      <x:c r="I65" s="177"/>
      <x:c r="J65" s="177"/>
      <x:c r="K65" s="177"/>
      <x:c r="L65" s="177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>
      <x:c r="A66" s="177"/>
      <x:c r="B66" s="177"/>
      <x:c r="C66" s="177"/>
      <x:c r="D66" s="177"/>
      <x:c r="E66" s="177"/>
      <x:c r="F66" s="177"/>
      <x:c r="G66" s="177"/>
      <x:c r="H66" s="177"/>
      <x:c r="I66" s="177"/>
      <x:c r="J66" s="177"/>
      <x:c r="K66" s="177"/>
      <x:c r="L66" s="177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>
      <x:c r="A67" s="177"/>
      <x:c r="B67" s="177"/>
      <x:c r="C67" s="177"/>
      <x:c r="D67" s="177"/>
      <x:c r="E67" s="177"/>
      <x:c r="F67" s="177"/>
      <x:c r="G67" s="177"/>
      <x:c r="H67" s="177"/>
      <x:c r="I67" s="177"/>
      <x:c r="J67" s="177"/>
      <x:c r="K67" s="177"/>
      <x:c r="L67" s="177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>
      <x:c r="A68" s="177"/>
      <x:c r="B68" s="177"/>
      <x:c r="C68" s="177"/>
      <x:c r="D68" s="177"/>
      <x:c r="E68" s="177"/>
      <x:c r="F68" s="177"/>
      <x:c r="G68" s="177"/>
      <x:c r="H68" s="177"/>
      <x:c r="I68" s="177"/>
      <x:c r="J68" s="177"/>
      <x:c r="K68" s="177"/>
      <x:c r="L68" s="177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>
      <x:c r="A69" s="177"/>
      <x:c r="B69" s="177"/>
      <x:c r="C69" s="177"/>
      <x:c r="D69" s="177"/>
      <x:c r="E69" s="177"/>
      <x:c r="F69" s="177"/>
      <x:c r="G69" s="177"/>
      <x:c r="H69" s="177"/>
      <x:c r="I69" s="177"/>
      <x:c r="J69" s="177"/>
      <x:c r="K69" s="177"/>
      <x:c r="L69" s="177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>
      <x:c r="A70" s="177"/>
      <x:c r="B70" s="177"/>
      <x:c r="C70" s="177"/>
      <x:c r="D70" s="177"/>
      <x:c r="E70" s="177"/>
      <x:c r="F70" s="177"/>
      <x:c r="G70" s="177"/>
      <x:c r="H70" s="177"/>
      <x:c r="I70" s="177"/>
      <x:c r="J70" s="177"/>
      <x:c r="K70" s="177"/>
      <x:c r="L70" s="177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>
      <x:c r="A71" s="177"/>
      <x:c r="B71" s="177"/>
      <x:c r="C71" s="177"/>
      <x:c r="D71" s="177"/>
      <x:c r="E71" s="177"/>
      <x:c r="F71" s="177"/>
      <x:c r="G71" s="177"/>
      <x:c r="H71" s="177"/>
      <x:c r="I71" s="177"/>
      <x:c r="J71" s="177"/>
      <x:c r="K71" s="177"/>
      <x:c r="L71" s="177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>
      <x:c r="A72" s="177"/>
      <x:c r="B72" s="177"/>
      <x:c r="C72" s="177"/>
      <x:c r="D72" s="177"/>
      <x:c r="E72" s="177"/>
      <x:c r="F72" s="177"/>
      <x:c r="G72" s="177"/>
      <x:c r="H72" s="177"/>
      <x:c r="I72" s="177"/>
      <x:c r="J72" s="177"/>
      <x:c r="K72" s="177"/>
      <x:c r="L72" s="177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>
      <x:c r="A73" s="177"/>
      <x:c r="B73" s="177"/>
      <x:c r="C73" s="177"/>
      <x:c r="D73" s="177"/>
      <x:c r="E73" s="177"/>
      <x:c r="F73" s="177"/>
      <x:c r="G73" s="177"/>
      <x:c r="H73" s="177"/>
      <x:c r="I73" s="177"/>
      <x:c r="J73" s="177"/>
      <x:c r="K73" s="177"/>
      <x:c r="L73" s="177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>
      <x:c r="A74" s="177"/>
      <x:c r="B74" s="177"/>
      <x:c r="C74" s="177"/>
      <x:c r="D74" s="177"/>
      <x:c r="E74" s="177"/>
      <x:c r="F74" s="177"/>
      <x:c r="G74" s="177"/>
      <x:c r="H74" s="177"/>
      <x:c r="I74" s="177"/>
      <x:c r="J74" s="177"/>
      <x:c r="K74" s="177"/>
      <x:c r="L74" s="177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>
      <x:c r="A75" s="177"/>
      <x:c r="B75" s="177"/>
      <x:c r="C75" s="177"/>
      <x:c r="D75" s="177"/>
      <x:c r="E75" s="177"/>
      <x:c r="F75" s="177"/>
      <x:c r="G75" s="177"/>
      <x:c r="H75" s="177"/>
      <x:c r="I75" s="177"/>
      <x:c r="J75" s="177"/>
      <x:c r="K75" s="177"/>
      <x:c r="L75" s="177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>
      <x:c r="A76" s="177"/>
      <x:c r="B76" s="177"/>
      <x:c r="C76" s="177"/>
      <x:c r="D76" s="177"/>
      <x:c r="E76" s="177"/>
      <x:c r="F76" s="177"/>
      <x:c r="G76" s="177"/>
      <x:c r="H76" s="177"/>
      <x:c r="I76" s="177"/>
      <x:c r="J76" s="177"/>
      <x:c r="K76" s="177"/>
      <x:c r="L76" s="177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>
      <x:c r="A77" s="177"/>
      <x:c r="B77" s="177"/>
      <x:c r="C77" s="177"/>
      <x:c r="D77" s="177"/>
      <x:c r="E77" s="177"/>
      <x:c r="F77" s="177"/>
      <x:c r="G77" s="177"/>
      <x:c r="H77" s="177"/>
      <x:c r="I77" s="177"/>
      <x:c r="J77" s="177"/>
      <x:c r="K77" s="177"/>
      <x:c r="L77" s="177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>
      <x:c r="A78" s="177"/>
      <x:c r="B78" s="177"/>
      <x:c r="C78" s="177"/>
      <x:c r="D78" s="177"/>
      <x:c r="E78" s="177"/>
      <x:c r="F78" s="177"/>
      <x:c r="G78" s="177"/>
      <x:c r="H78" s="177"/>
      <x:c r="I78" s="177"/>
      <x:c r="J78" s="177"/>
      <x:c r="K78" s="177"/>
      <x:c r="L78" s="177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>
      <x:c r="A79" s="177"/>
      <x:c r="B79" s="177"/>
      <x:c r="C79" s="177"/>
      <x:c r="D79" s="177"/>
      <x:c r="E79" s="177"/>
      <x:c r="F79" s="177"/>
      <x:c r="G79" s="177"/>
      <x:c r="H79" s="177"/>
      <x:c r="I79" s="177"/>
      <x:c r="J79" s="177"/>
      <x:c r="K79" s="177"/>
      <x:c r="L79" s="177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>
      <x:c r="A80" s="177"/>
      <x:c r="B80" s="177"/>
      <x:c r="C80" s="177"/>
      <x:c r="D80" s="177"/>
      <x:c r="E80" s="177"/>
      <x:c r="F80" s="177"/>
      <x:c r="G80" s="177"/>
      <x:c r="H80" s="177"/>
      <x:c r="I80" s="177"/>
      <x:c r="J80" s="177"/>
      <x:c r="K80" s="177"/>
      <x:c r="L80" s="177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>
      <x:c r="A81" s="177"/>
      <x:c r="B81" s="177"/>
      <x:c r="C81" s="177"/>
      <x:c r="D81" s="177"/>
      <x:c r="E81" s="177"/>
      <x:c r="F81" s="177"/>
      <x:c r="G81" s="177"/>
      <x:c r="H81" s="177"/>
      <x:c r="I81" s="177"/>
      <x:c r="J81" s="177"/>
      <x:c r="K81" s="177"/>
      <x:c r="L81" s="177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>
      <x:c r="A82" s="177"/>
      <x:c r="B82" s="177"/>
      <x:c r="C82" s="177"/>
      <x:c r="D82" s="177"/>
      <x:c r="E82" s="177"/>
      <x:c r="F82" s="177"/>
      <x:c r="G82" s="177"/>
      <x:c r="H82" s="177"/>
      <x:c r="I82" s="177"/>
      <x:c r="J82" s="177"/>
      <x:c r="K82" s="177"/>
      <x:c r="L82" s="177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>
      <x:c r="A83" s="177"/>
      <x:c r="B83" s="177"/>
      <x:c r="C83" s="177"/>
      <x:c r="D83" s="177"/>
      <x:c r="E83" s="177"/>
      <x:c r="F83" s="177"/>
      <x:c r="G83" s="177"/>
      <x:c r="H83" s="177"/>
      <x:c r="I83" s="177"/>
      <x:c r="J83" s="177"/>
      <x:c r="K83" s="177"/>
      <x:c r="L83" s="177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>
      <x:c r="A84" s="177"/>
      <x:c r="B84" s="177"/>
      <x:c r="C84" s="177"/>
      <x:c r="D84" s="177"/>
      <x:c r="E84" s="177"/>
      <x:c r="F84" s="177"/>
      <x:c r="G84" s="177"/>
      <x:c r="H84" s="177"/>
      <x:c r="I84" s="177"/>
      <x:c r="J84" s="177"/>
      <x:c r="K84" s="177"/>
      <x:c r="L84" s="177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>
      <x:c r="A85" s="177"/>
      <x:c r="B85" s="177"/>
      <x:c r="C85" s="177"/>
      <x:c r="D85" s="177"/>
      <x:c r="E85" s="177"/>
      <x:c r="F85" s="177"/>
      <x:c r="G85" s="177"/>
      <x:c r="H85" s="177"/>
      <x:c r="I85" s="177"/>
      <x:c r="J85" s="177"/>
      <x:c r="K85" s="177"/>
      <x:c r="L85" s="177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>
      <x:c r="A86" s="177"/>
      <x:c r="B86" s="177"/>
      <x:c r="C86" s="177"/>
      <x:c r="D86" s="177"/>
      <x:c r="E86" s="177"/>
      <x:c r="F86" s="177"/>
      <x:c r="G86" s="177"/>
      <x:c r="H86" s="177"/>
      <x:c r="I86" s="177"/>
      <x:c r="J86" s="177"/>
      <x:c r="K86" s="177"/>
      <x:c r="L86" s="177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>
      <x:c r="A87" s="177"/>
      <x:c r="B87" s="177"/>
      <x:c r="C87" s="177"/>
      <x:c r="D87" s="177"/>
      <x:c r="E87" s="177"/>
      <x:c r="F87" s="177"/>
      <x:c r="G87" s="177"/>
      <x:c r="H87" s="177"/>
      <x:c r="I87" s="177"/>
      <x:c r="J87" s="177"/>
      <x:c r="K87" s="177"/>
      <x:c r="L87" s="177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>
      <x:c r="A88" s="177"/>
      <x:c r="B88" s="177"/>
      <x:c r="C88" s="177"/>
      <x:c r="D88" s="177"/>
      <x:c r="E88" s="177"/>
      <x:c r="F88" s="177"/>
      <x:c r="G88" s="177"/>
      <x:c r="H88" s="177"/>
      <x:c r="I88" s="177"/>
      <x:c r="J88" s="177"/>
      <x:c r="K88" s="177"/>
      <x:c r="L88" s="177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>
      <x:c r="A89" s="177"/>
      <x:c r="B89" s="177"/>
      <x:c r="C89" s="177"/>
      <x:c r="D89" s="177"/>
      <x:c r="E89" s="177"/>
      <x:c r="F89" s="177"/>
      <x:c r="G89" s="177"/>
      <x:c r="H89" s="177"/>
      <x:c r="I89" s="177"/>
      <x:c r="J89" s="177"/>
      <x:c r="K89" s="177"/>
      <x:c r="L89" s="177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>
      <x:c r="A90" s="177"/>
      <x:c r="B90" s="177"/>
      <x:c r="C90" s="177"/>
      <x:c r="D90" s="177"/>
      <x:c r="E90" s="177"/>
      <x:c r="F90" s="177"/>
      <x:c r="G90" s="177"/>
      <x:c r="H90" s="177"/>
      <x:c r="I90" s="177"/>
      <x:c r="J90" s="177"/>
      <x:c r="K90" s="177"/>
      <x:c r="L90" s="177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>
      <x:c r="A91" s="177"/>
      <x:c r="B91" s="177"/>
      <x:c r="C91" s="177"/>
      <x:c r="D91" s="177"/>
      <x:c r="E91" s="177"/>
      <x:c r="F91" s="177"/>
      <x:c r="G91" s="177"/>
      <x:c r="H91" s="177"/>
      <x:c r="I91" s="177"/>
      <x:c r="J91" s="177"/>
      <x:c r="K91" s="177"/>
      <x:c r="L91" s="177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>
      <x:c r="A92" s="177"/>
      <x:c r="B92" s="177"/>
      <x:c r="C92" s="177"/>
      <x:c r="D92" s="177"/>
      <x:c r="E92" s="177"/>
      <x:c r="F92" s="177"/>
      <x:c r="G92" s="177"/>
      <x:c r="H92" s="177"/>
      <x:c r="I92" s="177"/>
      <x:c r="J92" s="177"/>
      <x:c r="K92" s="177"/>
      <x:c r="L92" s="177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>
      <x:c r="A93" s="177"/>
      <x:c r="B93" s="177"/>
      <x:c r="C93" s="177"/>
      <x:c r="D93" s="177"/>
      <x:c r="E93" s="177"/>
      <x:c r="F93" s="177"/>
      <x:c r="G93" s="177"/>
      <x:c r="H93" s="177"/>
      <x:c r="I93" s="177"/>
      <x:c r="J93" s="177"/>
      <x:c r="K93" s="177"/>
      <x:c r="L93" s="177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>
      <x:c r="A94" s="177"/>
      <x:c r="B94" s="177"/>
      <x:c r="C94" s="177"/>
      <x:c r="D94" s="177"/>
      <x:c r="E94" s="177"/>
      <x:c r="F94" s="177"/>
      <x:c r="G94" s="177"/>
      <x:c r="H94" s="177"/>
      <x:c r="I94" s="177"/>
      <x:c r="J94" s="177"/>
      <x:c r="K94" s="177"/>
      <x:c r="L94" s="177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>
      <x:c r="A95" s="177"/>
      <x:c r="B95" s="177"/>
      <x:c r="C95" s="177"/>
      <x:c r="D95" s="177"/>
      <x:c r="E95" s="177"/>
      <x:c r="F95" s="177"/>
      <x:c r="G95" s="177"/>
      <x:c r="H95" s="177"/>
      <x:c r="I95" s="177"/>
      <x:c r="J95" s="177"/>
      <x:c r="K95" s="177"/>
      <x:c r="L95" s="177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>
      <x:c r="A96" s="177"/>
      <x:c r="B96" s="177"/>
      <x:c r="C96" s="177"/>
      <x:c r="D96" s="177"/>
      <x:c r="E96" s="177"/>
      <x:c r="F96" s="177"/>
      <x:c r="G96" s="177"/>
      <x:c r="H96" s="177"/>
      <x:c r="I96" s="177"/>
      <x:c r="J96" s="177"/>
      <x:c r="K96" s="177"/>
      <x:c r="L96" s="177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>
      <x:c r="A97" s="177"/>
      <x:c r="B97" s="177"/>
      <x:c r="C97" s="177"/>
      <x:c r="D97" s="177"/>
      <x:c r="E97" s="177"/>
      <x:c r="F97" s="177"/>
      <x:c r="G97" s="177"/>
      <x:c r="H97" s="177"/>
      <x:c r="I97" s="177"/>
      <x:c r="J97" s="177"/>
      <x:c r="K97" s="177"/>
      <x:c r="L97" s="177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>
      <x:c r="A98" s="177"/>
      <x:c r="B98" s="177"/>
      <x:c r="C98" s="177"/>
      <x:c r="D98" s="177"/>
      <x:c r="E98" s="177"/>
      <x:c r="F98" s="177"/>
      <x:c r="G98" s="177"/>
      <x:c r="H98" s="177"/>
      <x:c r="I98" s="177"/>
      <x:c r="J98" s="177"/>
      <x:c r="K98" s="177"/>
      <x:c r="L98" s="177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>
      <x:c r="A99" s="177"/>
      <x:c r="B99" s="177"/>
      <x:c r="C99" s="177"/>
      <x:c r="D99" s="177"/>
      <x:c r="E99" s="177"/>
      <x:c r="F99" s="177"/>
      <x:c r="G99" s="177"/>
      <x:c r="H99" s="177"/>
      <x:c r="I99" s="177"/>
      <x:c r="J99" s="177"/>
      <x:c r="K99" s="177"/>
      <x:c r="L99" s="177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>
      <x:c r="A100" s="177"/>
      <x:c r="B100" s="177"/>
      <x:c r="C100" s="177"/>
      <x:c r="D100" s="177"/>
      <x:c r="E100" s="177"/>
      <x:c r="F100" s="177"/>
      <x:c r="G100" s="177"/>
      <x:c r="H100" s="177"/>
      <x:c r="I100" s="177"/>
      <x:c r="J100" s="177"/>
      <x:c r="K100" s="177"/>
      <x:c r="L100" s="177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>
      <x:c r="A101" s="177"/>
      <x:c r="B101" s="177"/>
      <x:c r="C101" s="177"/>
      <x:c r="D101" s="177"/>
      <x:c r="E101" s="177"/>
      <x:c r="F101" s="177"/>
      <x:c r="G101" s="177"/>
      <x:c r="H101" s="177"/>
      <x:c r="I101" s="177"/>
      <x:c r="J101" s="177"/>
      <x:c r="K101" s="177"/>
      <x:c r="L101" s="177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>
      <x:c r="A102" s="177"/>
      <x:c r="B102" s="177"/>
      <x:c r="C102" s="177"/>
      <x:c r="D102" s="177"/>
      <x:c r="E102" s="177"/>
      <x:c r="F102" s="177"/>
      <x:c r="G102" s="177"/>
      <x:c r="H102" s="177"/>
      <x:c r="I102" s="177"/>
      <x:c r="J102" s="177"/>
      <x:c r="K102" s="177"/>
      <x:c r="L102" s="177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>
      <x:c r="A103" s="177"/>
      <x:c r="B103" s="177"/>
      <x:c r="C103" s="177"/>
      <x:c r="D103" s="177"/>
      <x:c r="E103" s="177"/>
      <x:c r="F103" s="177"/>
      <x:c r="G103" s="177"/>
      <x:c r="H103" s="177"/>
      <x:c r="I103" s="177"/>
      <x:c r="J103" s="177"/>
      <x:c r="K103" s="177"/>
      <x:c r="L103" s="177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>
      <x:c r="A104" s="177"/>
      <x:c r="B104" s="177"/>
      <x:c r="C104" s="177"/>
      <x:c r="D104" s="177"/>
      <x:c r="E104" s="177"/>
      <x:c r="F104" s="177"/>
      <x:c r="G104" s="177"/>
      <x:c r="H104" s="177"/>
      <x:c r="I104" s="177"/>
      <x:c r="J104" s="177"/>
      <x:c r="K104" s="177"/>
      <x:c r="L104" s="177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>
      <x:c r="A105" s="177"/>
      <x:c r="B105" s="177"/>
      <x:c r="C105" s="177"/>
      <x:c r="D105" s="177"/>
      <x:c r="E105" s="177"/>
      <x:c r="F105" s="177"/>
      <x:c r="G105" s="177"/>
      <x:c r="H105" s="177"/>
      <x:c r="I105" s="177"/>
      <x:c r="J105" s="177"/>
      <x:c r="K105" s="177"/>
      <x:c r="L105" s="177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>
      <x:c r="A106" s="177"/>
      <x:c r="B106" s="177"/>
      <x:c r="C106" s="177"/>
      <x:c r="D106" s="177"/>
      <x:c r="E106" s="177"/>
      <x:c r="F106" s="177"/>
      <x:c r="G106" s="177"/>
      <x:c r="H106" s="177"/>
      <x:c r="I106" s="177"/>
      <x:c r="J106" s="177"/>
      <x:c r="K106" s="177"/>
      <x:c r="L106" s="177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>
      <x:c r="A107" s="177"/>
      <x:c r="B107" s="177"/>
      <x:c r="C107" s="177"/>
      <x:c r="D107" s="177"/>
      <x:c r="E107" s="177"/>
      <x:c r="F107" s="177"/>
      <x:c r="G107" s="177"/>
      <x:c r="H107" s="177"/>
      <x:c r="I107" s="177"/>
      <x:c r="J107" s="177"/>
      <x:c r="K107" s="177"/>
      <x:c r="L107" s="177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>
      <x:c r="A108" s="177"/>
      <x:c r="B108" s="177"/>
      <x:c r="C108" s="177"/>
      <x:c r="D108" s="177"/>
      <x:c r="E108" s="177"/>
      <x:c r="F108" s="177"/>
      <x:c r="G108" s="177"/>
      <x:c r="H108" s="177"/>
      <x:c r="I108" s="177"/>
      <x:c r="J108" s="177"/>
      <x:c r="K108" s="177"/>
      <x:c r="L108" s="177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>
      <x:c r="A109" s="177"/>
      <x:c r="B109" s="177"/>
      <x:c r="C109" s="177"/>
      <x:c r="D109" s="177"/>
      <x:c r="E109" s="177"/>
      <x:c r="F109" s="177"/>
      <x:c r="G109" s="177"/>
      <x:c r="H109" s="177"/>
      <x:c r="I109" s="177"/>
      <x:c r="J109" s="177"/>
      <x:c r="K109" s="177"/>
      <x:c r="L109" s="177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>
      <x:c r="A110" s="177"/>
      <x:c r="B110" s="177"/>
      <x:c r="C110" s="177"/>
      <x:c r="D110" s="177"/>
      <x:c r="E110" s="177"/>
      <x:c r="F110" s="177"/>
      <x:c r="G110" s="177"/>
      <x:c r="H110" s="177"/>
      <x:c r="I110" s="177"/>
      <x:c r="J110" s="177"/>
      <x:c r="K110" s="177"/>
      <x:c r="L110" s="177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>
      <x:c r="A111" s="177"/>
      <x:c r="B111" s="177"/>
      <x:c r="C111" s="177"/>
      <x:c r="D111" s="177"/>
      <x:c r="E111" s="177"/>
      <x:c r="F111" s="177"/>
      <x:c r="G111" s="177"/>
      <x:c r="H111" s="177"/>
      <x:c r="I111" s="177"/>
      <x:c r="J111" s="177"/>
      <x:c r="K111" s="177"/>
      <x:c r="L111" s="177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>
      <x:c r="A112" s="177"/>
      <x:c r="B112" s="177"/>
      <x:c r="C112" s="177"/>
      <x:c r="D112" s="177"/>
      <x:c r="E112" s="177"/>
      <x:c r="F112" s="177"/>
      <x:c r="G112" s="177"/>
      <x:c r="H112" s="177"/>
      <x:c r="I112" s="177"/>
      <x:c r="J112" s="177"/>
      <x:c r="K112" s="177"/>
      <x:c r="L112" s="177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>
      <x:c r="A113" s="177"/>
      <x:c r="B113" s="177"/>
      <x:c r="C113" s="177"/>
      <x:c r="D113" s="177"/>
      <x:c r="E113" s="177"/>
      <x:c r="F113" s="177"/>
      <x:c r="G113" s="177"/>
      <x:c r="H113" s="177"/>
      <x:c r="I113" s="177"/>
      <x:c r="J113" s="177"/>
      <x:c r="K113" s="177"/>
      <x:c r="L113" s="177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>
      <x:c r="A114" s="177"/>
      <x:c r="B114" s="177"/>
      <x:c r="C114" s="177"/>
      <x:c r="D114" s="177"/>
      <x:c r="E114" s="177"/>
      <x:c r="F114" s="177"/>
      <x:c r="G114" s="177"/>
      <x:c r="H114" s="177"/>
      <x:c r="I114" s="177"/>
      <x:c r="J114" s="177"/>
      <x:c r="K114" s="177"/>
      <x:c r="L114" s="177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>
      <x:c r="A115" s="177"/>
      <x:c r="B115" s="177"/>
      <x:c r="C115" s="177"/>
      <x:c r="D115" s="177"/>
      <x:c r="E115" s="177"/>
      <x:c r="F115" s="177"/>
      <x:c r="G115" s="177"/>
      <x:c r="H115" s="177"/>
      <x:c r="I115" s="177"/>
      <x:c r="J115" s="177"/>
      <x:c r="K115" s="177"/>
      <x:c r="L115" s="177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>
      <x:c r="A116" s="177"/>
      <x:c r="B116" s="177"/>
      <x:c r="C116" s="177"/>
      <x:c r="D116" s="177"/>
      <x:c r="E116" s="177"/>
      <x:c r="F116" s="177"/>
      <x:c r="G116" s="177"/>
      <x:c r="H116" s="177"/>
      <x:c r="I116" s="177"/>
      <x:c r="J116" s="177"/>
      <x:c r="K116" s="177"/>
      <x:c r="L116" s="177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>
      <x:c r="A117" s="177"/>
      <x:c r="B117" s="177"/>
      <x:c r="C117" s="177"/>
      <x:c r="D117" s="177"/>
      <x:c r="E117" s="177"/>
      <x:c r="F117" s="177"/>
      <x:c r="G117" s="177"/>
      <x:c r="H117" s="177"/>
      <x:c r="I117" s="177"/>
      <x:c r="J117" s="177"/>
      <x:c r="K117" s="177"/>
      <x:c r="L117" s="177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>
      <x:c r="A118" s="177"/>
      <x:c r="B118" s="177"/>
      <x:c r="C118" s="177"/>
      <x:c r="D118" s="177"/>
      <x:c r="E118" s="177"/>
      <x:c r="F118" s="177"/>
      <x:c r="G118" s="177"/>
      <x:c r="H118" s="177"/>
      <x:c r="I118" s="177"/>
      <x:c r="J118" s="177"/>
      <x:c r="K118" s="177"/>
      <x:c r="L118" s="177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>
      <x:c r="A119" s="177"/>
      <x:c r="B119" s="177"/>
      <x:c r="C119" s="177"/>
      <x:c r="D119" s="177"/>
      <x:c r="E119" s="177"/>
      <x:c r="F119" s="177"/>
      <x:c r="G119" s="177"/>
      <x:c r="H119" s="177"/>
      <x:c r="I119" s="177"/>
      <x:c r="J119" s="177"/>
      <x:c r="K119" s="177"/>
      <x:c r="L119" s="177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>
      <x:c r="A120" s="177"/>
      <x:c r="B120" s="177"/>
      <x:c r="C120" s="177"/>
      <x:c r="D120" s="177"/>
      <x:c r="E120" s="177"/>
      <x:c r="F120" s="177"/>
      <x:c r="G120" s="177"/>
      <x:c r="H120" s="177"/>
      <x:c r="I120" s="177"/>
      <x:c r="J120" s="177"/>
      <x:c r="K120" s="177"/>
      <x:c r="L120" s="177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</x:sheetData>
  <x:mergeCells>
    <x:mergeCell ref="B2:K3"/>
    <x:mergeCell ref="B15:F15"/>
    <x:mergeCell ref="I15:K15"/>
    <x:mergeCell ref="B27:K30"/>
  </x:mergeCells>
  <x:dataValidations count="2">
    <x:dataValidation type="list" sqref="C9">
      <x:formula1>'07 Catálogos'!$A$2:$A$13</x:formula1>
    </x:dataValidation>
    <x:dataValidation type="list" sqref="C10">
      <x:formula1>"MXN,USD,EUR"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22" hidden="0" customWidth="1"/>
    <x:col min="5" max="5" width="18" hidden="0" customWidth="1"/>
    <x:col min="6" max="6" width="20" hidden="0" customWidth="1"/>
    <x:col min="7" max="7" width="22" hidden="0" customWidth="1"/>
    <x:col min="8" max="8" width="28" hidden="0" customWidth="1"/>
    <x:col min="9" max="9" width="18" hidden="0" customWidth="1"/>
    <x:col min="10" max="10" width="32" hidden="0" customWidth="1"/>
    <x:col min="11" max="11" width="34" hidden="0" customWidth="1"/>
    <x:col min="12" max="12" width="18" hidden="0" customWidth="1"/>
    <x:col min="13" max="13" width="16" hidden="0" customWidth="1"/>
    <x:col min="14" max="14" width="28" hidden="0" customWidth="1"/>
  </x:cols>
  <x:sheetData>
    <x:row r="1">
      <x:c r="A1" s="125" t="str">
        <x:v>Prospectos y contactos comerciales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  <x:c r="M1" s="125"/>
      <x:c r="N1" s="125"/>
      <x:c r="O1" s="177"/>
      <x:c r="P1" s="177"/>
      <x:c r="Q1" s="177"/>
      <x:c r="R1" s="177"/>
      <x:c r="S1" s="177"/>
      <x:c r="T1" s="177"/>
      <x:c r="U1" s="177"/>
      <x:c r="V1" s="177"/>
      <x:c r="W1" s="177"/>
      <x:c r="X1" s="177"/>
      <x:c r="Y1" s="177"/>
      <x:c r="Z1" s="177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  <x:c r="M2" s="125"/>
      <x:c r="N2" s="125"/>
      <x:c r="O2" s="177"/>
      <x:c r="P2" s="177"/>
      <x:c r="Q2" s="177"/>
      <x:c r="R2" s="177"/>
      <x:c r="S2" s="177"/>
      <x:c r="T2" s="177"/>
      <x:c r="U2" s="177"/>
      <x:c r="V2" s="177"/>
      <x:c r="W2" s="177"/>
      <x:c r="X2" s="177"/>
      <x:c r="Y2" s="177"/>
      <x:c r="Z2" s="177"/>
    </x:row>
    <x:row r="3">
      <x:c r="A3" s="39" t="str">
        <x:v>Captura aquí los datos base de clientes potenciales. Esta hoja ayuda a ordenar la cartera antes de convertirla en oportunidades.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177"/>
      <x:c r="P3" s="177"/>
      <x:c r="Q3" s="177"/>
      <x:c r="R3" s="177"/>
      <x:c r="S3" s="177"/>
      <x:c r="T3" s="177"/>
      <x:c r="U3" s="177"/>
      <x:c r="V3" s="177"/>
      <x:c r="W3" s="177"/>
      <x:c r="X3" s="177"/>
      <x:c r="Y3" s="177"/>
      <x:c r="Z3" s="177"/>
    </x:row>
    <x:row r="4">
      <x:c r="A4" s="176"/>
      <x:c r="B4" s="176"/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6"/>
      <x:c r="N4" s="176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>
      <x:c r="A5" s="82" t="str">
        <x:v>ID</x:v>
      </x:c>
      <x:c r="B5" s="82" t="str">
        <x:v>Fecha alta</x:v>
      </x:c>
      <x:c r="C5" s="82" t="str">
        <x:v>Empresa / Cliente</x:v>
      </x:c>
      <x:c r="D5" s="82" t="str">
        <x:v>Contacto</x:v>
      </x:c>
      <x:c r="E5" s="82" t="str">
        <x:v>Canal</x:v>
      </x:c>
      <x:c r="F5" s="82" t="str">
        <x:v>Responsable</x:v>
      </x:c>
      <x:c r="G5" s="82" t="str">
        <x:v>Industria</x:v>
      </x:c>
      <x:c r="H5" s="82" t="str">
        <x:v>Email</x:v>
      </x:c>
      <x:c r="I5" s="82" t="str">
        <x:v>Teléfono</x:v>
      </x:c>
      <x:c r="J5" s="82" t="str">
        <x:v>Necesidad principal</x:v>
      </x:c>
      <x:c r="K5" s="82" t="str">
        <x:v>Notas</x:v>
      </x:c>
      <x:c r="L5" s="82" t="str">
        <x:v>Estatus</x:v>
      </x:c>
      <x:c r="M5" s="82" t="str">
        <x:v>Último contacto</x:v>
      </x:c>
      <x:c r="N5" s="82" t="str">
        <x:v>Próximo paso sugerido</x:v>
      </x:c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>
      <x:c r="A6" s="118" t="str">
        <x:v>P-001</x:v>
      </x:c>
      <x:c r="B6" s="130" t="n">
        <x:v>46144</x:v>
      </x:c>
      <x:c r="C6" s="118" t="str">
        <x:v>Clínica Dermatológica Aurea</x:v>
      </x:c>
      <x:c r="D6" s="118" t="str">
        <x:v>Dra. Mariana López</x:v>
      </x:c>
      <x:c r="E6" s="118" t="str">
        <x:v>Referido</x:v>
      </x:c>
      <x:c r="F6" s="118" t="str">
        <x:v>Comercial 1</x:v>
      </x:c>
      <x:c r="G6" s="118" t="str">
        <x:v>Salud</x:v>
      </x:c>
      <x:c r="H6" s="118" t="str">
        <x:v>contacto@aurea.mx</x:v>
      </x:c>
      <x:c r="I6" s="118" t="str">
        <x:v>238 000 0001</x:v>
      </x:c>
      <x:c r="J6" s="118" t="str">
        <x:v>Agenda online y pagos</x:v>
      </x:c>
      <x:c r="K6" s="118" t="str">
        <x:v>Interés alto, requiere demo.</x:v>
      </x:c>
      <x:c r="L6" s="118" t="str">
        <x:v>Activo</x:v>
      </x:c>
      <x:c r="M6" s="130" t="n">
        <x:v>46150</x:v>
      </x:c>
      <x:c r="N6" s="118" t="str">
        <x:v>Enviar demo funcional</x:v>
      </x:c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>
      <x:c r="A7" s="118" t="str">
        <x:v>P-002</x:v>
      </x:c>
      <x:c r="B7" s="130" t="n">
        <x:v>46145</x:v>
      </x:c>
      <x:c r="C7" s="118" t="str">
        <x:v>GlobalVet México</x:v>
      </x:c>
      <x:c r="D7" s="118" t="str">
        <x:v>Ing. Ricardo</x:v>
      </x:c>
      <x:c r="E7" s="118" t="str">
        <x:v>WhatsApp</x:v>
      </x:c>
      <x:c r="F7" s="118" t="str">
        <x:v>Dirección Comercial</x:v>
      </x:c>
      <x:c r="G7" s="118" t="str">
        <x:v>Educación</x:v>
      </x:c>
      <x:c r="H7" s="118" t="str">
        <x:v>contacto@globalvetmexico.com</x:v>
      </x:c>
      <x:c r="I7" s="118" t="str">
        <x:v>238 000 0002</x:v>
      </x:c>
      <x:c r="J7" s="118" t="str">
        <x:v>Plataforma de membresía</x:v>
      </x:c>
      <x:c r="K7" s="118" t="str">
        <x:v>Requiere login y videoteca.</x:v>
      </x:c>
      <x:c r="L7" s="118" t="str">
        <x:v>Activo</x:v>
      </x:c>
      <x:c r="M7" s="130" t="n">
        <x:v>46151</x:v>
      </x:c>
      <x:c r="N7" s="118" t="str">
        <x:v>Revisar alcance técnico</x:v>
      </x:c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>
      <x:c r="A8" s="118" t="str">
        <x:v>P-003</x:v>
      </x:c>
      <x:c r="B8" s="130" t="n">
        <x:v>46146</x:v>
      </x:c>
      <x:c r="C8" s="118" t="str">
        <x:v>Restaurante La Terraza</x:v>
      </x:c>
      <x:c r="D8" s="118" t="str">
        <x:v>Carlos Méndez</x:v>
      </x:c>
      <x:c r="E8" s="118" t="str">
        <x:v>Instagram</x:v>
      </x:c>
      <x:c r="F8" s="118" t="str">
        <x:v>Comercial 2</x:v>
      </x:c>
      <x:c r="G8" s="118" t="str">
        <x:v>Alimentos</x:v>
      </x:c>
      <x:c r="H8" s="118" t="str">
        <x:v>ventas@laterraza.mx</x:v>
      </x:c>
      <x:c r="I8" s="118" t="str">
        <x:v>238 000 0003</x:v>
      </x:c>
      <x:c r="J8" s="118" t="str">
        <x:v>Sitio web y CRM</x:v>
      </x:c>
      <x:c r="K8" s="118" t="str">
        <x:v>Quiere presencia local.</x:v>
      </x:c>
      <x:c r="L8" s="118" t="str">
        <x:v>Activo</x:v>
      </x:c>
      <x:c r="M8" s="130" t="n">
        <x:v>46152</x:v>
      </x:c>
      <x:c r="N8" s="118" t="str">
        <x:v>Agendar llamada</x:v>
      </x:c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>
      <x:c r="A9" s="118" t="str">
        <x:v>P-004</x:v>
      </x:c>
      <x:c r="B9" s="130" t="n">
        <x:v>46113</x:v>
      </x:c>
      <x:c r="C9" s="118" t="str">
        <x:v>Sinergia Agrícola</x:v>
      </x:c>
      <x:c r="D9" s="118" t="str">
        <x:v>Andrea Hernández</x:v>
      </x:c>
      <x:c r="E9" s="118" t="str">
        <x:v>Sitio web</x:v>
      </x:c>
      <x:c r="F9" s="118" t="str">
        <x:v>Dirección Comercial</x:v>
      </x:c>
      <x:c r="G9" s="118" t="str">
        <x:v>Agroindustria</x:v>
      </x:c>
      <x:c r="H9" s="118" t="str">
        <x:v>contacto@sinergia.mx</x:v>
      </x:c>
      <x:c r="I9" s="118" t="str">
        <x:v>238 000 0004</x:v>
      </x:c>
      <x:c r="J9" s="118" t="str">
        <x:v>Dashboard agrícola VIP</x:v>
      </x:c>
      <x:c r="K9" s="118" t="str">
        <x:v>Proyecto cerrado.</x:v>
      </x:c>
      <x:c r="L9" s="118" t="str">
        <x:v>Cliente</x:v>
      </x:c>
      <x:c r="M9" s="130" t="n">
        <x:v>46132</x:v>
      </x:c>
      <x:c r="N9" s="118" t="str">
        <x:v>Seguimiento postventa</x:v>
      </x:c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>
      <x:c r="A10" s="118" t="str">
        <x:v>P-005</x:v>
      </x:c>
      <x:c r="B10" s="130" t="n">
        <x:v>46149</x:v>
      </x:c>
      <x:c r="C10" s="118" t="str">
        <x:v>Consultorio Fisioteck</x:v>
      </x:c>
      <x:c r="D10" s="118" t="str">
        <x:v>Lic. Ana Torres</x:v>
      </x:c>
      <x:c r="E10" s="118" t="str">
        <x:v>Facebook</x:v>
      </x:c>
      <x:c r="F10" s="118" t="str">
        <x:v>Comercial 1</x:v>
      </x:c>
      <x:c r="G10" s="118" t="str">
        <x:v>Salud</x:v>
      </x:c>
      <x:c r="H10" s="118" t="str">
        <x:v>contacto@fisioteck.mx</x:v>
      </x:c>
      <x:c r="I10" s="118" t="str">
        <x:v>238 000 0005</x:v>
      </x:c>
      <x:c r="J10" s="118" t="str">
        <x:v>App de citas</x:v>
      </x:c>
      <x:c r="K10" s="118" t="str">
        <x:v>Necesita cotización por fases.</x:v>
      </x:c>
      <x:c r="L10" s="118" t="str">
        <x:v>Activo</x:v>
      </x:c>
      <x:c r="M10" s="130" t="n">
        <x:v>46153</x:v>
      </x:c>
      <x:c r="N10" s="118" t="str">
        <x:v>Enviar diagnóstico</x:v>
      </x:c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>
      <x:c r="A11" s="118" t="str">
        <x:v>P-006</x:v>
      </x:c>
      <x:c r="B11" s="130" t="n">
        <x:v>46152</x:v>
      </x:c>
      <x:c r="C11" s="118" t="str">
        <x:v>Empresa Industrial Norte</x:v>
      </x:c>
      <x:c r="D11" s="118" t="str">
        <x:v>Mtro. Luis Arriaga</x:v>
      </x:c>
      <x:c r="E11" s="118" t="str">
        <x:v>LinkedIn</x:v>
      </x:c>
      <x:c r="F11" s="118" t="str">
        <x:v>Comercial 2</x:v>
      </x:c>
      <x:c r="G11" s="118" t="str">
        <x:v>Industrial</x:v>
      </x:c>
      <x:c r="H11" s="118" t="str">
        <x:v>operaciones@indnorte.mx</x:v>
      </x:c>
      <x:c r="I11" s="118" t="str">
        <x:v>238 000 0006</x:v>
      </x:c>
      <x:c r="J11" s="118" t="str">
        <x:v>Sistema de inventario</x:v>
      </x:c>
      <x:c r="K11" s="118" t="str">
        <x:v>Prospecto en exploración.</x:v>
      </x:c>
      <x:c r="L11" s="118" t="str">
        <x:v>Activo</x:v>
      </x:c>
      <x:c r="M11" s="130" t="n">
        <x:v>46154</x:v>
      </x:c>
      <x:c r="N11" s="118" t="str">
        <x:v>Enviar brochure</x:v>
      </x:c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>
      <x:c r="A12" s="118"/>
      <x:c r="B12" s="130"/>
      <x:c r="C12" s="118"/>
      <x:c r="D12" s="118"/>
      <x:c r="E12" s="118"/>
      <x:c r="F12" s="118"/>
      <x:c r="G12" s="118"/>
      <x:c r="H12" s="118"/>
      <x:c r="I12" s="118"/>
      <x:c r="J12" s="118"/>
      <x:c r="K12" s="118"/>
      <x:c r="L12" s="118"/>
      <x:c r="M12" s="130"/>
      <x:c r="N12" s="118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>
      <x:c r="A13" s="118"/>
      <x:c r="B13" s="130"/>
      <x:c r="C13" s="118"/>
      <x:c r="D13" s="118"/>
      <x:c r="E13" s="118"/>
      <x:c r="F13" s="118"/>
      <x:c r="G13" s="118"/>
      <x:c r="H13" s="118"/>
      <x:c r="I13" s="118"/>
      <x:c r="J13" s="118"/>
      <x:c r="K13" s="118"/>
      <x:c r="L13" s="118"/>
      <x:c r="M13" s="130"/>
      <x:c r="N13" s="118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>
      <x:c r="A14" s="118"/>
      <x:c r="B14" s="130"/>
      <x:c r="C14" s="118"/>
      <x:c r="D14" s="118"/>
      <x:c r="E14" s="118"/>
      <x:c r="F14" s="118"/>
      <x:c r="G14" s="118"/>
      <x:c r="H14" s="118"/>
      <x:c r="I14" s="118"/>
      <x:c r="J14" s="118"/>
      <x:c r="K14" s="118"/>
      <x:c r="L14" s="118"/>
      <x:c r="M14" s="130"/>
      <x:c r="N14" s="118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>
      <x:c r="A15" s="118"/>
      <x:c r="B15" s="130"/>
      <x:c r="C15" s="118"/>
      <x:c r="D15" s="118"/>
      <x:c r="E15" s="118"/>
      <x:c r="F15" s="118"/>
      <x:c r="G15" s="118"/>
      <x:c r="H15" s="118"/>
      <x:c r="I15" s="118"/>
      <x:c r="J15" s="118"/>
      <x:c r="K15" s="118"/>
      <x:c r="L15" s="118"/>
      <x:c r="M15" s="130"/>
      <x:c r="N15" s="118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>
      <x:c r="A16" s="118"/>
      <x:c r="B16" s="130"/>
      <x:c r="C16" s="118"/>
      <x:c r="D16" s="118"/>
      <x:c r="E16" s="118"/>
      <x:c r="F16" s="118"/>
      <x:c r="G16" s="118"/>
      <x:c r="H16" s="118"/>
      <x:c r="I16" s="118"/>
      <x:c r="J16" s="118"/>
      <x:c r="K16" s="118"/>
      <x:c r="L16" s="118"/>
      <x:c r="M16" s="130"/>
      <x:c r="N16" s="118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>
      <x:c r="A17" s="118"/>
      <x:c r="B17" s="130"/>
      <x:c r="C17" s="118"/>
      <x:c r="D17" s="118"/>
      <x:c r="E17" s="118"/>
      <x:c r="F17" s="118"/>
      <x:c r="G17" s="118"/>
      <x:c r="H17" s="118"/>
      <x:c r="I17" s="118"/>
      <x:c r="J17" s="118"/>
      <x:c r="K17" s="118"/>
      <x:c r="L17" s="118"/>
      <x:c r="M17" s="130"/>
      <x:c r="N17" s="118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>
      <x:c r="A18" s="118"/>
      <x:c r="B18" s="130"/>
      <x:c r="C18" s="118"/>
      <x:c r="D18" s="118"/>
      <x:c r="E18" s="118"/>
      <x:c r="F18" s="118"/>
      <x:c r="G18" s="118"/>
      <x:c r="H18" s="118"/>
      <x:c r="I18" s="118"/>
      <x:c r="J18" s="118"/>
      <x:c r="K18" s="118"/>
      <x:c r="L18" s="118"/>
      <x:c r="M18" s="130"/>
      <x:c r="N18" s="118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>
      <x:c r="A19" s="118"/>
      <x:c r="B19" s="130"/>
      <x:c r="C19" s="118"/>
      <x:c r="D19" s="118"/>
      <x:c r="E19" s="118"/>
      <x:c r="F19" s="118"/>
      <x:c r="G19" s="118"/>
      <x:c r="H19" s="118"/>
      <x:c r="I19" s="118"/>
      <x:c r="J19" s="118"/>
      <x:c r="K19" s="118"/>
      <x:c r="L19" s="118"/>
      <x:c r="M19" s="130"/>
      <x:c r="N19" s="118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>
      <x:c r="A20" s="118"/>
      <x:c r="B20" s="130"/>
      <x:c r="C20" s="118"/>
      <x:c r="D20" s="118"/>
      <x:c r="E20" s="118"/>
      <x:c r="F20" s="118"/>
      <x:c r="G20" s="118"/>
      <x:c r="H20" s="118"/>
      <x:c r="I20" s="118"/>
      <x:c r="J20" s="118"/>
      <x:c r="K20" s="118"/>
      <x:c r="L20" s="118"/>
      <x:c r="M20" s="130"/>
      <x:c r="N20" s="118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>
      <x:c r="A21" s="118"/>
      <x:c r="B21" s="130"/>
      <x:c r="C21" s="118"/>
      <x:c r="D21" s="118"/>
      <x:c r="E21" s="118"/>
      <x:c r="F21" s="118"/>
      <x:c r="G21" s="118"/>
      <x:c r="H21" s="118"/>
      <x:c r="I21" s="118"/>
      <x:c r="J21" s="118"/>
      <x:c r="K21" s="118"/>
      <x:c r="L21" s="118"/>
      <x:c r="M21" s="130"/>
      <x:c r="N21" s="118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>
      <x:c r="A22" s="118"/>
      <x:c r="B22" s="130"/>
      <x:c r="C22" s="118"/>
      <x:c r="D22" s="118"/>
      <x:c r="E22" s="118"/>
      <x:c r="F22" s="118"/>
      <x:c r="G22" s="118"/>
      <x:c r="H22" s="118"/>
      <x:c r="I22" s="118"/>
      <x:c r="J22" s="118"/>
      <x:c r="K22" s="118"/>
      <x:c r="L22" s="118"/>
      <x:c r="M22" s="130"/>
      <x:c r="N22" s="118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>
      <x:c r="A23" s="118"/>
      <x:c r="B23" s="130"/>
      <x:c r="C23" s="118"/>
      <x:c r="D23" s="118"/>
      <x:c r="E23" s="118"/>
      <x:c r="F23" s="118"/>
      <x:c r="G23" s="118"/>
      <x:c r="H23" s="118"/>
      <x:c r="I23" s="118"/>
      <x:c r="J23" s="118"/>
      <x:c r="K23" s="118"/>
      <x:c r="L23" s="118"/>
      <x:c r="M23" s="130"/>
      <x:c r="N23" s="118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>
      <x:c r="A24" s="118"/>
      <x:c r="B24" s="130"/>
      <x:c r="C24" s="118"/>
      <x:c r="D24" s="118"/>
      <x:c r="E24" s="118"/>
      <x:c r="F24" s="118"/>
      <x:c r="G24" s="118"/>
      <x:c r="H24" s="118"/>
      <x:c r="I24" s="118"/>
      <x:c r="J24" s="118"/>
      <x:c r="K24" s="118"/>
      <x:c r="L24" s="118"/>
      <x:c r="M24" s="130"/>
      <x:c r="N24" s="118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>
      <x:c r="A25" s="118"/>
      <x:c r="B25" s="130"/>
      <x:c r="C25" s="118"/>
      <x:c r="D25" s="118"/>
      <x:c r="E25" s="118"/>
      <x:c r="F25" s="118"/>
      <x:c r="G25" s="118"/>
      <x:c r="H25" s="118"/>
      <x:c r="I25" s="118"/>
      <x:c r="J25" s="118"/>
      <x:c r="K25" s="118"/>
      <x:c r="L25" s="118"/>
      <x:c r="M25" s="130"/>
      <x:c r="N25" s="118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>
      <x:c r="A26" s="118"/>
      <x:c r="B26" s="130"/>
      <x:c r="C26" s="118"/>
      <x:c r="D26" s="118"/>
      <x:c r="E26" s="118"/>
      <x:c r="F26" s="118"/>
      <x:c r="G26" s="118"/>
      <x:c r="H26" s="118"/>
      <x:c r="I26" s="118"/>
      <x:c r="J26" s="118"/>
      <x:c r="K26" s="118"/>
      <x:c r="L26" s="118"/>
      <x:c r="M26" s="130"/>
      <x:c r="N26" s="118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>
      <x:c r="A27" s="118"/>
      <x:c r="B27" s="130"/>
      <x:c r="C27" s="118"/>
      <x:c r="D27" s="118"/>
      <x:c r="E27" s="118"/>
      <x:c r="F27" s="118"/>
      <x:c r="G27" s="118"/>
      <x:c r="H27" s="118"/>
      <x:c r="I27" s="118"/>
      <x:c r="J27" s="118"/>
      <x:c r="K27" s="118"/>
      <x:c r="L27" s="118"/>
      <x:c r="M27" s="130"/>
      <x:c r="N27" s="118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>
      <x:c r="A28" s="118"/>
      <x:c r="B28" s="130"/>
      <x:c r="C28" s="118"/>
      <x:c r="D28" s="118"/>
      <x:c r="E28" s="118"/>
      <x:c r="F28" s="118"/>
      <x:c r="G28" s="118"/>
      <x:c r="H28" s="118"/>
      <x:c r="I28" s="118"/>
      <x:c r="J28" s="118"/>
      <x:c r="K28" s="118"/>
      <x:c r="L28" s="118"/>
      <x:c r="M28" s="130"/>
      <x:c r="N28" s="118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>
      <x:c r="A29" s="118"/>
      <x:c r="B29" s="130"/>
      <x:c r="C29" s="118"/>
      <x:c r="D29" s="118"/>
      <x:c r="E29" s="118"/>
      <x:c r="F29" s="118"/>
      <x:c r="G29" s="118"/>
      <x:c r="H29" s="118"/>
      <x:c r="I29" s="118"/>
      <x:c r="J29" s="118"/>
      <x:c r="K29" s="118"/>
      <x:c r="L29" s="118"/>
      <x:c r="M29" s="130"/>
      <x:c r="N29" s="118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>
      <x:c r="A30" s="118"/>
      <x:c r="B30" s="130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30"/>
      <x:c r="N30" s="118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>
      <x:c r="A31" s="118"/>
      <x:c r="B31" s="130"/>
      <x:c r="C31" s="118"/>
      <x:c r="D31" s="118"/>
      <x:c r="E31" s="118"/>
      <x:c r="F31" s="118"/>
      <x:c r="G31" s="118"/>
      <x:c r="H31" s="118"/>
      <x:c r="I31" s="118"/>
      <x:c r="J31" s="118"/>
      <x:c r="K31" s="118"/>
      <x:c r="L31" s="118"/>
      <x:c r="M31" s="130"/>
      <x:c r="N31" s="118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>
      <x:c r="A32" s="118"/>
      <x:c r="B32" s="130"/>
      <x:c r="C32" s="118"/>
      <x:c r="D32" s="118"/>
      <x:c r="E32" s="118"/>
      <x:c r="F32" s="118"/>
      <x:c r="G32" s="118"/>
      <x:c r="H32" s="118"/>
      <x:c r="I32" s="118"/>
      <x:c r="J32" s="118"/>
      <x:c r="K32" s="118"/>
      <x:c r="L32" s="118"/>
      <x:c r="M32" s="130"/>
      <x:c r="N32" s="118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>
      <x:c r="A33" s="118"/>
      <x:c r="B33" s="130"/>
      <x:c r="C33" s="118"/>
      <x:c r="D33" s="118"/>
      <x:c r="E33" s="118"/>
      <x:c r="F33" s="118"/>
      <x:c r="G33" s="118"/>
      <x:c r="H33" s="118"/>
      <x:c r="I33" s="118"/>
      <x:c r="J33" s="118"/>
      <x:c r="K33" s="118"/>
      <x:c r="L33" s="118"/>
      <x:c r="M33" s="130"/>
      <x:c r="N33" s="118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>
      <x:c r="A34" s="118"/>
      <x:c r="B34" s="130"/>
      <x:c r="C34" s="118"/>
      <x:c r="D34" s="118"/>
      <x:c r="E34" s="118"/>
      <x:c r="F34" s="118"/>
      <x:c r="G34" s="118"/>
      <x:c r="H34" s="118"/>
      <x:c r="I34" s="118"/>
      <x:c r="J34" s="118"/>
      <x:c r="K34" s="118"/>
      <x:c r="L34" s="118"/>
      <x:c r="M34" s="130"/>
      <x:c r="N34" s="118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>
      <x:c r="A35" s="118"/>
      <x:c r="B35" s="130"/>
      <x:c r="C35" s="118"/>
      <x:c r="D35" s="118"/>
      <x:c r="E35" s="118"/>
      <x:c r="F35" s="118"/>
      <x:c r="G35" s="118"/>
      <x:c r="H35" s="118"/>
      <x:c r="I35" s="118"/>
      <x:c r="J35" s="118"/>
      <x:c r="K35" s="118"/>
      <x:c r="L35" s="118"/>
      <x:c r="M35" s="130"/>
      <x:c r="N35" s="118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>
      <x:c r="A36" s="118"/>
      <x:c r="B36" s="130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30"/>
      <x:c r="N36" s="118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>
      <x:c r="A37" s="118"/>
      <x:c r="B37" s="130"/>
      <x:c r="C37" s="118"/>
      <x:c r="D37" s="118"/>
      <x:c r="E37" s="118"/>
      <x:c r="F37" s="118"/>
      <x:c r="G37" s="118"/>
      <x:c r="H37" s="118"/>
      <x:c r="I37" s="118"/>
      <x:c r="J37" s="118"/>
      <x:c r="K37" s="118"/>
      <x:c r="L37" s="118"/>
      <x:c r="M37" s="130"/>
      <x:c r="N37" s="118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>
      <x:c r="A38" s="118"/>
      <x:c r="B38" s="130"/>
      <x:c r="C38" s="118"/>
      <x:c r="D38" s="118"/>
      <x:c r="E38" s="118"/>
      <x:c r="F38" s="118"/>
      <x:c r="G38" s="118"/>
      <x:c r="H38" s="118"/>
      <x:c r="I38" s="118"/>
      <x:c r="J38" s="118"/>
      <x:c r="K38" s="118"/>
      <x:c r="L38" s="118"/>
      <x:c r="M38" s="130"/>
      <x:c r="N38" s="118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>
      <x:c r="A39" s="118"/>
      <x:c r="B39" s="130"/>
      <x:c r="C39" s="118"/>
      <x:c r="D39" s="118"/>
      <x:c r="E39" s="118"/>
      <x:c r="F39" s="118"/>
      <x:c r="G39" s="118"/>
      <x:c r="H39" s="118"/>
      <x:c r="I39" s="118"/>
      <x:c r="J39" s="118"/>
      <x:c r="K39" s="118"/>
      <x:c r="L39" s="118"/>
      <x:c r="M39" s="130"/>
      <x:c r="N39" s="118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>
      <x:c r="A40" s="118"/>
      <x:c r="B40" s="130"/>
      <x:c r="C40" s="118"/>
      <x:c r="D40" s="118"/>
      <x:c r="E40" s="118"/>
      <x:c r="F40" s="118"/>
      <x:c r="G40" s="118"/>
      <x:c r="H40" s="118"/>
      <x:c r="I40" s="118"/>
      <x:c r="J40" s="118"/>
      <x:c r="K40" s="118"/>
      <x:c r="L40" s="118"/>
      <x:c r="M40" s="130"/>
      <x:c r="N40" s="118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>
      <x:c r="A41" s="118"/>
      <x:c r="B41" s="130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  <x:c r="M41" s="130"/>
      <x:c r="N41" s="118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>
      <x:c r="A42" s="118"/>
      <x:c r="B42" s="130"/>
      <x:c r="C42" s="118"/>
      <x:c r="D42" s="118"/>
      <x:c r="E42" s="118"/>
      <x:c r="F42" s="118"/>
      <x:c r="G42" s="118"/>
      <x:c r="H42" s="118"/>
      <x:c r="I42" s="118"/>
      <x:c r="J42" s="118"/>
      <x:c r="K42" s="118"/>
      <x:c r="L42" s="118"/>
      <x:c r="M42" s="130"/>
      <x:c r="N42" s="118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>
      <x:c r="A43" s="118"/>
      <x:c r="B43" s="130"/>
      <x:c r="C43" s="118"/>
      <x:c r="D43" s="118"/>
      <x:c r="E43" s="118"/>
      <x:c r="F43" s="118"/>
      <x:c r="G43" s="118"/>
      <x:c r="H43" s="118"/>
      <x:c r="I43" s="118"/>
      <x:c r="J43" s="118"/>
      <x:c r="K43" s="118"/>
      <x:c r="L43" s="118"/>
      <x:c r="M43" s="130"/>
      <x:c r="N43" s="118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>
      <x:c r="A44" s="118"/>
      <x:c r="B44" s="130"/>
      <x:c r="C44" s="118"/>
      <x:c r="D44" s="118"/>
      <x:c r="E44" s="118"/>
      <x:c r="F44" s="118"/>
      <x:c r="G44" s="118"/>
      <x:c r="H44" s="118"/>
      <x:c r="I44" s="118"/>
      <x:c r="J44" s="118"/>
      <x:c r="K44" s="118"/>
      <x:c r="L44" s="118"/>
      <x:c r="M44" s="130"/>
      <x:c r="N44" s="118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>
      <x:c r="A45" s="118"/>
      <x:c r="B45" s="130"/>
      <x:c r="C45" s="118"/>
      <x:c r="D45" s="118"/>
      <x:c r="E45" s="118"/>
      <x:c r="F45" s="118"/>
      <x:c r="G45" s="118"/>
      <x:c r="H45" s="118"/>
      <x:c r="I45" s="118"/>
      <x:c r="J45" s="118"/>
      <x:c r="K45" s="118"/>
      <x:c r="L45" s="118"/>
      <x:c r="M45" s="130"/>
      <x:c r="N45" s="118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>
      <x:c r="A46" s="118"/>
      <x:c r="B46" s="130"/>
      <x:c r="C46" s="118"/>
      <x:c r="D46" s="118"/>
      <x:c r="E46" s="118"/>
      <x:c r="F46" s="118"/>
      <x:c r="G46" s="118"/>
      <x:c r="H46" s="118"/>
      <x:c r="I46" s="118"/>
      <x:c r="J46" s="118"/>
      <x:c r="K46" s="118"/>
      <x:c r="L46" s="118"/>
      <x:c r="M46" s="130"/>
      <x:c r="N46" s="118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>
      <x:c r="A47" s="118"/>
      <x:c r="B47" s="130"/>
      <x:c r="C47" s="118"/>
      <x:c r="D47" s="118"/>
      <x:c r="E47" s="118"/>
      <x:c r="F47" s="118"/>
      <x:c r="G47" s="118"/>
      <x:c r="H47" s="118"/>
      <x:c r="I47" s="118"/>
      <x:c r="J47" s="118"/>
      <x:c r="K47" s="118"/>
      <x:c r="L47" s="118"/>
      <x:c r="M47" s="130"/>
      <x:c r="N47" s="118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>
      <x:c r="A48" s="118"/>
      <x:c r="B48" s="130"/>
      <x:c r="C48" s="118"/>
      <x:c r="D48" s="118"/>
      <x:c r="E48" s="118"/>
      <x:c r="F48" s="118"/>
      <x:c r="G48" s="118"/>
      <x:c r="H48" s="118"/>
      <x:c r="I48" s="118"/>
      <x:c r="J48" s="118"/>
      <x:c r="K48" s="118"/>
      <x:c r="L48" s="118"/>
      <x:c r="M48" s="130"/>
      <x:c r="N48" s="118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>
      <x:c r="A49" s="118"/>
      <x:c r="B49" s="130"/>
      <x:c r="C49" s="118"/>
      <x:c r="D49" s="118"/>
      <x:c r="E49" s="118"/>
      <x:c r="F49" s="118"/>
      <x:c r="G49" s="118"/>
      <x:c r="H49" s="118"/>
      <x:c r="I49" s="118"/>
      <x:c r="J49" s="118"/>
      <x:c r="K49" s="118"/>
      <x:c r="L49" s="118"/>
      <x:c r="M49" s="130"/>
      <x:c r="N49" s="118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>
      <x:c r="A50" s="118"/>
      <x:c r="B50" s="130"/>
      <x:c r="C50" s="118"/>
      <x:c r="D50" s="118"/>
      <x:c r="E50" s="118"/>
      <x:c r="F50" s="118"/>
      <x:c r="G50" s="118"/>
      <x:c r="H50" s="118"/>
      <x:c r="I50" s="118"/>
      <x:c r="J50" s="118"/>
      <x:c r="K50" s="118"/>
      <x:c r="L50" s="118"/>
      <x:c r="M50" s="130"/>
      <x:c r="N50" s="118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>
      <x:c r="A51" s="118"/>
      <x:c r="B51" s="130"/>
      <x:c r="C51" s="118"/>
      <x:c r="D51" s="118"/>
      <x:c r="E51" s="118"/>
      <x:c r="F51" s="118"/>
      <x:c r="G51" s="118"/>
      <x:c r="H51" s="118"/>
      <x:c r="I51" s="118"/>
      <x:c r="J51" s="118"/>
      <x:c r="K51" s="118"/>
      <x:c r="L51" s="118"/>
      <x:c r="M51" s="130"/>
      <x:c r="N51" s="118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>
      <x:c r="A52" s="118"/>
      <x:c r="B52" s="130"/>
      <x:c r="C52" s="118"/>
      <x:c r="D52" s="118"/>
      <x:c r="E52" s="118"/>
      <x:c r="F52" s="118"/>
      <x:c r="G52" s="118"/>
      <x:c r="H52" s="118"/>
      <x:c r="I52" s="118"/>
      <x:c r="J52" s="118"/>
      <x:c r="K52" s="118"/>
      <x:c r="L52" s="118"/>
      <x:c r="M52" s="130"/>
      <x:c r="N52" s="118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>
      <x:c r="A53" s="118"/>
      <x:c r="B53" s="130"/>
      <x:c r="C53" s="118"/>
      <x:c r="D53" s="118"/>
      <x:c r="E53" s="118"/>
      <x:c r="F53" s="118"/>
      <x:c r="G53" s="118"/>
      <x:c r="H53" s="118"/>
      <x:c r="I53" s="118"/>
      <x:c r="J53" s="118"/>
      <x:c r="K53" s="118"/>
      <x:c r="L53" s="118"/>
      <x:c r="M53" s="130"/>
      <x:c r="N53" s="118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>
      <x:c r="A54" s="118"/>
      <x:c r="B54" s="130"/>
      <x:c r="C54" s="118"/>
      <x:c r="D54" s="118"/>
      <x:c r="E54" s="118"/>
      <x:c r="F54" s="118"/>
      <x:c r="G54" s="118"/>
      <x:c r="H54" s="118"/>
      <x:c r="I54" s="118"/>
      <x:c r="J54" s="118"/>
      <x:c r="K54" s="118"/>
      <x:c r="L54" s="118"/>
      <x:c r="M54" s="130"/>
      <x:c r="N54" s="118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>
      <x:c r="A55" s="118"/>
      <x:c r="B55" s="130"/>
      <x:c r="C55" s="118"/>
      <x:c r="D55" s="118"/>
      <x:c r="E55" s="118"/>
      <x:c r="F55" s="118"/>
      <x:c r="G55" s="118"/>
      <x:c r="H55" s="118"/>
      <x:c r="I55" s="118"/>
      <x:c r="J55" s="118"/>
      <x:c r="K55" s="118"/>
      <x:c r="L55" s="118"/>
      <x:c r="M55" s="130"/>
      <x:c r="N55" s="118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>
      <x:c r="A56" s="118"/>
      <x:c r="B56" s="130"/>
      <x:c r="C56" s="118"/>
      <x:c r="D56" s="118"/>
      <x:c r="E56" s="118"/>
      <x:c r="F56" s="118"/>
      <x:c r="G56" s="118"/>
      <x:c r="H56" s="118"/>
      <x:c r="I56" s="118"/>
      <x:c r="J56" s="118"/>
      <x:c r="K56" s="118"/>
      <x:c r="L56" s="118"/>
      <x:c r="M56" s="130"/>
      <x:c r="N56" s="118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>
      <x:c r="A57" s="118"/>
      <x:c r="B57" s="130"/>
      <x:c r="C57" s="118"/>
      <x:c r="D57" s="118"/>
      <x:c r="E57" s="118"/>
      <x:c r="F57" s="118"/>
      <x:c r="G57" s="118"/>
      <x:c r="H57" s="118"/>
      <x:c r="I57" s="118"/>
      <x:c r="J57" s="118"/>
      <x:c r="K57" s="118"/>
      <x:c r="L57" s="118"/>
      <x:c r="M57" s="130"/>
      <x:c r="N57" s="118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>
      <x:c r="A58" s="118"/>
      <x:c r="B58" s="130"/>
      <x:c r="C58" s="118"/>
      <x:c r="D58" s="118"/>
      <x:c r="E58" s="118"/>
      <x:c r="F58" s="118"/>
      <x:c r="G58" s="118"/>
      <x:c r="H58" s="118"/>
      <x:c r="I58" s="118"/>
      <x:c r="J58" s="118"/>
      <x:c r="K58" s="118"/>
      <x:c r="L58" s="118"/>
      <x:c r="M58" s="130"/>
      <x:c r="N58" s="118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>
      <x:c r="A59" s="118"/>
      <x:c r="B59" s="130"/>
      <x:c r="C59" s="118"/>
      <x:c r="D59" s="118"/>
      <x:c r="E59" s="118"/>
      <x:c r="F59" s="118"/>
      <x:c r="G59" s="118"/>
      <x:c r="H59" s="118"/>
      <x:c r="I59" s="118"/>
      <x:c r="J59" s="118"/>
      <x:c r="K59" s="118"/>
      <x:c r="L59" s="118"/>
      <x:c r="M59" s="130"/>
      <x:c r="N59" s="118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>
      <x:c r="A60" s="118"/>
      <x:c r="B60" s="130"/>
      <x:c r="C60" s="118"/>
      <x:c r="D60" s="118"/>
      <x:c r="E60" s="118"/>
      <x:c r="F60" s="118"/>
      <x:c r="G60" s="118"/>
      <x:c r="H60" s="118"/>
      <x:c r="I60" s="118"/>
      <x:c r="J60" s="118"/>
      <x:c r="K60" s="118"/>
      <x:c r="L60" s="118"/>
      <x:c r="M60" s="130"/>
      <x:c r="N60" s="118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>
      <x:c r="A61" s="118"/>
      <x:c r="B61" s="130"/>
      <x:c r="C61" s="118"/>
      <x:c r="D61" s="118"/>
      <x:c r="E61" s="118"/>
      <x:c r="F61" s="118"/>
      <x:c r="G61" s="118"/>
      <x:c r="H61" s="118"/>
      <x:c r="I61" s="118"/>
      <x:c r="J61" s="118"/>
      <x:c r="K61" s="118"/>
      <x:c r="L61" s="118"/>
      <x:c r="M61" s="130"/>
      <x:c r="N61" s="118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>
      <x:c r="A62" s="118"/>
      <x:c r="B62" s="130"/>
      <x:c r="C62" s="118"/>
      <x:c r="D62" s="118"/>
      <x:c r="E62" s="118"/>
      <x:c r="F62" s="118"/>
      <x:c r="G62" s="118"/>
      <x:c r="H62" s="118"/>
      <x:c r="I62" s="118"/>
      <x:c r="J62" s="118"/>
      <x:c r="K62" s="118"/>
      <x:c r="L62" s="118"/>
      <x:c r="M62" s="130"/>
      <x:c r="N62" s="118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>
      <x:c r="A63" s="118"/>
      <x:c r="B63" s="130"/>
      <x:c r="C63" s="118"/>
      <x:c r="D63" s="118"/>
      <x:c r="E63" s="118"/>
      <x:c r="F63" s="118"/>
      <x:c r="G63" s="118"/>
      <x:c r="H63" s="118"/>
      <x:c r="I63" s="118"/>
      <x:c r="J63" s="118"/>
      <x:c r="K63" s="118"/>
      <x:c r="L63" s="118"/>
      <x:c r="M63" s="130"/>
      <x:c r="N63" s="118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>
      <x:c r="A64" s="118"/>
      <x:c r="B64" s="130"/>
      <x:c r="C64" s="118"/>
      <x:c r="D64" s="118"/>
      <x:c r="E64" s="118"/>
      <x:c r="F64" s="118"/>
      <x:c r="G64" s="118"/>
      <x:c r="H64" s="118"/>
      <x:c r="I64" s="118"/>
      <x:c r="J64" s="118"/>
      <x:c r="K64" s="118"/>
      <x:c r="L64" s="118"/>
      <x:c r="M64" s="130"/>
      <x:c r="N64" s="118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>
      <x:c r="A65" s="118"/>
      <x:c r="B65" s="130"/>
      <x:c r="C65" s="118"/>
      <x:c r="D65" s="118"/>
      <x:c r="E65" s="118"/>
      <x:c r="F65" s="118"/>
      <x:c r="G65" s="118"/>
      <x:c r="H65" s="118"/>
      <x:c r="I65" s="118"/>
      <x:c r="J65" s="118"/>
      <x:c r="K65" s="118"/>
      <x:c r="L65" s="118"/>
      <x:c r="M65" s="130"/>
      <x:c r="N65" s="118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>
      <x:c r="A91" s="177"/>
      <x:c r="B91" s="177"/>
      <x:c r="C91" s="177"/>
      <x:c r="D91" s="177"/>
      <x:c r="E91" s="177"/>
      <x:c r="F91" s="177"/>
      <x:c r="G91" s="177"/>
      <x:c r="H91" s="177"/>
      <x:c r="I91" s="177"/>
      <x:c r="J91" s="177"/>
      <x:c r="K91" s="177"/>
      <x:c r="L91" s="177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>
      <x:c r="A92" s="177"/>
      <x:c r="B92" s="177"/>
      <x:c r="C92" s="177"/>
      <x:c r="D92" s="177"/>
      <x:c r="E92" s="177"/>
      <x:c r="F92" s="177"/>
      <x:c r="G92" s="177"/>
      <x:c r="H92" s="177"/>
      <x:c r="I92" s="177"/>
      <x:c r="J92" s="177"/>
      <x:c r="K92" s="177"/>
      <x:c r="L92" s="177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>
      <x:c r="A93" s="177"/>
      <x:c r="B93" s="177"/>
      <x:c r="C93" s="177"/>
      <x:c r="D93" s="177"/>
      <x:c r="E93" s="177"/>
      <x:c r="F93" s="177"/>
      <x:c r="G93" s="177"/>
      <x:c r="H93" s="177"/>
      <x:c r="I93" s="177"/>
      <x:c r="J93" s="177"/>
      <x:c r="K93" s="177"/>
      <x:c r="L93" s="177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>
      <x:c r="A94" s="177"/>
      <x:c r="B94" s="177"/>
      <x:c r="C94" s="177"/>
      <x:c r="D94" s="177"/>
      <x:c r="E94" s="177"/>
      <x:c r="F94" s="177"/>
      <x:c r="G94" s="177"/>
      <x:c r="H94" s="177"/>
      <x:c r="I94" s="177"/>
      <x:c r="J94" s="177"/>
      <x:c r="K94" s="177"/>
      <x:c r="L94" s="177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>
      <x:c r="A95" s="177"/>
      <x:c r="B95" s="177"/>
      <x:c r="C95" s="177"/>
      <x:c r="D95" s="177"/>
      <x:c r="E95" s="177"/>
      <x:c r="F95" s="177"/>
      <x:c r="G95" s="177"/>
      <x:c r="H95" s="177"/>
      <x:c r="I95" s="177"/>
      <x:c r="J95" s="177"/>
      <x:c r="K95" s="177"/>
      <x:c r="L95" s="177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>
      <x:c r="A96" s="177"/>
      <x:c r="B96" s="177"/>
      <x:c r="C96" s="177"/>
      <x:c r="D96" s="177"/>
      <x:c r="E96" s="177"/>
      <x:c r="F96" s="177"/>
      <x:c r="G96" s="177"/>
      <x:c r="H96" s="177"/>
      <x:c r="I96" s="177"/>
      <x:c r="J96" s="177"/>
      <x:c r="K96" s="177"/>
      <x:c r="L96" s="177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>
      <x:c r="A97" s="177"/>
      <x:c r="B97" s="177"/>
      <x:c r="C97" s="177"/>
      <x:c r="D97" s="177"/>
      <x:c r="E97" s="177"/>
      <x:c r="F97" s="177"/>
      <x:c r="G97" s="177"/>
      <x:c r="H97" s="177"/>
      <x:c r="I97" s="177"/>
      <x:c r="J97" s="177"/>
      <x:c r="K97" s="177"/>
      <x:c r="L97" s="177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>
      <x:c r="A98" s="177"/>
      <x:c r="B98" s="177"/>
      <x:c r="C98" s="177"/>
      <x:c r="D98" s="177"/>
      <x:c r="E98" s="177"/>
      <x:c r="F98" s="177"/>
      <x:c r="G98" s="177"/>
      <x:c r="H98" s="177"/>
      <x:c r="I98" s="177"/>
      <x:c r="J98" s="177"/>
      <x:c r="K98" s="177"/>
      <x:c r="L98" s="177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>
      <x:c r="A99" s="177"/>
      <x:c r="B99" s="177"/>
      <x:c r="C99" s="177"/>
      <x:c r="D99" s="177"/>
      <x:c r="E99" s="177"/>
      <x:c r="F99" s="177"/>
      <x:c r="G99" s="177"/>
      <x:c r="H99" s="177"/>
      <x:c r="I99" s="177"/>
      <x:c r="J99" s="177"/>
      <x:c r="K99" s="177"/>
      <x:c r="L99" s="177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>
      <x:c r="A100" s="177"/>
      <x:c r="B100" s="177"/>
      <x:c r="C100" s="177"/>
      <x:c r="D100" s="177"/>
      <x:c r="E100" s="177"/>
      <x:c r="F100" s="177"/>
      <x:c r="G100" s="177"/>
      <x:c r="H100" s="177"/>
      <x:c r="I100" s="177"/>
      <x:c r="J100" s="177"/>
      <x:c r="K100" s="177"/>
      <x:c r="L100" s="177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>
      <x:c r="A101" s="177"/>
      <x:c r="B101" s="177"/>
      <x:c r="C101" s="177"/>
      <x:c r="D101" s="177"/>
      <x:c r="E101" s="177"/>
      <x:c r="F101" s="177"/>
      <x:c r="G101" s="177"/>
      <x:c r="H101" s="177"/>
      <x:c r="I101" s="177"/>
      <x:c r="J101" s="177"/>
      <x:c r="K101" s="177"/>
      <x:c r="L101" s="177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>
      <x:c r="A102" s="177"/>
      <x:c r="B102" s="177"/>
      <x:c r="C102" s="177"/>
      <x:c r="D102" s="177"/>
      <x:c r="E102" s="177"/>
      <x:c r="F102" s="177"/>
      <x:c r="G102" s="177"/>
      <x:c r="H102" s="177"/>
      <x:c r="I102" s="177"/>
      <x:c r="J102" s="177"/>
      <x:c r="K102" s="177"/>
      <x:c r="L102" s="177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>
      <x:c r="A103" s="177"/>
      <x:c r="B103" s="177"/>
      <x:c r="C103" s="177"/>
      <x:c r="D103" s="177"/>
      <x:c r="E103" s="177"/>
      <x:c r="F103" s="177"/>
      <x:c r="G103" s="177"/>
      <x:c r="H103" s="177"/>
      <x:c r="I103" s="177"/>
      <x:c r="J103" s="177"/>
      <x:c r="K103" s="177"/>
      <x:c r="L103" s="177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>
      <x:c r="A104" s="177"/>
      <x:c r="B104" s="177"/>
      <x:c r="C104" s="177"/>
      <x:c r="D104" s="177"/>
      <x:c r="E104" s="177"/>
      <x:c r="F104" s="177"/>
      <x:c r="G104" s="177"/>
      <x:c r="H104" s="177"/>
      <x:c r="I104" s="177"/>
      <x:c r="J104" s="177"/>
      <x:c r="K104" s="177"/>
      <x:c r="L104" s="177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>
      <x:c r="A105" s="177"/>
      <x:c r="B105" s="177"/>
      <x:c r="C105" s="177"/>
      <x:c r="D105" s="177"/>
      <x:c r="E105" s="177"/>
      <x:c r="F105" s="177"/>
      <x:c r="G105" s="177"/>
      <x:c r="H105" s="177"/>
      <x:c r="I105" s="177"/>
      <x:c r="J105" s="177"/>
      <x:c r="K105" s="177"/>
      <x:c r="L105" s="177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>
      <x:c r="A106" s="177"/>
      <x:c r="B106" s="177"/>
      <x:c r="C106" s="177"/>
      <x:c r="D106" s="177"/>
      <x:c r="E106" s="177"/>
      <x:c r="F106" s="177"/>
      <x:c r="G106" s="177"/>
      <x:c r="H106" s="177"/>
      <x:c r="I106" s="177"/>
      <x:c r="J106" s="177"/>
      <x:c r="K106" s="177"/>
      <x:c r="L106" s="177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>
      <x:c r="A107" s="177"/>
      <x:c r="B107" s="177"/>
      <x:c r="C107" s="177"/>
      <x:c r="D107" s="177"/>
      <x:c r="E107" s="177"/>
      <x:c r="F107" s="177"/>
      <x:c r="G107" s="177"/>
      <x:c r="H107" s="177"/>
      <x:c r="I107" s="177"/>
      <x:c r="J107" s="177"/>
      <x:c r="K107" s="177"/>
      <x:c r="L107" s="177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>
      <x:c r="A108" s="177"/>
      <x:c r="B108" s="177"/>
      <x:c r="C108" s="177"/>
      <x:c r="D108" s="177"/>
      <x:c r="E108" s="177"/>
      <x:c r="F108" s="177"/>
      <x:c r="G108" s="177"/>
      <x:c r="H108" s="177"/>
      <x:c r="I108" s="177"/>
      <x:c r="J108" s="177"/>
      <x:c r="K108" s="177"/>
      <x:c r="L108" s="177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>
      <x:c r="A109" s="177"/>
      <x:c r="B109" s="177"/>
      <x:c r="C109" s="177"/>
      <x:c r="D109" s="177"/>
      <x:c r="E109" s="177"/>
      <x:c r="F109" s="177"/>
      <x:c r="G109" s="177"/>
      <x:c r="H109" s="177"/>
      <x:c r="I109" s="177"/>
      <x:c r="J109" s="177"/>
      <x:c r="K109" s="177"/>
      <x:c r="L109" s="177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>
      <x:c r="A110" s="177"/>
      <x:c r="B110" s="177"/>
      <x:c r="C110" s="177"/>
      <x:c r="D110" s="177"/>
      <x:c r="E110" s="177"/>
      <x:c r="F110" s="177"/>
      <x:c r="G110" s="177"/>
      <x:c r="H110" s="177"/>
      <x:c r="I110" s="177"/>
      <x:c r="J110" s="177"/>
      <x:c r="K110" s="177"/>
      <x:c r="L110" s="177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>
      <x:c r="A111" s="177"/>
      <x:c r="B111" s="177"/>
      <x:c r="C111" s="177"/>
      <x:c r="D111" s="177"/>
      <x:c r="E111" s="177"/>
      <x:c r="F111" s="177"/>
      <x:c r="G111" s="177"/>
      <x:c r="H111" s="177"/>
      <x:c r="I111" s="177"/>
      <x:c r="J111" s="177"/>
      <x:c r="K111" s="177"/>
      <x:c r="L111" s="177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>
      <x:c r="A112" s="177"/>
      <x:c r="B112" s="177"/>
      <x:c r="C112" s="177"/>
      <x:c r="D112" s="177"/>
      <x:c r="E112" s="177"/>
      <x:c r="F112" s="177"/>
      <x:c r="G112" s="177"/>
      <x:c r="H112" s="177"/>
      <x:c r="I112" s="177"/>
      <x:c r="J112" s="177"/>
      <x:c r="K112" s="177"/>
      <x:c r="L112" s="177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>
      <x:c r="A113" s="177"/>
      <x:c r="B113" s="177"/>
      <x:c r="C113" s="177"/>
      <x:c r="D113" s="177"/>
      <x:c r="E113" s="177"/>
      <x:c r="F113" s="177"/>
      <x:c r="G113" s="177"/>
      <x:c r="H113" s="177"/>
      <x:c r="I113" s="177"/>
      <x:c r="J113" s="177"/>
      <x:c r="K113" s="177"/>
      <x:c r="L113" s="177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>
      <x:c r="A114" s="177"/>
      <x:c r="B114" s="177"/>
      <x:c r="C114" s="177"/>
      <x:c r="D114" s="177"/>
      <x:c r="E114" s="177"/>
      <x:c r="F114" s="177"/>
      <x:c r="G114" s="177"/>
      <x:c r="H114" s="177"/>
      <x:c r="I114" s="177"/>
      <x:c r="J114" s="177"/>
      <x:c r="K114" s="177"/>
      <x:c r="L114" s="177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>
      <x:c r="A115" s="177"/>
      <x:c r="B115" s="177"/>
      <x:c r="C115" s="177"/>
      <x:c r="D115" s="177"/>
      <x:c r="E115" s="177"/>
      <x:c r="F115" s="177"/>
      <x:c r="G115" s="177"/>
      <x:c r="H115" s="177"/>
      <x:c r="I115" s="177"/>
      <x:c r="J115" s="177"/>
      <x:c r="K115" s="177"/>
      <x:c r="L115" s="177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>
      <x:c r="A116" s="177"/>
      <x:c r="B116" s="177"/>
      <x:c r="C116" s="177"/>
      <x:c r="D116" s="177"/>
      <x:c r="E116" s="177"/>
      <x:c r="F116" s="177"/>
      <x:c r="G116" s="177"/>
      <x:c r="H116" s="177"/>
      <x:c r="I116" s="177"/>
      <x:c r="J116" s="177"/>
      <x:c r="K116" s="177"/>
      <x:c r="L116" s="177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>
      <x:c r="A117" s="177"/>
      <x:c r="B117" s="177"/>
      <x:c r="C117" s="177"/>
      <x:c r="D117" s="177"/>
      <x:c r="E117" s="177"/>
      <x:c r="F117" s="177"/>
      <x:c r="G117" s="177"/>
      <x:c r="H117" s="177"/>
      <x:c r="I117" s="177"/>
      <x:c r="J117" s="177"/>
      <x:c r="K117" s="177"/>
      <x:c r="L117" s="177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>
      <x:c r="A118" s="177"/>
      <x:c r="B118" s="177"/>
      <x:c r="C118" s="177"/>
      <x:c r="D118" s="177"/>
      <x:c r="E118" s="177"/>
      <x:c r="F118" s="177"/>
      <x:c r="G118" s="177"/>
      <x:c r="H118" s="177"/>
      <x:c r="I118" s="177"/>
      <x:c r="J118" s="177"/>
      <x:c r="K118" s="177"/>
      <x:c r="L118" s="177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>
      <x:c r="A119" s="177"/>
      <x:c r="B119" s="177"/>
      <x:c r="C119" s="177"/>
      <x:c r="D119" s="177"/>
      <x:c r="E119" s="177"/>
      <x:c r="F119" s="177"/>
      <x:c r="G119" s="177"/>
      <x:c r="H119" s="177"/>
      <x:c r="I119" s="177"/>
      <x:c r="J119" s="177"/>
      <x:c r="K119" s="177"/>
      <x:c r="L119" s="177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>
      <x:c r="A120" s="177"/>
      <x:c r="B120" s="177"/>
      <x:c r="C120" s="177"/>
      <x:c r="D120" s="177"/>
      <x:c r="E120" s="177"/>
      <x:c r="F120" s="177"/>
      <x:c r="G120" s="177"/>
      <x:c r="H120" s="177"/>
      <x:c r="I120" s="177"/>
      <x:c r="J120" s="177"/>
      <x:c r="K120" s="177"/>
      <x:c r="L120" s="177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</x:sheetData>
  <x:mergeCells>
    <x:mergeCell ref="A1:N2"/>
    <x:mergeCell ref="A3:N3"/>
  </x:mergeCells>
  <x:dataValidations count="4">
    <x:dataValidation type="list" sqref="E6:E65">
      <x:formula1>'07 Catálogos'!$B$2:$B$10</x:formula1>
    </x:dataValidation>
    <x:dataValidation type="list" sqref="F6:F65">
      <x:formula1>'07 Catálogos'!$E$2:$E$6</x:formula1>
    </x:dataValidation>
    <x:dataValidation type="list" sqref="G6:G65">
      <x:formula1>'07 Catálogos'!$G$2:$G$9</x:formula1>
    </x:dataValidation>
    <x:dataValidation type="list" sqref="L6:L65">
      <x:formula1>"Activo,Cliente,Inactivo,No califica"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1bbbbf23574b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26" hidden="0" customWidth="1"/>
    <x:col min="5" max="5" width="20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3" hidden="0" customWidth="1"/>
    <x:col min="13" max="13" width="14" hidden="0" customWidth="1"/>
    <x:col min="14" max="14" width="16" hidden="0" customWidth="1"/>
    <x:col min="15" max="15" width="34" hidden="0" customWidth="1"/>
    <x:col min="16" max="16" width="20" hidden="0" customWidth="1"/>
    <x:col min="17" max="17" width="34" hidden="0" customWidth="1"/>
  </x:cols>
  <x:sheetData>
    <x:row r="1">
      <x:c r="A1" s="125" t="str">
        <x:v>Pipeline de Ventas · Registro operativo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  <x:c r="M1" s="125"/>
      <x:c r="N1" s="125"/>
      <x:c r="O1" s="125"/>
      <x:c r="P1" s="125"/>
      <x:c r="Q1" s="125"/>
      <x:c r="R1" s="177"/>
      <x:c r="S1" s="177"/>
      <x:c r="T1" s="177"/>
      <x:c r="U1" s="177"/>
      <x:c r="V1" s="177"/>
      <x:c r="W1" s="177"/>
      <x:c r="X1" s="177"/>
      <x:c r="Y1" s="177"/>
      <x:c r="Z1" s="177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  <x:c r="M2" s="125"/>
      <x:c r="N2" s="125"/>
      <x:c r="O2" s="125"/>
      <x:c r="P2" s="125"/>
      <x:c r="Q2" s="125"/>
      <x:c r="R2" s="177"/>
      <x:c r="S2" s="177"/>
      <x:c r="T2" s="177"/>
      <x:c r="U2" s="177"/>
      <x:c r="V2" s="177"/>
      <x:c r="W2" s="177"/>
      <x:c r="X2" s="177"/>
      <x:c r="Y2" s="177"/>
      <x:c r="Z2" s="177"/>
    </x:row>
    <x:row r="3">
      <x:c r="A3" s="39" t="str">
        <x:v>Registra cada oportunidad comercial. Las columnas grises son automáticas; evita modificarlas para conservar el cálculo del forecast.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177"/>
      <x:c r="S3" s="177"/>
      <x:c r="T3" s="177"/>
      <x:c r="U3" s="177"/>
      <x:c r="V3" s="177"/>
      <x:c r="W3" s="177"/>
      <x:c r="X3" s="177"/>
      <x:c r="Y3" s="177"/>
      <x:c r="Z3" s="177"/>
    </x:row>
    <x:row r="4">
      <x:c r="A4" s="176"/>
      <x:c r="B4" s="176"/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6"/>
      <x:c r="N4" s="176"/>
      <x:c r="O4" s="176"/>
      <x:c r="P4" s="176"/>
      <x:c r="Q4" s="176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>
      <x:c r="A5" s="82" t="str">
        <x:v>Folio</x:v>
      </x:c>
      <x:c r="B5" s="82" t="str">
        <x:v>Fecha alta</x:v>
      </x:c>
      <x:c r="C5" s="82" t="str">
        <x:v>Prospecto</x:v>
      </x:c>
      <x:c r="D5" s="82" t="str">
        <x:v>Producto / Servicio</x:v>
      </x:c>
      <x:c r="E5" s="82" t="str">
        <x:v>Etapa</x:v>
      </x:c>
      <x:c r="F5" s="82" t="str">
        <x:v>Prob.</x:v>
      </x:c>
      <x:c r="G5" s="82" t="str">
        <x:v>Valor estimado</x:v>
      </x:c>
      <x:c r="H5" s="82" t="str">
        <x:v>Valor ponderado</x:v>
      </x:c>
      <x:c r="I5" s="82" t="str">
        <x:v>Cierre estimado</x:v>
      </x:c>
      <x:c r="J5" s="82" t="str">
        <x:v>Mes cierre</x:v>
      </x:c>
      <x:c r="K5" s="82" t="str">
        <x:v>Días restantes</x:v>
      </x:c>
      <x:c r="L5" s="82" t="str">
        <x:v>Prioridad</x:v>
      </x:c>
      <x:c r="M5" s="82" t="str">
        <x:v>Estatus</x:v>
      </x:c>
      <x:c r="N5" s="82" t="str">
        <x:v>Último contacto</x:v>
      </x:c>
      <x:c r="O5" s="82" t="str">
        <x:v>Próxima acción</x:v>
      </x:c>
      <x:c r="P5" s="82" t="str">
        <x:v>Responsable</x:v>
      </x:c>
      <x:c r="Q5" s="82" t="str">
        <x:v>Notas</x:v>
      </x:c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>
      <x:c r="A6" s="118" t="str">
        <x:v>O-001</x:v>
      </x:c>
      <x:c r="B6" s="130" t="n">
        <x:v>46145</x:v>
      </x:c>
      <x:c r="C6" s="118" t="str">
        <x:v>Clínica Dermatológica Aurea</x:v>
      </x:c>
      <x:c r="D6" s="118" t="str">
        <x:v>SaaS de agenda y pagos</x:v>
      </x:c>
      <x:c r="E6" s="118" t="str">
        <x:v>Propuesta enviada</x:v>
      </x:c>
      <x:c r="F6" s="136" t="n">
        <x:f>IF(E6="","",VLOOKUP(E6,'02 Config'!$B$17:$C$23,2,FALSE))</x:f>
        <x:v>0.55</x:v>
      </x:c>
      <x:c r="G6" s="138" t="n">
        <x:v>150000</x:v>
      </x:c>
      <x:c r="H6" s="139" t="n">
        <x:f>IF(OR(G6="",F6=""),"",G6*F6)</x:f>
        <x:v>82500</x:v>
      </x:c>
      <x:c r="I6" s="130" t="n">
        <x:v>46167</x:v>
      </x:c>
      <x:c r="J6" s="133" t="str">
        <x:f>IF(I6="","",TEXT(I6,"mmm"))</x:f>
        <x:v>May</x:v>
      </x:c>
      <x:c r="K6" s="142" t="n">
        <x:f>IF(I6="","",I6-TODAY())</x:f>
        <x:v>14</x:v>
      </x:c>
      <x:c r="L6" s="118" t="str">
        <x:v>Alta</x:v>
      </x:c>
      <x:c r="M6" s="118" t="str">
        <x:v>Abierto</x:v>
      </x:c>
      <x:c r="N6" s="130" t="n">
        <x:v>46154</x:v>
      </x:c>
      <x:c r="O6" s="118" t="str">
        <x:v>Enviar demo y caso de éxito</x:v>
      </x:c>
      <x:c r="P6" s="118" t="str">
        <x:v>Comercial 1</x:v>
      </x:c>
      <x:c r="Q6" s="118" t="str">
        <x:v>Oportunidad prioritaria para cierre del mes.</x:v>
      </x:c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>
      <x:c r="A7" s="118" t="str">
        <x:v>O-002</x:v>
      </x:c>
      <x:c r="B7" s="130" t="n">
        <x:v>46147</x:v>
      </x:c>
      <x:c r="C7" s="118" t="str">
        <x:v>GlobalVet México</x:v>
      </x:c>
      <x:c r="D7" s="118" t="str">
        <x:v>Plataforma de membresía</x:v>
      </x:c>
      <x:c r="E7" s="118" t="str">
        <x:v>Negociación</x:v>
      </x:c>
      <x:c r="F7" s="136" t="n">
        <x:f>IF(E7="","",VLOOKUP(E7,'02 Config'!$B$17:$C$23,2,FALSE))</x:f>
        <x:v>0.75</x:v>
      </x:c>
      <x:c r="G7" s="138" t="n">
        <x:v>95000</x:v>
      </x:c>
      <x:c r="H7" s="139" t="n">
        <x:f>IF(OR(G7="",F7=""),"",G7*F7)</x:f>
        <x:v>71250</x:v>
      </x:c>
      <x:c r="I7" s="130" t="n">
        <x:v>46183</x:v>
      </x:c>
      <x:c r="J7" s="133" t="str">
        <x:f>IF(I7="","",TEXT(I7,"mmm"))</x:f>
        <x:v>Jun</x:v>
      </x:c>
      <x:c r="K7" s="142" t="n">
        <x:f>IF(I7="","",I7-TODAY())</x:f>
        <x:v>30</x:v>
      </x:c>
      <x:c r="L7" s="118" t="str">
        <x:v>Alta</x:v>
      </x:c>
      <x:c r="M7" s="118" t="str">
        <x:v>Abierto</x:v>
      </x:c>
      <x:c r="N7" s="130" t="n">
        <x:v>46155</x:v>
      </x:c>
      <x:c r="O7" s="118" t="str">
        <x:v>Revisar alcance y forma de pago</x:v>
      </x:c>
      <x:c r="P7" s="118" t="str">
        <x:v>Dirección Comercial</x:v>
      </x:c>
      <x:c r="Q7" s="118" t="str">
        <x:v>Requiere propuesta por fases.</x:v>
      </x:c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>
      <x:c r="A8" s="118" t="str">
        <x:v>O-003</x:v>
      </x:c>
      <x:c r="B8" s="130" t="n">
        <x:v>46148</x:v>
      </x:c>
      <x:c r="C8" s="118" t="str">
        <x:v>Restaurante La Terraza</x:v>
      </x:c>
      <x:c r="D8" s="118" t="str">
        <x:v>Página web + CRM básico</x:v>
      </x:c>
      <x:c r="E8" s="118" t="str">
        <x:v>Contactado</x:v>
      </x:c>
      <x:c r="F8" s="136" t="n">
        <x:f>IF(E8="","",VLOOKUP(E8,'02 Config'!$B$17:$C$23,2,FALSE))</x:f>
        <x:v>0.2</x:v>
      </x:c>
      <x:c r="G8" s="138" t="n">
        <x:v>35000</x:v>
      </x:c>
      <x:c r="H8" s="139" t="n">
        <x:f>IF(OR(G8="",F8=""),"",G8*F8)</x:f>
        <x:v>7000</x:v>
      </x:c>
      <x:c r="I8" s="130" t="n">
        <x:v>46172</x:v>
      </x:c>
      <x:c r="J8" s="133" t="str">
        <x:f>IF(I8="","",TEXT(I8,"mmm"))</x:f>
        <x:v>May</x:v>
      </x:c>
      <x:c r="K8" s="142" t="n">
        <x:f>IF(I8="","",I8-TODAY())</x:f>
        <x:v>19</x:v>
      </x:c>
      <x:c r="L8" s="118" t="str">
        <x:v>Media</x:v>
      </x:c>
      <x:c r="M8" s="118" t="str">
        <x:v>Abierto</x:v>
      </x:c>
      <x:c r="N8" s="130" t="n">
        <x:v>46153</x:v>
      </x:c>
      <x:c r="O8" s="118" t="str">
        <x:v>Agendar llamada de diagnóstico</x:v>
      </x:c>
      <x:c r="P8" s="118" t="str">
        <x:v>Comercial 2</x:v>
      </x:c>
      <x:c r="Q8" s="118" t="str">
        <x:v>Necesita claridad de tiempos.</x:v>
      </x:c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>
      <x:c r="A9" s="118" t="str">
        <x:v>O-004</x:v>
      </x:c>
      <x:c r="B9" s="130" t="n">
        <x:v>46114</x:v>
      </x:c>
      <x:c r="C9" s="118" t="str">
        <x:v>Sinergia Agrícola</x:v>
      </x:c>
      <x:c r="D9" s="118" t="str">
        <x:v>Dashboard agrícola VIP</x:v>
      </x:c>
      <x:c r="E9" s="118" t="str">
        <x:v>Ganado</x:v>
      </x:c>
      <x:c r="F9" s="136" t="n">
        <x:f>IF(E9="","",VLOOKUP(E9,'02 Config'!$B$17:$C$23,2,FALSE))</x:f>
        <x:v>1</x:v>
      </x:c>
      <x:c r="G9" s="138" t="n">
        <x:v>180000</x:v>
      </x:c>
      <x:c r="H9" s="139" t="n">
        <x:f>IF(OR(G9="",F9=""),"",G9*F9)</x:f>
        <x:v>180000</x:v>
      </x:c>
      <x:c r="I9" s="130" t="n">
        <x:v>46132</x:v>
      </x:c>
      <x:c r="J9" s="133" t="str">
        <x:f>IF(I9="","",TEXT(I9,"mmm"))</x:f>
        <x:v>Apr</x:v>
      </x:c>
      <x:c r="K9" s="142" t="n">
        <x:f>IF(I9="","",I9-TODAY())</x:f>
        <x:v>-21</x:v>
      </x:c>
      <x:c r="L9" s="118" t="str">
        <x:v>Alta</x:v>
      </x:c>
      <x:c r="M9" s="118" t="str">
        <x:v>Ganado</x:v>
      </x:c>
      <x:c r="N9" s="130" t="n">
        <x:v>46132</x:v>
      </x:c>
      <x:c r="O9" s="118" t="str">
        <x:v>Implementación y seguimiento</x:v>
      </x:c>
      <x:c r="P9" s="118" t="str">
        <x:v>Dirección Comercial</x:v>
      </x:c>
      <x:c r="Q9" s="118" t="str">
        <x:v>Venta cerrada.</x:v>
      </x:c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>
      <x:c r="A10" s="118" t="str">
        <x:v>O-005</x:v>
      </x:c>
      <x:c r="B10" s="130" t="n">
        <x:v>46150</x:v>
      </x:c>
      <x:c r="C10" s="118" t="str">
        <x:v>Consultorio Fisioteck</x:v>
      </x:c>
      <x:c r="D10" s="118" t="str">
        <x:v>App citas y pagos</x:v>
      </x:c>
      <x:c r="E10" s="118" t="str">
        <x:v>Calificado</x:v>
      </x:c>
      <x:c r="F10" s="136" t="n">
        <x:f>IF(E10="","",VLOOKUP(E10,'02 Config'!$B$17:$C$23,2,FALSE))</x:f>
        <x:v>0.35</x:v>
      </x:c>
      <x:c r="G10" s="138" t="n">
        <x:v>65000</x:v>
      </x:c>
      <x:c r="H10" s="139" t="n">
        <x:f>IF(OR(G10="",F10=""),"",G10*F10)</x:f>
        <x:v>22750</x:v>
      </x:c>
      <x:c r="I10" s="130" t="n">
        <x:v>46218</x:v>
      </x:c>
      <x:c r="J10" s="133" t="str">
        <x:f>IF(I10="","",TEXT(I10,"mmm"))</x:f>
        <x:v>Jul</x:v>
      </x:c>
      <x:c r="K10" s="142" t="n">
        <x:f>IF(I10="","",I10-TODAY())</x:f>
        <x:v>65</x:v>
      </x:c>
      <x:c r="L10" s="118" t="str">
        <x:v>Media</x:v>
      </x:c>
      <x:c r="M10" s="118" t="str">
        <x:v>Abierto</x:v>
      </x:c>
      <x:c r="N10" s="130" t="n">
        <x:v>46155</x:v>
      </x:c>
      <x:c r="O10" s="118" t="str">
        <x:v>Preparar cotización modular</x:v>
      </x:c>
      <x:c r="P10" s="118" t="str">
        <x:v>Comercial 1</x:v>
      </x:c>
      <x:c r="Q10" s="118" t="str">
        <x:v>Validar presupuesto.</x:v>
      </x:c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>
      <x:c r="A11" s="118" t="str">
        <x:v>O-006</x:v>
      </x:c>
      <x:c r="B11" s="130" t="n">
        <x:v>46152</x:v>
      </x:c>
      <x:c r="C11" s="118" t="str">
        <x:v>Empresa Industrial Norte</x:v>
      </x:c>
      <x:c r="D11" s="118" t="str">
        <x:v>Sistema interno de inventario</x:v>
      </x:c>
      <x:c r="E11" s="118" t="str">
        <x:v>Nuevo lead</x:v>
      </x:c>
      <x:c r="F11" s="136" t="n">
        <x:f>IF(E11="","",VLOOKUP(E11,'02 Config'!$B$17:$C$23,2,FALSE))</x:f>
        <x:v>0.1</x:v>
      </x:c>
      <x:c r="G11" s="138" t="n">
        <x:v>120000</x:v>
      </x:c>
      <x:c r="H11" s="139" t="n">
        <x:f>IF(OR(G11="",F11=""),"",G11*F11)</x:f>
        <x:v>12000</x:v>
      </x:c>
      <x:c r="I11" s="130" t="n">
        <x:v>46239</x:v>
      </x:c>
      <x:c r="J11" s="133" t="str">
        <x:f>IF(I11="","",TEXT(I11,"mmm"))</x:f>
        <x:v>Aug</x:v>
      </x:c>
      <x:c r="K11" s="142" t="n">
        <x:f>IF(I11="","",I11-TODAY())</x:f>
        <x:v>86</x:v>
      </x:c>
      <x:c r="L11" s="118" t="str">
        <x:v>Baja</x:v>
      </x:c>
      <x:c r="M11" s="118" t="str">
        <x:v>Abierto</x:v>
      </x:c>
      <x:c r="N11" s="130" t="n">
        <x:v>46154</x:v>
      </x:c>
      <x:c r="O11" s="118" t="str">
        <x:v>Enviar presentación corporativa</x:v>
      </x:c>
      <x:c r="P11" s="118" t="str">
        <x:v>Comercial 2</x:v>
      </x:c>
      <x:c r="Q11" s="118" t="str">
        <x:v>Aún no está calificado.</x:v>
      </x:c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>
      <x:c r="A12" s="118" t="str">
        <x:v>O-007</x:v>
      </x:c>
      <x:c r="B12" s="130" t="n">
        <x:v>46089</x:v>
      </x:c>
      <x:c r="C12" s="118" t="str">
        <x:v>Odonteck</x:v>
      </x:c>
      <x:c r="D12" s="118" t="str">
        <x:v>Landing + automatización WhatsApp</x:v>
      </x:c>
      <x:c r="E12" s="118" t="str">
        <x:v>Perdido</x:v>
      </x:c>
      <x:c r="F12" s="136" t="n">
        <x:f>IF(E12="","",VLOOKUP(E12,'02 Config'!$B$17:$C$23,2,FALSE))</x:f>
        <x:v>0</x:v>
      </x:c>
      <x:c r="G12" s="138" t="n">
        <x:v>30000</x:v>
      </x:c>
      <x:c r="H12" s="139" t="str">
        <x:f>IF(OR(G12="",F12=""),"",G12*F12)</x:f>
      </x:c>
      <x:c r="I12" s="130" t="n">
        <x:v>46093</x:v>
      </x:c>
      <x:c r="J12" s="133" t="str">
        <x:f>IF(I12="","",TEXT(I12,"mmm"))</x:f>
        <x:v>Mar</x:v>
      </x:c>
      <x:c r="K12" s="142" t="n">
        <x:f>IF(I12="","",I12-TODAY())</x:f>
        <x:v>-60</x:v>
      </x:c>
      <x:c r="L12" s="118" t="str">
        <x:v>Media</x:v>
      </x:c>
      <x:c r="M12" s="118" t="str">
        <x:v>Perdido</x:v>
      </x:c>
      <x:c r="N12" s="130" t="n">
        <x:v>46093</x:v>
      </x:c>
      <x:c r="O12" s="118" t="str">
        <x:v>Registrar motivo de pérdida</x:v>
      </x:c>
      <x:c r="P12" s="118" t="str">
        <x:v>Comercial 1</x:v>
      </x:c>
      <x:c r="Q12" s="118" t="str">
        <x:v>Precio fuera de presupuesto.</x:v>
      </x:c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>
      <x:c r="A13" s="118"/>
      <x:c r="B13" s="130"/>
      <x:c r="C13" s="118"/>
      <x:c r="D13" s="118"/>
      <x:c r="E13" s="118"/>
      <x:c r="F13" s="136" t="str">
        <x:f>IF(E13="","",VLOOKUP(E13,'02 Config'!$B$17:$C$23,2,FALSE))</x:f>
      </x:c>
      <x:c r="G13" s="138"/>
      <x:c r="H13" s="139" t="str">
        <x:f>IF(OR(G13="",F13=""),"",G13*F13)</x:f>
      </x:c>
      <x:c r="I13" s="130"/>
      <x:c r="J13" s="133" t="str">
        <x:f>IF(I13="","",TEXT(I13,"mmm"))</x:f>
      </x:c>
      <x:c r="K13" s="142" t="str">
        <x:f>IF(I13="","",I13-TODAY())</x:f>
      </x:c>
      <x:c r="L13" s="118"/>
      <x:c r="M13" s="118"/>
      <x:c r="N13" s="130"/>
      <x:c r="O13" s="118"/>
      <x:c r="P13" s="118"/>
      <x:c r="Q13" s="118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>
      <x:c r="A14" s="118"/>
      <x:c r="B14" s="130"/>
      <x:c r="C14" s="118"/>
      <x:c r="D14" s="118"/>
      <x:c r="E14" s="118"/>
      <x:c r="F14" s="136" t="str">
        <x:f>IF(E14="","",VLOOKUP(E14,'02 Config'!$B$17:$C$23,2,FALSE))</x:f>
      </x:c>
      <x:c r="G14" s="138"/>
      <x:c r="H14" s="139" t="str">
        <x:f>IF(OR(G14="",F14=""),"",G14*F14)</x:f>
      </x:c>
      <x:c r="I14" s="130"/>
      <x:c r="J14" s="133" t="str">
        <x:f>IF(I14="","",TEXT(I14,"mmm"))</x:f>
      </x:c>
      <x:c r="K14" s="142" t="str">
        <x:f>IF(I14="","",I14-TODAY())</x:f>
      </x:c>
      <x:c r="L14" s="118"/>
      <x:c r="M14" s="118"/>
      <x:c r="N14" s="130"/>
      <x:c r="O14" s="118"/>
      <x:c r="P14" s="118"/>
      <x:c r="Q14" s="118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>
      <x:c r="A15" s="118"/>
      <x:c r="B15" s="130"/>
      <x:c r="C15" s="118"/>
      <x:c r="D15" s="118"/>
      <x:c r="E15" s="118"/>
      <x:c r="F15" s="136" t="str">
        <x:f>IF(E15="","",VLOOKUP(E15,'02 Config'!$B$17:$C$23,2,FALSE))</x:f>
      </x:c>
      <x:c r="G15" s="138"/>
      <x:c r="H15" s="139" t="str">
        <x:f>IF(OR(G15="",F15=""),"",G15*F15)</x:f>
      </x:c>
      <x:c r="I15" s="130"/>
      <x:c r="J15" s="133" t="str">
        <x:f>IF(I15="","",TEXT(I15,"mmm"))</x:f>
      </x:c>
      <x:c r="K15" s="142" t="str">
        <x:f>IF(I15="","",I15-TODAY())</x:f>
      </x:c>
      <x:c r="L15" s="118"/>
      <x:c r="M15" s="118"/>
      <x:c r="N15" s="130"/>
      <x:c r="O15" s="118"/>
      <x:c r="P15" s="118"/>
      <x:c r="Q15" s="118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>
      <x:c r="A16" s="118"/>
      <x:c r="B16" s="130"/>
      <x:c r="C16" s="118"/>
      <x:c r="D16" s="118"/>
      <x:c r="E16" s="118"/>
      <x:c r="F16" s="136" t="str">
        <x:f>IF(E16="","",VLOOKUP(E16,'02 Config'!$B$17:$C$23,2,FALSE))</x:f>
      </x:c>
      <x:c r="G16" s="138"/>
      <x:c r="H16" s="139" t="str">
        <x:f>IF(OR(G16="",F16=""),"",G16*F16)</x:f>
      </x:c>
      <x:c r="I16" s="130"/>
      <x:c r="J16" s="133" t="str">
        <x:f>IF(I16="","",TEXT(I16,"mmm"))</x:f>
      </x:c>
      <x:c r="K16" s="142" t="str">
        <x:f>IF(I16="","",I16-TODAY())</x:f>
      </x:c>
      <x:c r="L16" s="118"/>
      <x:c r="M16" s="118"/>
      <x:c r="N16" s="130"/>
      <x:c r="O16" s="118"/>
      <x:c r="P16" s="118"/>
      <x:c r="Q16" s="118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>
      <x:c r="A17" s="118"/>
      <x:c r="B17" s="130"/>
      <x:c r="C17" s="118"/>
      <x:c r="D17" s="118"/>
      <x:c r="E17" s="118"/>
      <x:c r="F17" s="136" t="str">
        <x:f>IF(E17="","",VLOOKUP(E17,'02 Config'!$B$17:$C$23,2,FALSE))</x:f>
      </x:c>
      <x:c r="G17" s="138"/>
      <x:c r="H17" s="139" t="str">
        <x:f>IF(OR(G17="",F17=""),"",G17*F17)</x:f>
      </x:c>
      <x:c r="I17" s="130"/>
      <x:c r="J17" s="133" t="str">
        <x:f>IF(I17="","",TEXT(I17,"mmm"))</x:f>
      </x:c>
      <x:c r="K17" s="142" t="str">
        <x:f>IF(I17="","",I17-TODAY())</x:f>
      </x:c>
      <x:c r="L17" s="118"/>
      <x:c r="M17" s="118"/>
      <x:c r="N17" s="130"/>
      <x:c r="O17" s="118"/>
      <x:c r="P17" s="118"/>
      <x:c r="Q17" s="118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>
      <x:c r="A18" s="118"/>
      <x:c r="B18" s="130"/>
      <x:c r="C18" s="118"/>
      <x:c r="D18" s="118"/>
      <x:c r="E18" s="118"/>
      <x:c r="F18" s="136" t="str">
        <x:f>IF(E18="","",VLOOKUP(E18,'02 Config'!$B$17:$C$23,2,FALSE))</x:f>
      </x:c>
      <x:c r="G18" s="138"/>
      <x:c r="H18" s="139" t="str">
        <x:f>IF(OR(G18="",F18=""),"",G18*F18)</x:f>
      </x:c>
      <x:c r="I18" s="130"/>
      <x:c r="J18" s="133" t="str">
        <x:f>IF(I18="","",TEXT(I18,"mmm"))</x:f>
      </x:c>
      <x:c r="K18" s="142" t="str">
        <x:f>IF(I18="","",I18-TODAY())</x:f>
      </x:c>
      <x:c r="L18" s="118"/>
      <x:c r="M18" s="118"/>
      <x:c r="N18" s="130"/>
      <x:c r="O18" s="118"/>
      <x:c r="P18" s="118"/>
      <x:c r="Q18" s="118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>
      <x:c r="A19" s="118"/>
      <x:c r="B19" s="130"/>
      <x:c r="C19" s="118"/>
      <x:c r="D19" s="118"/>
      <x:c r="E19" s="118"/>
      <x:c r="F19" s="136" t="str">
        <x:f>IF(E19="","",VLOOKUP(E19,'02 Config'!$B$17:$C$23,2,FALSE))</x:f>
      </x:c>
      <x:c r="G19" s="138"/>
      <x:c r="H19" s="139" t="str">
        <x:f>IF(OR(G19="",F19=""),"",G19*F19)</x:f>
      </x:c>
      <x:c r="I19" s="130"/>
      <x:c r="J19" s="133" t="str">
        <x:f>IF(I19="","",TEXT(I19,"mmm"))</x:f>
      </x:c>
      <x:c r="K19" s="142" t="str">
        <x:f>IF(I19="","",I19-TODAY())</x:f>
      </x:c>
      <x:c r="L19" s="118"/>
      <x:c r="M19" s="118"/>
      <x:c r="N19" s="130"/>
      <x:c r="O19" s="118"/>
      <x:c r="P19" s="118"/>
      <x:c r="Q19" s="118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>
      <x:c r="A20" s="118"/>
      <x:c r="B20" s="130"/>
      <x:c r="C20" s="118"/>
      <x:c r="D20" s="118"/>
      <x:c r="E20" s="118"/>
      <x:c r="F20" s="136" t="str">
        <x:f>IF(E20="","",VLOOKUP(E20,'02 Config'!$B$17:$C$23,2,FALSE))</x:f>
      </x:c>
      <x:c r="G20" s="138"/>
      <x:c r="H20" s="139" t="str">
        <x:f>IF(OR(G20="",F20=""),"",G20*F20)</x:f>
      </x:c>
      <x:c r="I20" s="130"/>
      <x:c r="J20" s="133" t="str">
        <x:f>IF(I20="","",TEXT(I20,"mmm"))</x:f>
      </x:c>
      <x:c r="K20" s="142" t="str">
        <x:f>IF(I20="","",I20-TODAY())</x:f>
      </x:c>
      <x:c r="L20" s="118"/>
      <x:c r="M20" s="118"/>
      <x:c r="N20" s="130"/>
      <x:c r="O20" s="118"/>
      <x:c r="P20" s="118"/>
      <x:c r="Q20" s="118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>
      <x:c r="A21" s="118"/>
      <x:c r="B21" s="130"/>
      <x:c r="C21" s="118"/>
      <x:c r="D21" s="118"/>
      <x:c r="E21" s="118"/>
      <x:c r="F21" s="136" t="str">
        <x:f>IF(E21="","",VLOOKUP(E21,'02 Config'!$B$17:$C$23,2,FALSE))</x:f>
      </x:c>
      <x:c r="G21" s="138"/>
      <x:c r="H21" s="139" t="str">
        <x:f>IF(OR(G21="",F21=""),"",G21*F21)</x:f>
      </x:c>
      <x:c r="I21" s="130"/>
      <x:c r="J21" s="133" t="str">
        <x:f>IF(I21="","",TEXT(I21,"mmm"))</x:f>
      </x:c>
      <x:c r="K21" s="142" t="str">
        <x:f>IF(I21="","",I21-TODAY())</x:f>
      </x:c>
      <x:c r="L21" s="118"/>
      <x:c r="M21" s="118"/>
      <x:c r="N21" s="130"/>
      <x:c r="O21" s="118"/>
      <x:c r="P21" s="118"/>
      <x:c r="Q21" s="118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>
      <x:c r="A22" s="118"/>
      <x:c r="B22" s="130"/>
      <x:c r="C22" s="118"/>
      <x:c r="D22" s="118"/>
      <x:c r="E22" s="118"/>
      <x:c r="F22" s="136" t="str">
        <x:f>IF(E22="","",VLOOKUP(E22,'02 Config'!$B$17:$C$23,2,FALSE))</x:f>
      </x:c>
      <x:c r="G22" s="138"/>
      <x:c r="H22" s="139" t="str">
        <x:f>IF(OR(G22="",F22=""),"",G22*F22)</x:f>
      </x:c>
      <x:c r="I22" s="130"/>
      <x:c r="J22" s="133" t="str">
        <x:f>IF(I22="","",TEXT(I22,"mmm"))</x:f>
      </x:c>
      <x:c r="K22" s="142" t="str">
        <x:f>IF(I22="","",I22-TODAY())</x:f>
      </x:c>
      <x:c r="L22" s="118"/>
      <x:c r="M22" s="118"/>
      <x:c r="N22" s="130"/>
      <x:c r="O22" s="118"/>
      <x:c r="P22" s="118"/>
      <x:c r="Q22" s="118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>
      <x:c r="A23" s="118"/>
      <x:c r="B23" s="130"/>
      <x:c r="C23" s="118"/>
      <x:c r="D23" s="118"/>
      <x:c r="E23" s="118"/>
      <x:c r="F23" s="136" t="str">
        <x:f>IF(E23="","",VLOOKUP(E23,'02 Config'!$B$17:$C$23,2,FALSE))</x:f>
      </x:c>
      <x:c r="G23" s="138"/>
      <x:c r="H23" s="139" t="str">
        <x:f>IF(OR(G23="",F23=""),"",G23*F23)</x:f>
      </x:c>
      <x:c r="I23" s="130"/>
      <x:c r="J23" s="133" t="str">
        <x:f>IF(I23="","",TEXT(I23,"mmm"))</x:f>
      </x:c>
      <x:c r="K23" s="142" t="str">
        <x:f>IF(I23="","",I23-TODAY())</x:f>
      </x:c>
      <x:c r="L23" s="118"/>
      <x:c r="M23" s="118"/>
      <x:c r="N23" s="130"/>
      <x:c r="O23" s="118"/>
      <x:c r="P23" s="118"/>
      <x:c r="Q23" s="118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>
      <x:c r="A24" s="118"/>
      <x:c r="B24" s="130"/>
      <x:c r="C24" s="118"/>
      <x:c r="D24" s="118"/>
      <x:c r="E24" s="118"/>
      <x:c r="F24" s="136" t="str">
        <x:f>IF(E24="","",VLOOKUP(E24,'02 Config'!$B$17:$C$23,2,FALSE))</x:f>
      </x:c>
      <x:c r="G24" s="138"/>
      <x:c r="H24" s="139" t="str">
        <x:f>IF(OR(G24="",F24=""),"",G24*F24)</x:f>
      </x:c>
      <x:c r="I24" s="130"/>
      <x:c r="J24" s="133" t="str">
        <x:f>IF(I24="","",TEXT(I24,"mmm"))</x:f>
      </x:c>
      <x:c r="K24" s="142" t="str">
        <x:f>IF(I24="","",I24-TODAY())</x:f>
      </x:c>
      <x:c r="L24" s="118"/>
      <x:c r="M24" s="118"/>
      <x:c r="N24" s="130"/>
      <x:c r="O24" s="118"/>
      <x:c r="P24" s="118"/>
      <x:c r="Q24" s="118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>
      <x:c r="A25" s="118"/>
      <x:c r="B25" s="130"/>
      <x:c r="C25" s="118"/>
      <x:c r="D25" s="118"/>
      <x:c r="E25" s="118"/>
      <x:c r="F25" s="136" t="str">
        <x:f>IF(E25="","",VLOOKUP(E25,'02 Config'!$B$17:$C$23,2,FALSE))</x:f>
      </x:c>
      <x:c r="G25" s="138"/>
      <x:c r="H25" s="139" t="str">
        <x:f>IF(OR(G25="",F25=""),"",G25*F25)</x:f>
      </x:c>
      <x:c r="I25" s="130"/>
      <x:c r="J25" s="133" t="str">
        <x:f>IF(I25="","",TEXT(I25,"mmm"))</x:f>
      </x:c>
      <x:c r="K25" s="142" t="str">
        <x:f>IF(I25="","",I25-TODAY())</x:f>
      </x:c>
      <x:c r="L25" s="118"/>
      <x:c r="M25" s="118"/>
      <x:c r="N25" s="130"/>
      <x:c r="O25" s="118"/>
      <x:c r="P25" s="118"/>
      <x:c r="Q25" s="118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>
      <x:c r="A26" s="118"/>
      <x:c r="B26" s="130"/>
      <x:c r="C26" s="118"/>
      <x:c r="D26" s="118"/>
      <x:c r="E26" s="118"/>
      <x:c r="F26" s="136" t="str">
        <x:f>IF(E26="","",VLOOKUP(E26,'02 Config'!$B$17:$C$23,2,FALSE))</x:f>
      </x:c>
      <x:c r="G26" s="138"/>
      <x:c r="H26" s="139" t="str">
        <x:f>IF(OR(G26="",F26=""),"",G26*F26)</x:f>
      </x:c>
      <x:c r="I26" s="130"/>
      <x:c r="J26" s="133" t="str">
        <x:f>IF(I26="","",TEXT(I26,"mmm"))</x:f>
      </x:c>
      <x:c r="K26" s="142" t="str">
        <x:f>IF(I26="","",I26-TODAY())</x:f>
      </x:c>
      <x:c r="L26" s="118"/>
      <x:c r="M26" s="118"/>
      <x:c r="N26" s="130"/>
      <x:c r="O26" s="118"/>
      <x:c r="P26" s="118"/>
      <x:c r="Q26" s="118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>
      <x:c r="A27" s="118"/>
      <x:c r="B27" s="130"/>
      <x:c r="C27" s="118"/>
      <x:c r="D27" s="118"/>
      <x:c r="E27" s="118"/>
      <x:c r="F27" s="136" t="str">
        <x:f>IF(E27="","",VLOOKUP(E27,'02 Config'!$B$17:$C$23,2,FALSE))</x:f>
      </x:c>
      <x:c r="G27" s="138"/>
      <x:c r="H27" s="139" t="str">
        <x:f>IF(OR(G27="",F27=""),"",G27*F27)</x:f>
      </x:c>
      <x:c r="I27" s="130"/>
      <x:c r="J27" s="133" t="str">
        <x:f>IF(I27="","",TEXT(I27,"mmm"))</x:f>
      </x:c>
      <x:c r="K27" s="142" t="str">
        <x:f>IF(I27="","",I27-TODAY())</x:f>
      </x:c>
      <x:c r="L27" s="118"/>
      <x:c r="M27" s="118"/>
      <x:c r="N27" s="130"/>
      <x:c r="O27" s="118"/>
      <x:c r="P27" s="118"/>
      <x:c r="Q27" s="118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>
      <x:c r="A28" s="118"/>
      <x:c r="B28" s="130"/>
      <x:c r="C28" s="118"/>
      <x:c r="D28" s="118"/>
      <x:c r="E28" s="118"/>
      <x:c r="F28" s="136" t="str">
        <x:f>IF(E28="","",VLOOKUP(E28,'02 Config'!$B$17:$C$23,2,FALSE))</x:f>
      </x:c>
      <x:c r="G28" s="138"/>
      <x:c r="H28" s="139" t="str">
        <x:f>IF(OR(G28="",F28=""),"",G28*F28)</x:f>
      </x:c>
      <x:c r="I28" s="130"/>
      <x:c r="J28" s="133" t="str">
        <x:f>IF(I28="","",TEXT(I28,"mmm"))</x:f>
      </x:c>
      <x:c r="K28" s="142" t="str">
        <x:f>IF(I28="","",I28-TODAY())</x:f>
      </x:c>
      <x:c r="L28" s="118"/>
      <x:c r="M28" s="118"/>
      <x:c r="N28" s="130"/>
      <x:c r="O28" s="118"/>
      <x:c r="P28" s="118"/>
      <x:c r="Q28" s="118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>
      <x:c r="A29" s="118"/>
      <x:c r="B29" s="130"/>
      <x:c r="C29" s="118"/>
      <x:c r="D29" s="118"/>
      <x:c r="E29" s="118"/>
      <x:c r="F29" s="136" t="str">
        <x:f>IF(E29="","",VLOOKUP(E29,'02 Config'!$B$17:$C$23,2,FALSE))</x:f>
      </x:c>
      <x:c r="G29" s="138"/>
      <x:c r="H29" s="139" t="str">
        <x:f>IF(OR(G29="",F29=""),"",G29*F29)</x:f>
      </x:c>
      <x:c r="I29" s="130"/>
      <x:c r="J29" s="133" t="str">
        <x:f>IF(I29="","",TEXT(I29,"mmm"))</x:f>
      </x:c>
      <x:c r="K29" s="142" t="str">
        <x:f>IF(I29="","",I29-TODAY())</x:f>
      </x:c>
      <x:c r="L29" s="118"/>
      <x:c r="M29" s="118"/>
      <x:c r="N29" s="130"/>
      <x:c r="O29" s="118"/>
      <x:c r="P29" s="118"/>
      <x:c r="Q29" s="118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>
      <x:c r="A30" s="118"/>
      <x:c r="B30" s="130"/>
      <x:c r="C30" s="118"/>
      <x:c r="D30" s="118"/>
      <x:c r="E30" s="118"/>
      <x:c r="F30" s="136" t="str">
        <x:f>IF(E30="","",VLOOKUP(E30,'02 Config'!$B$17:$C$23,2,FALSE))</x:f>
      </x:c>
      <x:c r="G30" s="138"/>
      <x:c r="H30" s="139" t="str">
        <x:f>IF(OR(G30="",F30=""),"",G30*F30)</x:f>
      </x:c>
      <x:c r="I30" s="130"/>
      <x:c r="J30" s="133" t="str">
        <x:f>IF(I30="","",TEXT(I30,"mmm"))</x:f>
      </x:c>
      <x:c r="K30" s="142" t="str">
        <x:f>IF(I30="","",I30-TODAY())</x:f>
      </x:c>
      <x:c r="L30" s="118"/>
      <x:c r="M30" s="118"/>
      <x:c r="N30" s="130"/>
      <x:c r="O30" s="118"/>
      <x:c r="P30" s="118"/>
      <x:c r="Q30" s="118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>
      <x:c r="A31" s="118"/>
      <x:c r="B31" s="130"/>
      <x:c r="C31" s="118"/>
      <x:c r="D31" s="118"/>
      <x:c r="E31" s="118"/>
      <x:c r="F31" s="136" t="str">
        <x:f>IF(E31="","",VLOOKUP(E31,'02 Config'!$B$17:$C$23,2,FALSE))</x:f>
      </x:c>
      <x:c r="G31" s="138"/>
      <x:c r="H31" s="139" t="str">
        <x:f>IF(OR(G31="",F31=""),"",G31*F31)</x:f>
      </x:c>
      <x:c r="I31" s="130"/>
      <x:c r="J31" s="133" t="str">
        <x:f>IF(I31="","",TEXT(I31,"mmm"))</x:f>
      </x:c>
      <x:c r="K31" s="142" t="str">
        <x:f>IF(I31="","",I31-TODAY())</x:f>
      </x:c>
      <x:c r="L31" s="118"/>
      <x:c r="M31" s="118"/>
      <x:c r="N31" s="130"/>
      <x:c r="O31" s="118"/>
      <x:c r="P31" s="118"/>
      <x:c r="Q31" s="118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>
      <x:c r="A32" s="118"/>
      <x:c r="B32" s="130"/>
      <x:c r="C32" s="118"/>
      <x:c r="D32" s="118"/>
      <x:c r="E32" s="118"/>
      <x:c r="F32" s="136" t="str">
        <x:f>IF(E32="","",VLOOKUP(E32,'02 Config'!$B$17:$C$23,2,FALSE))</x:f>
      </x:c>
      <x:c r="G32" s="138"/>
      <x:c r="H32" s="139" t="str">
        <x:f>IF(OR(G32="",F32=""),"",G32*F32)</x:f>
      </x:c>
      <x:c r="I32" s="130"/>
      <x:c r="J32" s="133" t="str">
        <x:f>IF(I32="","",TEXT(I32,"mmm"))</x:f>
      </x:c>
      <x:c r="K32" s="142" t="str">
        <x:f>IF(I32="","",I32-TODAY())</x:f>
      </x:c>
      <x:c r="L32" s="118"/>
      <x:c r="M32" s="118"/>
      <x:c r="N32" s="130"/>
      <x:c r="O32" s="118"/>
      <x:c r="P32" s="118"/>
      <x:c r="Q32" s="118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>
      <x:c r="A33" s="118"/>
      <x:c r="B33" s="130"/>
      <x:c r="C33" s="118"/>
      <x:c r="D33" s="118"/>
      <x:c r="E33" s="118"/>
      <x:c r="F33" s="136" t="str">
        <x:f>IF(E33="","",VLOOKUP(E33,'02 Config'!$B$17:$C$23,2,FALSE))</x:f>
      </x:c>
      <x:c r="G33" s="138"/>
      <x:c r="H33" s="139" t="str">
        <x:f>IF(OR(G33="",F33=""),"",G33*F33)</x:f>
      </x:c>
      <x:c r="I33" s="130"/>
      <x:c r="J33" s="133" t="str">
        <x:f>IF(I33="","",TEXT(I33,"mmm"))</x:f>
      </x:c>
      <x:c r="K33" s="142" t="str">
        <x:f>IF(I33="","",I33-TODAY())</x:f>
      </x:c>
      <x:c r="L33" s="118"/>
      <x:c r="M33" s="118"/>
      <x:c r="N33" s="130"/>
      <x:c r="O33" s="118"/>
      <x:c r="P33" s="118"/>
      <x:c r="Q33" s="118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>
      <x:c r="A34" s="118"/>
      <x:c r="B34" s="130"/>
      <x:c r="C34" s="118"/>
      <x:c r="D34" s="118"/>
      <x:c r="E34" s="118"/>
      <x:c r="F34" s="136" t="str">
        <x:f>IF(E34="","",VLOOKUP(E34,'02 Config'!$B$17:$C$23,2,FALSE))</x:f>
      </x:c>
      <x:c r="G34" s="138"/>
      <x:c r="H34" s="139" t="str">
        <x:f>IF(OR(G34="",F34=""),"",G34*F34)</x:f>
      </x:c>
      <x:c r="I34" s="130"/>
      <x:c r="J34" s="133" t="str">
        <x:f>IF(I34="","",TEXT(I34,"mmm"))</x:f>
      </x:c>
      <x:c r="K34" s="142" t="str">
        <x:f>IF(I34="","",I34-TODAY())</x:f>
      </x:c>
      <x:c r="L34" s="118"/>
      <x:c r="M34" s="118"/>
      <x:c r="N34" s="130"/>
      <x:c r="O34" s="118"/>
      <x:c r="P34" s="118"/>
      <x:c r="Q34" s="118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>
      <x:c r="A35" s="118"/>
      <x:c r="B35" s="130"/>
      <x:c r="C35" s="118"/>
      <x:c r="D35" s="118"/>
      <x:c r="E35" s="118"/>
      <x:c r="F35" s="136" t="str">
        <x:f>IF(E35="","",VLOOKUP(E35,'02 Config'!$B$17:$C$23,2,FALSE))</x:f>
      </x:c>
      <x:c r="G35" s="138"/>
      <x:c r="H35" s="139" t="str">
        <x:f>IF(OR(G35="",F35=""),"",G35*F35)</x:f>
      </x:c>
      <x:c r="I35" s="130"/>
      <x:c r="J35" s="133" t="str">
        <x:f>IF(I35="","",TEXT(I35,"mmm"))</x:f>
      </x:c>
      <x:c r="K35" s="142" t="str">
        <x:f>IF(I35="","",I35-TODAY())</x:f>
      </x:c>
      <x:c r="L35" s="118"/>
      <x:c r="M35" s="118"/>
      <x:c r="N35" s="130"/>
      <x:c r="O35" s="118"/>
      <x:c r="P35" s="118"/>
      <x:c r="Q35" s="118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>
      <x:c r="A36" s="118"/>
      <x:c r="B36" s="130"/>
      <x:c r="C36" s="118"/>
      <x:c r="D36" s="118"/>
      <x:c r="E36" s="118"/>
      <x:c r="F36" s="136" t="str">
        <x:f>IF(E36="","",VLOOKUP(E36,'02 Config'!$B$17:$C$23,2,FALSE))</x:f>
      </x:c>
      <x:c r="G36" s="138"/>
      <x:c r="H36" s="139" t="str">
        <x:f>IF(OR(G36="",F36=""),"",G36*F36)</x:f>
      </x:c>
      <x:c r="I36" s="130"/>
      <x:c r="J36" s="133" t="str">
        <x:f>IF(I36="","",TEXT(I36,"mmm"))</x:f>
      </x:c>
      <x:c r="K36" s="142" t="str">
        <x:f>IF(I36="","",I36-TODAY())</x:f>
      </x:c>
      <x:c r="L36" s="118"/>
      <x:c r="M36" s="118"/>
      <x:c r="N36" s="130"/>
      <x:c r="O36" s="118"/>
      <x:c r="P36" s="118"/>
      <x:c r="Q36" s="118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>
      <x:c r="A37" s="118"/>
      <x:c r="B37" s="130"/>
      <x:c r="C37" s="118"/>
      <x:c r="D37" s="118"/>
      <x:c r="E37" s="118"/>
      <x:c r="F37" s="136" t="str">
        <x:f>IF(E37="","",VLOOKUP(E37,'02 Config'!$B$17:$C$23,2,FALSE))</x:f>
      </x:c>
      <x:c r="G37" s="138"/>
      <x:c r="H37" s="139" t="str">
        <x:f>IF(OR(G37="",F37=""),"",G37*F37)</x:f>
      </x:c>
      <x:c r="I37" s="130"/>
      <x:c r="J37" s="133" t="str">
        <x:f>IF(I37="","",TEXT(I37,"mmm"))</x:f>
      </x:c>
      <x:c r="K37" s="142" t="str">
        <x:f>IF(I37="","",I37-TODAY())</x:f>
      </x:c>
      <x:c r="L37" s="118"/>
      <x:c r="M37" s="118"/>
      <x:c r="N37" s="130"/>
      <x:c r="O37" s="118"/>
      <x:c r="P37" s="118"/>
      <x:c r="Q37" s="118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>
      <x:c r="A38" s="118"/>
      <x:c r="B38" s="130"/>
      <x:c r="C38" s="118"/>
      <x:c r="D38" s="118"/>
      <x:c r="E38" s="118"/>
      <x:c r="F38" s="136" t="str">
        <x:f>IF(E38="","",VLOOKUP(E38,'02 Config'!$B$17:$C$23,2,FALSE))</x:f>
      </x:c>
      <x:c r="G38" s="138"/>
      <x:c r="H38" s="139" t="str">
        <x:f>IF(OR(G38="",F38=""),"",G38*F38)</x:f>
      </x:c>
      <x:c r="I38" s="130"/>
      <x:c r="J38" s="133" t="str">
        <x:f>IF(I38="","",TEXT(I38,"mmm"))</x:f>
      </x:c>
      <x:c r="K38" s="142" t="str">
        <x:f>IF(I38="","",I38-TODAY())</x:f>
      </x:c>
      <x:c r="L38" s="118"/>
      <x:c r="M38" s="118"/>
      <x:c r="N38" s="130"/>
      <x:c r="O38" s="118"/>
      <x:c r="P38" s="118"/>
      <x:c r="Q38" s="118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>
      <x:c r="A39" s="118"/>
      <x:c r="B39" s="130"/>
      <x:c r="C39" s="118"/>
      <x:c r="D39" s="118"/>
      <x:c r="E39" s="118"/>
      <x:c r="F39" s="136" t="str">
        <x:f>IF(E39="","",VLOOKUP(E39,'02 Config'!$B$17:$C$23,2,FALSE))</x:f>
      </x:c>
      <x:c r="G39" s="138"/>
      <x:c r="H39" s="139" t="str">
        <x:f>IF(OR(G39="",F39=""),"",G39*F39)</x:f>
      </x:c>
      <x:c r="I39" s="130"/>
      <x:c r="J39" s="133" t="str">
        <x:f>IF(I39="","",TEXT(I39,"mmm"))</x:f>
      </x:c>
      <x:c r="K39" s="142" t="str">
        <x:f>IF(I39="","",I39-TODAY())</x:f>
      </x:c>
      <x:c r="L39" s="118"/>
      <x:c r="M39" s="118"/>
      <x:c r="N39" s="130"/>
      <x:c r="O39" s="118"/>
      <x:c r="P39" s="118"/>
      <x:c r="Q39" s="118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>
      <x:c r="A40" s="118"/>
      <x:c r="B40" s="130"/>
      <x:c r="C40" s="118"/>
      <x:c r="D40" s="118"/>
      <x:c r="E40" s="118"/>
      <x:c r="F40" s="136" t="str">
        <x:f>IF(E40="","",VLOOKUP(E40,'02 Config'!$B$17:$C$23,2,FALSE))</x:f>
      </x:c>
      <x:c r="G40" s="138"/>
      <x:c r="H40" s="139" t="str">
        <x:f>IF(OR(G40="",F40=""),"",G40*F40)</x:f>
      </x:c>
      <x:c r="I40" s="130"/>
      <x:c r="J40" s="133" t="str">
        <x:f>IF(I40="","",TEXT(I40,"mmm"))</x:f>
      </x:c>
      <x:c r="K40" s="142" t="str">
        <x:f>IF(I40="","",I40-TODAY())</x:f>
      </x:c>
      <x:c r="L40" s="118"/>
      <x:c r="M40" s="118"/>
      <x:c r="N40" s="130"/>
      <x:c r="O40" s="118"/>
      <x:c r="P40" s="118"/>
      <x:c r="Q40" s="118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>
      <x:c r="A41" s="118"/>
      <x:c r="B41" s="130"/>
      <x:c r="C41" s="118"/>
      <x:c r="D41" s="118"/>
      <x:c r="E41" s="118"/>
      <x:c r="F41" s="136" t="str">
        <x:f>IF(E41="","",VLOOKUP(E41,'02 Config'!$B$17:$C$23,2,FALSE))</x:f>
      </x:c>
      <x:c r="G41" s="138"/>
      <x:c r="H41" s="139" t="str">
        <x:f>IF(OR(G41="",F41=""),"",G41*F41)</x:f>
      </x:c>
      <x:c r="I41" s="130"/>
      <x:c r="J41" s="133" t="str">
        <x:f>IF(I41="","",TEXT(I41,"mmm"))</x:f>
      </x:c>
      <x:c r="K41" s="142" t="str">
        <x:f>IF(I41="","",I41-TODAY())</x:f>
      </x:c>
      <x:c r="L41" s="118"/>
      <x:c r="M41" s="118"/>
      <x:c r="N41" s="130"/>
      <x:c r="O41" s="118"/>
      <x:c r="P41" s="118"/>
      <x:c r="Q41" s="118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>
      <x:c r="A42" s="118"/>
      <x:c r="B42" s="130"/>
      <x:c r="C42" s="118"/>
      <x:c r="D42" s="118"/>
      <x:c r="E42" s="118"/>
      <x:c r="F42" s="136" t="str">
        <x:f>IF(E42="","",VLOOKUP(E42,'02 Config'!$B$17:$C$23,2,FALSE))</x:f>
      </x:c>
      <x:c r="G42" s="138"/>
      <x:c r="H42" s="139" t="str">
        <x:f>IF(OR(G42="",F42=""),"",G42*F42)</x:f>
      </x:c>
      <x:c r="I42" s="130"/>
      <x:c r="J42" s="133" t="str">
        <x:f>IF(I42="","",TEXT(I42,"mmm"))</x:f>
      </x:c>
      <x:c r="K42" s="142" t="str">
        <x:f>IF(I42="","",I42-TODAY())</x:f>
      </x:c>
      <x:c r="L42" s="118"/>
      <x:c r="M42" s="118"/>
      <x:c r="N42" s="130"/>
      <x:c r="O42" s="118"/>
      <x:c r="P42" s="118"/>
      <x:c r="Q42" s="118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>
      <x:c r="A43" s="118"/>
      <x:c r="B43" s="130"/>
      <x:c r="C43" s="118"/>
      <x:c r="D43" s="118"/>
      <x:c r="E43" s="118"/>
      <x:c r="F43" s="136" t="str">
        <x:f>IF(E43="","",VLOOKUP(E43,'02 Config'!$B$17:$C$23,2,FALSE))</x:f>
      </x:c>
      <x:c r="G43" s="138"/>
      <x:c r="H43" s="139" t="str">
        <x:f>IF(OR(G43="",F43=""),"",G43*F43)</x:f>
      </x:c>
      <x:c r="I43" s="130"/>
      <x:c r="J43" s="133" t="str">
        <x:f>IF(I43="","",TEXT(I43,"mmm"))</x:f>
      </x:c>
      <x:c r="K43" s="142" t="str">
        <x:f>IF(I43="","",I43-TODAY())</x:f>
      </x:c>
      <x:c r="L43" s="118"/>
      <x:c r="M43" s="118"/>
      <x:c r="N43" s="130"/>
      <x:c r="O43" s="118"/>
      <x:c r="P43" s="118"/>
      <x:c r="Q43" s="118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>
      <x:c r="A44" s="118"/>
      <x:c r="B44" s="130"/>
      <x:c r="C44" s="118"/>
      <x:c r="D44" s="118"/>
      <x:c r="E44" s="118"/>
      <x:c r="F44" s="136" t="str">
        <x:f>IF(E44="","",VLOOKUP(E44,'02 Config'!$B$17:$C$23,2,FALSE))</x:f>
      </x:c>
      <x:c r="G44" s="138"/>
      <x:c r="H44" s="139" t="str">
        <x:f>IF(OR(G44="",F44=""),"",G44*F44)</x:f>
      </x:c>
      <x:c r="I44" s="130"/>
      <x:c r="J44" s="133" t="str">
        <x:f>IF(I44="","",TEXT(I44,"mmm"))</x:f>
      </x:c>
      <x:c r="K44" s="142" t="str">
        <x:f>IF(I44="","",I44-TODAY())</x:f>
      </x:c>
      <x:c r="L44" s="118"/>
      <x:c r="M44" s="118"/>
      <x:c r="N44" s="130"/>
      <x:c r="O44" s="118"/>
      <x:c r="P44" s="118"/>
      <x:c r="Q44" s="118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>
      <x:c r="A45" s="118"/>
      <x:c r="B45" s="130"/>
      <x:c r="C45" s="118"/>
      <x:c r="D45" s="118"/>
      <x:c r="E45" s="118"/>
      <x:c r="F45" s="136" t="str">
        <x:f>IF(E45="","",VLOOKUP(E45,'02 Config'!$B$17:$C$23,2,FALSE))</x:f>
      </x:c>
      <x:c r="G45" s="138"/>
      <x:c r="H45" s="139" t="str">
        <x:f>IF(OR(G45="",F45=""),"",G45*F45)</x:f>
      </x:c>
      <x:c r="I45" s="130"/>
      <x:c r="J45" s="133" t="str">
        <x:f>IF(I45="","",TEXT(I45,"mmm"))</x:f>
      </x:c>
      <x:c r="K45" s="142" t="str">
        <x:f>IF(I45="","",I45-TODAY())</x:f>
      </x:c>
      <x:c r="L45" s="118"/>
      <x:c r="M45" s="118"/>
      <x:c r="N45" s="130"/>
      <x:c r="O45" s="118"/>
      <x:c r="P45" s="118"/>
      <x:c r="Q45" s="118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>
      <x:c r="A46" s="118"/>
      <x:c r="B46" s="130"/>
      <x:c r="C46" s="118"/>
      <x:c r="D46" s="118"/>
      <x:c r="E46" s="118"/>
      <x:c r="F46" s="136" t="str">
        <x:f>IF(E46="","",VLOOKUP(E46,'02 Config'!$B$17:$C$23,2,FALSE))</x:f>
      </x:c>
      <x:c r="G46" s="138"/>
      <x:c r="H46" s="139" t="str">
        <x:f>IF(OR(G46="",F46=""),"",G46*F46)</x:f>
      </x:c>
      <x:c r="I46" s="130"/>
      <x:c r="J46" s="133" t="str">
        <x:f>IF(I46="","",TEXT(I46,"mmm"))</x:f>
      </x:c>
      <x:c r="K46" s="142" t="str">
        <x:f>IF(I46="","",I46-TODAY())</x:f>
      </x:c>
      <x:c r="L46" s="118"/>
      <x:c r="M46" s="118"/>
      <x:c r="N46" s="130"/>
      <x:c r="O46" s="118"/>
      <x:c r="P46" s="118"/>
      <x:c r="Q46" s="118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>
      <x:c r="A47" s="118"/>
      <x:c r="B47" s="130"/>
      <x:c r="C47" s="118"/>
      <x:c r="D47" s="118"/>
      <x:c r="E47" s="118"/>
      <x:c r="F47" s="136" t="str">
        <x:f>IF(E47="","",VLOOKUP(E47,'02 Config'!$B$17:$C$23,2,FALSE))</x:f>
      </x:c>
      <x:c r="G47" s="138"/>
      <x:c r="H47" s="139" t="str">
        <x:f>IF(OR(G47="",F47=""),"",G47*F47)</x:f>
      </x:c>
      <x:c r="I47" s="130"/>
      <x:c r="J47" s="133" t="str">
        <x:f>IF(I47="","",TEXT(I47,"mmm"))</x:f>
      </x:c>
      <x:c r="K47" s="142" t="str">
        <x:f>IF(I47="","",I47-TODAY())</x:f>
      </x:c>
      <x:c r="L47" s="118"/>
      <x:c r="M47" s="118"/>
      <x:c r="N47" s="130"/>
      <x:c r="O47" s="118"/>
      <x:c r="P47" s="118"/>
      <x:c r="Q47" s="118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>
      <x:c r="A48" s="118"/>
      <x:c r="B48" s="130"/>
      <x:c r="C48" s="118"/>
      <x:c r="D48" s="118"/>
      <x:c r="E48" s="118"/>
      <x:c r="F48" s="136" t="str">
        <x:f>IF(E48="","",VLOOKUP(E48,'02 Config'!$B$17:$C$23,2,FALSE))</x:f>
      </x:c>
      <x:c r="G48" s="138"/>
      <x:c r="H48" s="139" t="str">
        <x:f>IF(OR(G48="",F48=""),"",G48*F48)</x:f>
      </x:c>
      <x:c r="I48" s="130"/>
      <x:c r="J48" s="133" t="str">
        <x:f>IF(I48="","",TEXT(I48,"mmm"))</x:f>
      </x:c>
      <x:c r="K48" s="142" t="str">
        <x:f>IF(I48="","",I48-TODAY())</x:f>
      </x:c>
      <x:c r="L48" s="118"/>
      <x:c r="M48" s="118"/>
      <x:c r="N48" s="130"/>
      <x:c r="O48" s="118"/>
      <x:c r="P48" s="118"/>
      <x:c r="Q48" s="118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>
      <x:c r="A49" s="118"/>
      <x:c r="B49" s="130"/>
      <x:c r="C49" s="118"/>
      <x:c r="D49" s="118"/>
      <x:c r="E49" s="118"/>
      <x:c r="F49" s="136" t="str">
        <x:f>IF(E49="","",VLOOKUP(E49,'02 Config'!$B$17:$C$23,2,FALSE))</x:f>
      </x:c>
      <x:c r="G49" s="138"/>
      <x:c r="H49" s="139" t="str">
        <x:f>IF(OR(G49="",F49=""),"",G49*F49)</x:f>
      </x:c>
      <x:c r="I49" s="130"/>
      <x:c r="J49" s="133" t="str">
        <x:f>IF(I49="","",TEXT(I49,"mmm"))</x:f>
      </x:c>
      <x:c r="K49" s="142" t="str">
        <x:f>IF(I49="","",I49-TODAY())</x:f>
      </x:c>
      <x:c r="L49" s="118"/>
      <x:c r="M49" s="118"/>
      <x:c r="N49" s="130"/>
      <x:c r="O49" s="118"/>
      <x:c r="P49" s="118"/>
      <x:c r="Q49" s="118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>
      <x:c r="A50" s="118"/>
      <x:c r="B50" s="130"/>
      <x:c r="C50" s="118"/>
      <x:c r="D50" s="118"/>
      <x:c r="E50" s="118"/>
      <x:c r="F50" s="136" t="str">
        <x:f>IF(E50="","",VLOOKUP(E50,'02 Config'!$B$17:$C$23,2,FALSE))</x:f>
      </x:c>
      <x:c r="G50" s="138"/>
      <x:c r="H50" s="139" t="str">
        <x:f>IF(OR(G50="",F50=""),"",G50*F50)</x:f>
      </x:c>
      <x:c r="I50" s="130"/>
      <x:c r="J50" s="133" t="str">
        <x:f>IF(I50="","",TEXT(I50,"mmm"))</x:f>
      </x:c>
      <x:c r="K50" s="142" t="str">
        <x:f>IF(I50="","",I50-TODAY())</x:f>
      </x:c>
      <x:c r="L50" s="118"/>
      <x:c r="M50" s="118"/>
      <x:c r="N50" s="130"/>
      <x:c r="O50" s="118"/>
      <x:c r="P50" s="118"/>
      <x:c r="Q50" s="118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>
      <x:c r="A51" s="118"/>
      <x:c r="B51" s="130"/>
      <x:c r="C51" s="118"/>
      <x:c r="D51" s="118"/>
      <x:c r="E51" s="118"/>
      <x:c r="F51" s="136" t="str">
        <x:f>IF(E51="","",VLOOKUP(E51,'02 Config'!$B$17:$C$23,2,FALSE))</x:f>
      </x:c>
      <x:c r="G51" s="138"/>
      <x:c r="H51" s="139" t="str">
        <x:f>IF(OR(G51="",F51=""),"",G51*F51)</x:f>
      </x:c>
      <x:c r="I51" s="130"/>
      <x:c r="J51" s="133" t="str">
        <x:f>IF(I51="","",TEXT(I51,"mmm"))</x:f>
      </x:c>
      <x:c r="K51" s="142" t="str">
        <x:f>IF(I51="","",I51-TODAY())</x:f>
      </x:c>
      <x:c r="L51" s="118"/>
      <x:c r="M51" s="118"/>
      <x:c r="N51" s="130"/>
      <x:c r="O51" s="118"/>
      <x:c r="P51" s="118"/>
      <x:c r="Q51" s="118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>
      <x:c r="A52" s="118"/>
      <x:c r="B52" s="130"/>
      <x:c r="C52" s="118"/>
      <x:c r="D52" s="118"/>
      <x:c r="E52" s="118"/>
      <x:c r="F52" s="136" t="str">
        <x:f>IF(E52="","",VLOOKUP(E52,'02 Config'!$B$17:$C$23,2,FALSE))</x:f>
      </x:c>
      <x:c r="G52" s="138"/>
      <x:c r="H52" s="139" t="str">
        <x:f>IF(OR(G52="",F52=""),"",G52*F52)</x:f>
      </x:c>
      <x:c r="I52" s="130"/>
      <x:c r="J52" s="133" t="str">
        <x:f>IF(I52="","",TEXT(I52,"mmm"))</x:f>
      </x:c>
      <x:c r="K52" s="142" t="str">
        <x:f>IF(I52="","",I52-TODAY())</x:f>
      </x:c>
      <x:c r="L52" s="118"/>
      <x:c r="M52" s="118"/>
      <x:c r="N52" s="130"/>
      <x:c r="O52" s="118"/>
      <x:c r="P52" s="118"/>
      <x:c r="Q52" s="118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>
      <x:c r="A53" s="118"/>
      <x:c r="B53" s="130"/>
      <x:c r="C53" s="118"/>
      <x:c r="D53" s="118"/>
      <x:c r="E53" s="118"/>
      <x:c r="F53" s="136" t="str">
        <x:f>IF(E53="","",VLOOKUP(E53,'02 Config'!$B$17:$C$23,2,FALSE))</x:f>
      </x:c>
      <x:c r="G53" s="138"/>
      <x:c r="H53" s="139" t="str">
        <x:f>IF(OR(G53="",F53=""),"",G53*F53)</x:f>
      </x:c>
      <x:c r="I53" s="130"/>
      <x:c r="J53" s="133" t="str">
        <x:f>IF(I53="","",TEXT(I53,"mmm"))</x:f>
      </x:c>
      <x:c r="K53" s="142" t="str">
        <x:f>IF(I53="","",I53-TODAY())</x:f>
      </x:c>
      <x:c r="L53" s="118"/>
      <x:c r="M53" s="118"/>
      <x:c r="N53" s="130"/>
      <x:c r="O53" s="118"/>
      <x:c r="P53" s="118"/>
      <x:c r="Q53" s="118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>
      <x:c r="A54" s="118"/>
      <x:c r="B54" s="130"/>
      <x:c r="C54" s="118"/>
      <x:c r="D54" s="118"/>
      <x:c r="E54" s="118"/>
      <x:c r="F54" s="136" t="str">
        <x:f>IF(E54="","",VLOOKUP(E54,'02 Config'!$B$17:$C$23,2,FALSE))</x:f>
      </x:c>
      <x:c r="G54" s="138"/>
      <x:c r="H54" s="139" t="str">
        <x:f>IF(OR(G54="",F54=""),"",G54*F54)</x:f>
      </x:c>
      <x:c r="I54" s="130"/>
      <x:c r="J54" s="133" t="str">
        <x:f>IF(I54="","",TEXT(I54,"mmm"))</x:f>
      </x:c>
      <x:c r="K54" s="142" t="str">
        <x:f>IF(I54="","",I54-TODAY())</x:f>
      </x:c>
      <x:c r="L54" s="118"/>
      <x:c r="M54" s="118"/>
      <x:c r="N54" s="130"/>
      <x:c r="O54" s="118"/>
      <x:c r="P54" s="118"/>
      <x:c r="Q54" s="118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>
      <x:c r="A55" s="118"/>
      <x:c r="B55" s="130"/>
      <x:c r="C55" s="118"/>
      <x:c r="D55" s="118"/>
      <x:c r="E55" s="118"/>
      <x:c r="F55" s="136" t="str">
        <x:f>IF(E55="","",VLOOKUP(E55,'02 Config'!$B$17:$C$23,2,FALSE))</x:f>
      </x:c>
      <x:c r="G55" s="138"/>
      <x:c r="H55" s="139" t="str">
        <x:f>IF(OR(G55="",F55=""),"",G55*F55)</x:f>
      </x:c>
      <x:c r="I55" s="130"/>
      <x:c r="J55" s="133" t="str">
        <x:f>IF(I55="","",TEXT(I55,"mmm"))</x:f>
      </x:c>
      <x:c r="K55" s="142" t="str">
        <x:f>IF(I55="","",I55-TODAY())</x:f>
      </x:c>
      <x:c r="L55" s="118"/>
      <x:c r="M55" s="118"/>
      <x:c r="N55" s="130"/>
      <x:c r="O55" s="118"/>
      <x:c r="P55" s="118"/>
      <x:c r="Q55" s="118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>
      <x:c r="A56" s="118"/>
      <x:c r="B56" s="130"/>
      <x:c r="C56" s="118"/>
      <x:c r="D56" s="118"/>
      <x:c r="E56" s="118"/>
      <x:c r="F56" s="136" t="str">
        <x:f>IF(E56="","",VLOOKUP(E56,'02 Config'!$B$17:$C$23,2,FALSE))</x:f>
      </x:c>
      <x:c r="G56" s="138"/>
      <x:c r="H56" s="139" t="str">
        <x:f>IF(OR(G56="",F56=""),"",G56*F56)</x:f>
      </x:c>
      <x:c r="I56" s="130"/>
      <x:c r="J56" s="133" t="str">
        <x:f>IF(I56="","",TEXT(I56,"mmm"))</x:f>
      </x:c>
      <x:c r="K56" s="142" t="str">
        <x:f>IF(I56="","",I56-TODAY())</x:f>
      </x:c>
      <x:c r="L56" s="118"/>
      <x:c r="M56" s="118"/>
      <x:c r="N56" s="130"/>
      <x:c r="O56" s="118"/>
      <x:c r="P56" s="118"/>
      <x:c r="Q56" s="118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>
      <x:c r="A57" s="118"/>
      <x:c r="B57" s="130"/>
      <x:c r="C57" s="118"/>
      <x:c r="D57" s="118"/>
      <x:c r="E57" s="118"/>
      <x:c r="F57" s="136" t="str">
        <x:f>IF(E57="","",VLOOKUP(E57,'02 Config'!$B$17:$C$23,2,FALSE))</x:f>
      </x:c>
      <x:c r="G57" s="138"/>
      <x:c r="H57" s="139" t="str">
        <x:f>IF(OR(G57="",F57=""),"",G57*F57)</x:f>
      </x:c>
      <x:c r="I57" s="130"/>
      <x:c r="J57" s="133" t="str">
        <x:f>IF(I57="","",TEXT(I57,"mmm"))</x:f>
      </x:c>
      <x:c r="K57" s="142" t="str">
        <x:f>IF(I57="","",I57-TODAY())</x:f>
      </x:c>
      <x:c r="L57" s="118"/>
      <x:c r="M57" s="118"/>
      <x:c r="N57" s="130"/>
      <x:c r="O57" s="118"/>
      <x:c r="P57" s="118"/>
      <x:c r="Q57" s="118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>
      <x:c r="A58" s="118"/>
      <x:c r="B58" s="130"/>
      <x:c r="C58" s="118"/>
      <x:c r="D58" s="118"/>
      <x:c r="E58" s="118"/>
      <x:c r="F58" s="136" t="str">
        <x:f>IF(E58="","",VLOOKUP(E58,'02 Config'!$B$17:$C$23,2,FALSE))</x:f>
      </x:c>
      <x:c r="G58" s="138"/>
      <x:c r="H58" s="139" t="str">
        <x:f>IF(OR(G58="",F58=""),"",G58*F58)</x:f>
      </x:c>
      <x:c r="I58" s="130"/>
      <x:c r="J58" s="133" t="str">
        <x:f>IF(I58="","",TEXT(I58,"mmm"))</x:f>
      </x:c>
      <x:c r="K58" s="142" t="str">
        <x:f>IF(I58="","",I58-TODAY())</x:f>
      </x:c>
      <x:c r="L58" s="118"/>
      <x:c r="M58" s="118"/>
      <x:c r="N58" s="130"/>
      <x:c r="O58" s="118"/>
      <x:c r="P58" s="118"/>
      <x:c r="Q58" s="118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>
      <x:c r="A59" s="118"/>
      <x:c r="B59" s="130"/>
      <x:c r="C59" s="118"/>
      <x:c r="D59" s="118"/>
      <x:c r="E59" s="118"/>
      <x:c r="F59" s="136" t="str">
        <x:f>IF(E59="","",VLOOKUP(E59,'02 Config'!$B$17:$C$23,2,FALSE))</x:f>
      </x:c>
      <x:c r="G59" s="138"/>
      <x:c r="H59" s="139" t="str">
        <x:f>IF(OR(G59="",F59=""),"",G59*F59)</x:f>
      </x:c>
      <x:c r="I59" s="130"/>
      <x:c r="J59" s="133" t="str">
        <x:f>IF(I59="","",TEXT(I59,"mmm"))</x:f>
      </x:c>
      <x:c r="K59" s="142" t="str">
        <x:f>IF(I59="","",I59-TODAY())</x:f>
      </x:c>
      <x:c r="L59" s="118"/>
      <x:c r="M59" s="118"/>
      <x:c r="N59" s="130"/>
      <x:c r="O59" s="118"/>
      <x:c r="P59" s="118"/>
      <x:c r="Q59" s="118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>
      <x:c r="A60" s="118"/>
      <x:c r="B60" s="130"/>
      <x:c r="C60" s="118"/>
      <x:c r="D60" s="118"/>
      <x:c r="E60" s="118"/>
      <x:c r="F60" s="136" t="str">
        <x:f>IF(E60="","",VLOOKUP(E60,'02 Config'!$B$17:$C$23,2,FALSE))</x:f>
      </x:c>
      <x:c r="G60" s="138"/>
      <x:c r="H60" s="139" t="str">
        <x:f>IF(OR(G60="",F60=""),"",G60*F60)</x:f>
      </x:c>
      <x:c r="I60" s="130"/>
      <x:c r="J60" s="133" t="str">
        <x:f>IF(I60="","",TEXT(I60,"mmm"))</x:f>
      </x:c>
      <x:c r="K60" s="142" t="str">
        <x:f>IF(I60="","",I60-TODAY())</x:f>
      </x:c>
      <x:c r="L60" s="118"/>
      <x:c r="M60" s="118"/>
      <x:c r="N60" s="130"/>
      <x:c r="O60" s="118"/>
      <x:c r="P60" s="118"/>
      <x:c r="Q60" s="118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>
      <x:c r="A61" s="118"/>
      <x:c r="B61" s="130"/>
      <x:c r="C61" s="118"/>
      <x:c r="D61" s="118"/>
      <x:c r="E61" s="118"/>
      <x:c r="F61" s="136" t="str">
        <x:f>IF(E61="","",VLOOKUP(E61,'02 Config'!$B$17:$C$23,2,FALSE))</x:f>
      </x:c>
      <x:c r="G61" s="138"/>
      <x:c r="H61" s="139" t="str">
        <x:f>IF(OR(G61="",F61=""),"",G61*F61)</x:f>
      </x:c>
      <x:c r="I61" s="130"/>
      <x:c r="J61" s="133" t="str">
        <x:f>IF(I61="","",TEXT(I61,"mmm"))</x:f>
      </x:c>
      <x:c r="K61" s="142" t="str">
        <x:f>IF(I61="","",I61-TODAY())</x:f>
      </x:c>
      <x:c r="L61" s="118"/>
      <x:c r="M61" s="118"/>
      <x:c r="N61" s="130"/>
      <x:c r="O61" s="118"/>
      <x:c r="P61" s="118"/>
      <x:c r="Q61" s="118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>
      <x:c r="A62" s="118"/>
      <x:c r="B62" s="130"/>
      <x:c r="C62" s="118"/>
      <x:c r="D62" s="118"/>
      <x:c r="E62" s="118"/>
      <x:c r="F62" s="136" t="str">
        <x:f>IF(E62="","",VLOOKUP(E62,'02 Config'!$B$17:$C$23,2,FALSE))</x:f>
      </x:c>
      <x:c r="G62" s="138"/>
      <x:c r="H62" s="139" t="str">
        <x:f>IF(OR(G62="",F62=""),"",G62*F62)</x:f>
      </x:c>
      <x:c r="I62" s="130"/>
      <x:c r="J62" s="133" t="str">
        <x:f>IF(I62="","",TEXT(I62,"mmm"))</x:f>
      </x:c>
      <x:c r="K62" s="142" t="str">
        <x:f>IF(I62="","",I62-TODAY())</x:f>
      </x:c>
      <x:c r="L62" s="118"/>
      <x:c r="M62" s="118"/>
      <x:c r="N62" s="130"/>
      <x:c r="O62" s="118"/>
      <x:c r="P62" s="118"/>
      <x:c r="Q62" s="118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>
      <x:c r="A63" s="118"/>
      <x:c r="B63" s="130"/>
      <x:c r="C63" s="118"/>
      <x:c r="D63" s="118"/>
      <x:c r="E63" s="118"/>
      <x:c r="F63" s="136" t="str">
        <x:f>IF(E63="","",VLOOKUP(E63,'02 Config'!$B$17:$C$23,2,FALSE))</x:f>
      </x:c>
      <x:c r="G63" s="138"/>
      <x:c r="H63" s="139" t="str">
        <x:f>IF(OR(G63="",F63=""),"",G63*F63)</x:f>
      </x:c>
      <x:c r="I63" s="130"/>
      <x:c r="J63" s="133" t="str">
        <x:f>IF(I63="","",TEXT(I63,"mmm"))</x:f>
      </x:c>
      <x:c r="K63" s="142" t="str">
        <x:f>IF(I63="","",I63-TODAY())</x:f>
      </x:c>
      <x:c r="L63" s="118"/>
      <x:c r="M63" s="118"/>
      <x:c r="N63" s="130"/>
      <x:c r="O63" s="118"/>
      <x:c r="P63" s="118"/>
      <x:c r="Q63" s="118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>
      <x:c r="A64" s="118"/>
      <x:c r="B64" s="130"/>
      <x:c r="C64" s="118"/>
      <x:c r="D64" s="118"/>
      <x:c r="E64" s="118"/>
      <x:c r="F64" s="136" t="str">
        <x:f>IF(E64="","",VLOOKUP(E64,'02 Config'!$B$17:$C$23,2,FALSE))</x:f>
      </x:c>
      <x:c r="G64" s="138"/>
      <x:c r="H64" s="139" t="str">
        <x:f>IF(OR(G64="",F64=""),"",G64*F64)</x:f>
      </x:c>
      <x:c r="I64" s="130"/>
      <x:c r="J64" s="133" t="str">
        <x:f>IF(I64="","",TEXT(I64,"mmm"))</x:f>
      </x:c>
      <x:c r="K64" s="142" t="str">
        <x:f>IF(I64="","",I64-TODAY())</x:f>
      </x:c>
      <x:c r="L64" s="118"/>
      <x:c r="M64" s="118"/>
      <x:c r="N64" s="130"/>
      <x:c r="O64" s="118"/>
      <x:c r="P64" s="118"/>
      <x:c r="Q64" s="118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>
      <x:c r="A65" s="118"/>
      <x:c r="B65" s="130"/>
      <x:c r="C65" s="118"/>
      <x:c r="D65" s="118"/>
      <x:c r="E65" s="118"/>
      <x:c r="F65" s="136" t="str">
        <x:f>IF(E65="","",VLOOKUP(E65,'02 Config'!$B$17:$C$23,2,FALSE))</x:f>
      </x:c>
      <x:c r="G65" s="138"/>
      <x:c r="H65" s="139" t="str">
        <x:f>IF(OR(G65="",F65=""),"",G65*F65)</x:f>
      </x:c>
      <x:c r="I65" s="130"/>
      <x:c r="J65" s="133" t="str">
        <x:f>IF(I65="","",TEXT(I65,"mmm"))</x:f>
      </x:c>
      <x:c r="K65" s="142" t="str">
        <x:f>IF(I65="","",I65-TODAY())</x:f>
      </x:c>
      <x:c r="L65" s="118"/>
      <x:c r="M65" s="118"/>
      <x:c r="N65" s="130"/>
      <x:c r="O65" s="118"/>
      <x:c r="P65" s="118"/>
      <x:c r="Q65" s="118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>
      <x:c r="A66" s="118"/>
      <x:c r="B66" s="130"/>
      <x:c r="C66" s="118"/>
      <x:c r="D66" s="118"/>
      <x:c r="E66" s="118"/>
      <x:c r="F66" s="136" t="str">
        <x:f>IF(E66="","",VLOOKUP(E66,'02 Config'!$B$17:$C$23,2,FALSE))</x:f>
      </x:c>
      <x:c r="G66" s="138"/>
      <x:c r="H66" s="139" t="str">
        <x:f>IF(OR(G66="",F66=""),"",G66*F66)</x:f>
      </x:c>
      <x:c r="I66" s="130"/>
      <x:c r="J66" s="133" t="str">
        <x:f>IF(I66="","",TEXT(I66,"mmm"))</x:f>
      </x:c>
      <x:c r="K66" s="142" t="str">
        <x:f>IF(I66="","",I66-TODAY())</x:f>
      </x:c>
      <x:c r="L66" s="118"/>
      <x:c r="M66" s="118"/>
      <x:c r="N66" s="130"/>
      <x:c r="O66" s="118"/>
      <x:c r="P66" s="118"/>
      <x:c r="Q66" s="118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>
      <x:c r="A67" s="118"/>
      <x:c r="B67" s="130"/>
      <x:c r="C67" s="118"/>
      <x:c r="D67" s="118"/>
      <x:c r="E67" s="118"/>
      <x:c r="F67" s="136" t="str">
        <x:f>IF(E67="","",VLOOKUP(E67,'02 Config'!$B$17:$C$23,2,FALSE))</x:f>
      </x:c>
      <x:c r="G67" s="138"/>
      <x:c r="H67" s="139" t="str">
        <x:f>IF(OR(G67="",F67=""),"",G67*F67)</x:f>
      </x:c>
      <x:c r="I67" s="130"/>
      <x:c r="J67" s="133" t="str">
        <x:f>IF(I67="","",TEXT(I67,"mmm"))</x:f>
      </x:c>
      <x:c r="K67" s="142" t="str">
        <x:f>IF(I67="","",I67-TODAY())</x:f>
      </x:c>
      <x:c r="L67" s="118"/>
      <x:c r="M67" s="118"/>
      <x:c r="N67" s="130"/>
      <x:c r="O67" s="118"/>
      <x:c r="P67" s="118"/>
      <x:c r="Q67" s="118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>
      <x:c r="A68" s="118"/>
      <x:c r="B68" s="130"/>
      <x:c r="C68" s="118"/>
      <x:c r="D68" s="118"/>
      <x:c r="E68" s="118"/>
      <x:c r="F68" s="136" t="str">
        <x:f>IF(E68="","",VLOOKUP(E68,'02 Config'!$B$17:$C$23,2,FALSE))</x:f>
      </x:c>
      <x:c r="G68" s="138"/>
      <x:c r="H68" s="139" t="str">
        <x:f>IF(OR(G68="",F68=""),"",G68*F68)</x:f>
      </x:c>
      <x:c r="I68" s="130"/>
      <x:c r="J68" s="133" t="str">
        <x:f>IF(I68="","",TEXT(I68,"mmm"))</x:f>
      </x:c>
      <x:c r="K68" s="142" t="str">
        <x:f>IF(I68="","",I68-TODAY())</x:f>
      </x:c>
      <x:c r="L68" s="118"/>
      <x:c r="M68" s="118"/>
      <x:c r="N68" s="130"/>
      <x:c r="O68" s="118"/>
      <x:c r="P68" s="118"/>
      <x:c r="Q68" s="118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>
      <x:c r="A69" s="118"/>
      <x:c r="B69" s="130"/>
      <x:c r="C69" s="118"/>
      <x:c r="D69" s="118"/>
      <x:c r="E69" s="118"/>
      <x:c r="F69" s="136" t="str">
        <x:f>IF(E69="","",VLOOKUP(E69,'02 Config'!$B$17:$C$23,2,FALSE))</x:f>
      </x:c>
      <x:c r="G69" s="138"/>
      <x:c r="H69" s="139" t="str">
        <x:f>IF(OR(G69="",F69=""),"",G69*F69)</x:f>
      </x:c>
      <x:c r="I69" s="130"/>
      <x:c r="J69" s="133" t="str">
        <x:f>IF(I69="","",TEXT(I69,"mmm"))</x:f>
      </x:c>
      <x:c r="K69" s="142" t="str">
        <x:f>IF(I69="","",I69-TODAY())</x:f>
      </x:c>
      <x:c r="L69" s="118"/>
      <x:c r="M69" s="118"/>
      <x:c r="N69" s="130"/>
      <x:c r="O69" s="118"/>
      <x:c r="P69" s="118"/>
      <x:c r="Q69" s="118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>
      <x:c r="A70" s="118"/>
      <x:c r="B70" s="130"/>
      <x:c r="C70" s="118"/>
      <x:c r="D70" s="118"/>
      <x:c r="E70" s="118"/>
      <x:c r="F70" s="136" t="str">
        <x:f>IF(E70="","",VLOOKUP(E70,'02 Config'!$B$17:$C$23,2,FALSE))</x:f>
      </x:c>
      <x:c r="G70" s="138"/>
      <x:c r="H70" s="139" t="str">
        <x:f>IF(OR(G70="",F70=""),"",G70*F70)</x:f>
      </x:c>
      <x:c r="I70" s="130"/>
      <x:c r="J70" s="133" t="str">
        <x:f>IF(I70="","",TEXT(I70,"mmm"))</x:f>
      </x:c>
      <x:c r="K70" s="142" t="str">
        <x:f>IF(I70="","",I70-TODAY())</x:f>
      </x:c>
      <x:c r="L70" s="118"/>
      <x:c r="M70" s="118"/>
      <x:c r="N70" s="130"/>
      <x:c r="O70" s="118"/>
      <x:c r="P70" s="118"/>
      <x:c r="Q70" s="118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>
      <x:c r="A71" s="118"/>
      <x:c r="B71" s="130"/>
      <x:c r="C71" s="118"/>
      <x:c r="D71" s="118"/>
      <x:c r="E71" s="118"/>
      <x:c r="F71" s="136" t="str">
        <x:f>IF(E71="","",VLOOKUP(E71,'02 Config'!$B$17:$C$23,2,FALSE))</x:f>
      </x:c>
      <x:c r="G71" s="138"/>
      <x:c r="H71" s="139" t="str">
        <x:f>IF(OR(G71="",F71=""),"",G71*F71)</x:f>
      </x:c>
      <x:c r="I71" s="130"/>
      <x:c r="J71" s="133" t="str">
        <x:f>IF(I71="","",TEXT(I71,"mmm"))</x:f>
      </x:c>
      <x:c r="K71" s="142" t="str">
        <x:f>IF(I71="","",I71-TODAY())</x:f>
      </x:c>
      <x:c r="L71" s="118"/>
      <x:c r="M71" s="118"/>
      <x:c r="N71" s="130"/>
      <x:c r="O71" s="118"/>
      <x:c r="P71" s="118"/>
      <x:c r="Q71" s="118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>
      <x:c r="A72" s="118"/>
      <x:c r="B72" s="130"/>
      <x:c r="C72" s="118"/>
      <x:c r="D72" s="118"/>
      <x:c r="E72" s="118"/>
      <x:c r="F72" s="136" t="str">
        <x:f>IF(E72="","",VLOOKUP(E72,'02 Config'!$B$17:$C$23,2,FALSE))</x:f>
      </x:c>
      <x:c r="G72" s="138"/>
      <x:c r="H72" s="139" t="str">
        <x:f>IF(OR(G72="",F72=""),"",G72*F72)</x:f>
      </x:c>
      <x:c r="I72" s="130"/>
      <x:c r="J72" s="133" t="str">
        <x:f>IF(I72="","",TEXT(I72,"mmm"))</x:f>
      </x:c>
      <x:c r="K72" s="142" t="str">
        <x:f>IF(I72="","",I72-TODAY())</x:f>
      </x:c>
      <x:c r="L72" s="118"/>
      <x:c r="M72" s="118"/>
      <x:c r="N72" s="130"/>
      <x:c r="O72" s="118"/>
      <x:c r="P72" s="118"/>
      <x:c r="Q72" s="118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>
      <x:c r="A73" s="118"/>
      <x:c r="B73" s="130"/>
      <x:c r="C73" s="118"/>
      <x:c r="D73" s="118"/>
      <x:c r="E73" s="118"/>
      <x:c r="F73" s="136" t="str">
        <x:f>IF(E73="","",VLOOKUP(E73,'02 Config'!$B$17:$C$23,2,FALSE))</x:f>
      </x:c>
      <x:c r="G73" s="138"/>
      <x:c r="H73" s="139" t="str">
        <x:f>IF(OR(G73="",F73=""),"",G73*F73)</x:f>
      </x:c>
      <x:c r="I73" s="130"/>
      <x:c r="J73" s="133" t="str">
        <x:f>IF(I73="","",TEXT(I73,"mmm"))</x:f>
      </x:c>
      <x:c r="K73" s="142" t="str">
        <x:f>IF(I73="","",I73-TODAY())</x:f>
      </x:c>
      <x:c r="L73" s="118"/>
      <x:c r="M73" s="118"/>
      <x:c r="N73" s="130"/>
      <x:c r="O73" s="118"/>
      <x:c r="P73" s="118"/>
      <x:c r="Q73" s="118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>
      <x:c r="A74" s="118"/>
      <x:c r="B74" s="130"/>
      <x:c r="C74" s="118"/>
      <x:c r="D74" s="118"/>
      <x:c r="E74" s="118"/>
      <x:c r="F74" s="136" t="str">
        <x:f>IF(E74="","",VLOOKUP(E74,'02 Config'!$B$17:$C$23,2,FALSE))</x:f>
      </x:c>
      <x:c r="G74" s="138"/>
      <x:c r="H74" s="139" t="str">
        <x:f>IF(OR(G74="",F74=""),"",G74*F74)</x:f>
      </x:c>
      <x:c r="I74" s="130"/>
      <x:c r="J74" s="133" t="str">
        <x:f>IF(I74="","",TEXT(I74,"mmm"))</x:f>
      </x:c>
      <x:c r="K74" s="142" t="str">
        <x:f>IF(I74="","",I74-TODAY())</x:f>
      </x:c>
      <x:c r="L74" s="118"/>
      <x:c r="M74" s="118"/>
      <x:c r="N74" s="130"/>
      <x:c r="O74" s="118"/>
      <x:c r="P74" s="118"/>
      <x:c r="Q74" s="118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>
      <x:c r="A75" s="118"/>
      <x:c r="B75" s="130"/>
      <x:c r="C75" s="118"/>
      <x:c r="D75" s="118"/>
      <x:c r="E75" s="118"/>
      <x:c r="F75" s="136" t="str">
        <x:f>IF(E75="","",VLOOKUP(E75,'02 Config'!$B$17:$C$23,2,FALSE))</x:f>
      </x:c>
      <x:c r="G75" s="138"/>
      <x:c r="H75" s="139" t="str">
        <x:f>IF(OR(G75="",F75=""),"",G75*F75)</x:f>
      </x:c>
      <x:c r="I75" s="130"/>
      <x:c r="J75" s="133" t="str">
        <x:f>IF(I75="","",TEXT(I75,"mmm"))</x:f>
      </x:c>
      <x:c r="K75" s="142" t="str">
        <x:f>IF(I75="","",I75-TODAY())</x:f>
      </x:c>
      <x:c r="L75" s="118"/>
      <x:c r="M75" s="118"/>
      <x:c r="N75" s="130"/>
      <x:c r="O75" s="118"/>
      <x:c r="P75" s="118"/>
      <x:c r="Q75" s="118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>
      <x:c r="A76" s="118"/>
      <x:c r="B76" s="130"/>
      <x:c r="C76" s="118"/>
      <x:c r="D76" s="118"/>
      <x:c r="E76" s="118"/>
      <x:c r="F76" s="136" t="str">
        <x:f>IF(E76="","",VLOOKUP(E76,'02 Config'!$B$17:$C$23,2,FALSE))</x:f>
      </x:c>
      <x:c r="G76" s="138"/>
      <x:c r="H76" s="139" t="str">
        <x:f>IF(OR(G76="",F76=""),"",G76*F76)</x:f>
      </x:c>
      <x:c r="I76" s="130"/>
      <x:c r="J76" s="133" t="str">
        <x:f>IF(I76="","",TEXT(I76,"mmm"))</x:f>
      </x:c>
      <x:c r="K76" s="142" t="str">
        <x:f>IF(I76="","",I76-TODAY())</x:f>
      </x:c>
      <x:c r="L76" s="118"/>
      <x:c r="M76" s="118"/>
      <x:c r="N76" s="130"/>
      <x:c r="O76" s="118"/>
      <x:c r="P76" s="118"/>
      <x:c r="Q76" s="118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>
      <x:c r="A77" s="118"/>
      <x:c r="B77" s="130"/>
      <x:c r="C77" s="118"/>
      <x:c r="D77" s="118"/>
      <x:c r="E77" s="118"/>
      <x:c r="F77" s="136" t="str">
        <x:f>IF(E77="","",VLOOKUP(E77,'02 Config'!$B$17:$C$23,2,FALSE))</x:f>
      </x:c>
      <x:c r="G77" s="138"/>
      <x:c r="H77" s="139" t="str">
        <x:f>IF(OR(G77="",F77=""),"",G77*F77)</x:f>
      </x:c>
      <x:c r="I77" s="130"/>
      <x:c r="J77" s="133" t="str">
        <x:f>IF(I77="","",TEXT(I77,"mmm"))</x:f>
      </x:c>
      <x:c r="K77" s="142" t="str">
        <x:f>IF(I77="","",I77-TODAY())</x:f>
      </x:c>
      <x:c r="L77" s="118"/>
      <x:c r="M77" s="118"/>
      <x:c r="N77" s="130"/>
      <x:c r="O77" s="118"/>
      <x:c r="P77" s="118"/>
      <x:c r="Q77" s="118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>
      <x:c r="A78" s="118"/>
      <x:c r="B78" s="130"/>
      <x:c r="C78" s="118"/>
      <x:c r="D78" s="118"/>
      <x:c r="E78" s="118"/>
      <x:c r="F78" s="136" t="str">
        <x:f>IF(E78="","",VLOOKUP(E78,'02 Config'!$B$17:$C$23,2,FALSE))</x:f>
      </x:c>
      <x:c r="G78" s="138"/>
      <x:c r="H78" s="139" t="str">
        <x:f>IF(OR(G78="",F78=""),"",G78*F78)</x:f>
      </x:c>
      <x:c r="I78" s="130"/>
      <x:c r="J78" s="133" t="str">
        <x:f>IF(I78="","",TEXT(I78,"mmm"))</x:f>
      </x:c>
      <x:c r="K78" s="142" t="str">
        <x:f>IF(I78="","",I78-TODAY())</x:f>
      </x:c>
      <x:c r="L78" s="118"/>
      <x:c r="M78" s="118"/>
      <x:c r="N78" s="130"/>
      <x:c r="O78" s="118"/>
      <x:c r="P78" s="118"/>
      <x:c r="Q78" s="118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>
      <x:c r="A79" s="118"/>
      <x:c r="B79" s="130"/>
      <x:c r="C79" s="118"/>
      <x:c r="D79" s="118"/>
      <x:c r="E79" s="118"/>
      <x:c r="F79" s="136" t="str">
        <x:f>IF(E79="","",VLOOKUP(E79,'02 Config'!$B$17:$C$23,2,FALSE))</x:f>
      </x:c>
      <x:c r="G79" s="138"/>
      <x:c r="H79" s="139" t="str">
        <x:f>IF(OR(G79="",F79=""),"",G79*F79)</x:f>
      </x:c>
      <x:c r="I79" s="130"/>
      <x:c r="J79" s="133" t="str">
        <x:f>IF(I79="","",TEXT(I79,"mmm"))</x:f>
      </x:c>
      <x:c r="K79" s="142" t="str">
        <x:f>IF(I79="","",I79-TODAY())</x:f>
      </x:c>
      <x:c r="L79" s="118"/>
      <x:c r="M79" s="118"/>
      <x:c r="N79" s="130"/>
      <x:c r="O79" s="118"/>
      <x:c r="P79" s="118"/>
      <x:c r="Q79" s="118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>
      <x:c r="A80" s="118"/>
      <x:c r="B80" s="130"/>
      <x:c r="C80" s="118"/>
      <x:c r="D80" s="118"/>
      <x:c r="E80" s="118"/>
      <x:c r="F80" s="136" t="str">
        <x:f>IF(E80="","",VLOOKUP(E80,'02 Config'!$B$17:$C$23,2,FALSE))</x:f>
      </x:c>
      <x:c r="G80" s="138"/>
      <x:c r="H80" s="139" t="str">
        <x:f>IF(OR(G80="",F80=""),"",G80*F80)</x:f>
      </x:c>
      <x:c r="I80" s="130"/>
      <x:c r="J80" s="133" t="str">
        <x:f>IF(I80="","",TEXT(I80,"mmm"))</x:f>
      </x:c>
      <x:c r="K80" s="142" t="str">
        <x:f>IF(I80="","",I80-TODAY())</x:f>
      </x:c>
      <x:c r="L80" s="118"/>
      <x:c r="M80" s="118"/>
      <x:c r="N80" s="130"/>
      <x:c r="O80" s="118"/>
      <x:c r="P80" s="118"/>
      <x:c r="Q80" s="118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>
      <x:c r="A81" s="118"/>
      <x:c r="B81" s="130"/>
      <x:c r="C81" s="118"/>
      <x:c r="D81" s="118"/>
      <x:c r="E81" s="118"/>
      <x:c r="F81" s="136" t="str">
        <x:f>IF(E81="","",VLOOKUP(E81,'02 Config'!$B$17:$C$23,2,FALSE))</x:f>
      </x:c>
      <x:c r="G81" s="138"/>
      <x:c r="H81" s="139" t="str">
        <x:f>IF(OR(G81="",F81=""),"",G81*F81)</x:f>
      </x:c>
      <x:c r="I81" s="130"/>
      <x:c r="J81" s="133" t="str">
        <x:f>IF(I81="","",TEXT(I81,"mmm"))</x:f>
      </x:c>
      <x:c r="K81" s="142" t="str">
        <x:f>IF(I81="","",I81-TODAY())</x:f>
      </x:c>
      <x:c r="L81" s="118"/>
      <x:c r="M81" s="118"/>
      <x:c r="N81" s="130"/>
      <x:c r="O81" s="118"/>
      <x:c r="P81" s="118"/>
      <x:c r="Q81" s="118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>
      <x:c r="A82" s="118"/>
      <x:c r="B82" s="130"/>
      <x:c r="C82" s="118"/>
      <x:c r="D82" s="118"/>
      <x:c r="E82" s="118"/>
      <x:c r="F82" s="136" t="str">
        <x:f>IF(E82="","",VLOOKUP(E82,'02 Config'!$B$17:$C$23,2,FALSE))</x:f>
      </x:c>
      <x:c r="G82" s="138"/>
      <x:c r="H82" s="139" t="str">
        <x:f>IF(OR(G82="",F82=""),"",G82*F82)</x:f>
      </x:c>
      <x:c r="I82" s="130"/>
      <x:c r="J82" s="133" t="str">
        <x:f>IF(I82="","",TEXT(I82,"mmm"))</x:f>
      </x:c>
      <x:c r="K82" s="142" t="str">
        <x:f>IF(I82="","",I82-TODAY())</x:f>
      </x:c>
      <x:c r="L82" s="118"/>
      <x:c r="M82" s="118"/>
      <x:c r="N82" s="130"/>
      <x:c r="O82" s="118"/>
      <x:c r="P82" s="118"/>
      <x:c r="Q82" s="118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>
      <x:c r="A83" s="118"/>
      <x:c r="B83" s="130"/>
      <x:c r="C83" s="118"/>
      <x:c r="D83" s="118"/>
      <x:c r="E83" s="118"/>
      <x:c r="F83" s="136" t="str">
        <x:f>IF(E83="","",VLOOKUP(E83,'02 Config'!$B$17:$C$23,2,FALSE))</x:f>
      </x:c>
      <x:c r="G83" s="138"/>
      <x:c r="H83" s="139" t="str">
        <x:f>IF(OR(G83="",F83=""),"",G83*F83)</x:f>
      </x:c>
      <x:c r="I83" s="130"/>
      <x:c r="J83" s="133" t="str">
        <x:f>IF(I83="","",TEXT(I83,"mmm"))</x:f>
      </x:c>
      <x:c r="K83" s="142" t="str">
        <x:f>IF(I83="","",I83-TODAY())</x:f>
      </x:c>
      <x:c r="L83" s="118"/>
      <x:c r="M83" s="118"/>
      <x:c r="N83" s="130"/>
      <x:c r="O83" s="118"/>
      <x:c r="P83" s="118"/>
      <x:c r="Q83" s="118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>
      <x:c r="A84" s="118"/>
      <x:c r="B84" s="130"/>
      <x:c r="C84" s="118"/>
      <x:c r="D84" s="118"/>
      <x:c r="E84" s="118"/>
      <x:c r="F84" s="136" t="str">
        <x:f>IF(E84="","",VLOOKUP(E84,'02 Config'!$B$17:$C$23,2,FALSE))</x:f>
      </x:c>
      <x:c r="G84" s="138"/>
      <x:c r="H84" s="139" t="str">
        <x:f>IF(OR(G84="",F84=""),"",G84*F84)</x:f>
      </x:c>
      <x:c r="I84" s="130"/>
      <x:c r="J84" s="133" t="str">
        <x:f>IF(I84="","",TEXT(I84,"mmm"))</x:f>
      </x:c>
      <x:c r="K84" s="142" t="str">
        <x:f>IF(I84="","",I84-TODAY())</x:f>
      </x:c>
      <x:c r="L84" s="118"/>
      <x:c r="M84" s="118"/>
      <x:c r="N84" s="130"/>
      <x:c r="O84" s="118"/>
      <x:c r="P84" s="118"/>
      <x:c r="Q84" s="118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>
      <x:c r="A85" s="118"/>
      <x:c r="B85" s="130"/>
      <x:c r="C85" s="118"/>
      <x:c r="D85" s="118"/>
      <x:c r="E85" s="118"/>
      <x:c r="F85" s="136" t="str">
        <x:f>IF(E85="","",VLOOKUP(E85,'02 Config'!$B$17:$C$23,2,FALSE))</x:f>
      </x:c>
      <x:c r="G85" s="138"/>
      <x:c r="H85" s="139" t="str">
        <x:f>IF(OR(G85="",F85=""),"",G85*F85)</x:f>
      </x:c>
      <x:c r="I85" s="130"/>
      <x:c r="J85" s="133" t="str">
        <x:f>IF(I85="","",TEXT(I85,"mmm"))</x:f>
      </x:c>
      <x:c r="K85" s="142" t="str">
        <x:f>IF(I85="","",I85-TODAY())</x:f>
      </x:c>
      <x:c r="L85" s="118"/>
      <x:c r="M85" s="118"/>
      <x:c r="N85" s="130"/>
      <x:c r="O85" s="118"/>
      <x:c r="P85" s="118"/>
      <x:c r="Q85" s="118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>
      <x:c r="A86" s="118"/>
      <x:c r="B86" s="130"/>
      <x:c r="C86" s="118"/>
      <x:c r="D86" s="118"/>
      <x:c r="E86" s="118"/>
      <x:c r="F86" s="136" t="str">
        <x:f>IF(E86="","",VLOOKUP(E86,'02 Config'!$B$17:$C$23,2,FALSE))</x:f>
      </x:c>
      <x:c r="G86" s="138"/>
      <x:c r="H86" s="139" t="str">
        <x:f>IF(OR(G86="",F86=""),"",G86*F86)</x:f>
      </x:c>
      <x:c r="I86" s="130"/>
      <x:c r="J86" s="133" t="str">
        <x:f>IF(I86="","",TEXT(I86,"mmm"))</x:f>
      </x:c>
      <x:c r="K86" s="142" t="str">
        <x:f>IF(I86="","",I86-TODAY())</x:f>
      </x:c>
      <x:c r="L86" s="118"/>
      <x:c r="M86" s="118"/>
      <x:c r="N86" s="130"/>
      <x:c r="O86" s="118"/>
      <x:c r="P86" s="118"/>
      <x:c r="Q86" s="118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>
      <x:c r="A87" s="118"/>
      <x:c r="B87" s="130"/>
      <x:c r="C87" s="118"/>
      <x:c r="D87" s="118"/>
      <x:c r="E87" s="118"/>
      <x:c r="F87" s="136" t="str">
        <x:f>IF(E87="","",VLOOKUP(E87,'02 Config'!$B$17:$C$23,2,FALSE))</x:f>
      </x:c>
      <x:c r="G87" s="138"/>
      <x:c r="H87" s="139" t="str">
        <x:f>IF(OR(G87="",F87=""),"",G87*F87)</x:f>
      </x:c>
      <x:c r="I87" s="130"/>
      <x:c r="J87" s="133" t="str">
        <x:f>IF(I87="","",TEXT(I87,"mmm"))</x:f>
      </x:c>
      <x:c r="K87" s="142" t="str">
        <x:f>IF(I87="","",I87-TODAY())</x:f>
      </x:c>
      <x:c r="L87" s="118"/>
      <x:c r="M87" s="118"/>
      <x:c r="N87" s="130"/>
      <x:c r="O87" s="118"/>
      <x:c r="P87" s="118"/>
      <x:c r="Q87" s="118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>
      <x:c r="A88" s="118"/>
      <x:c r="B88" s="130"/>
      <x:c r="C88" s="118"/>
      <x:c r="D88" s="118"/>
      <x:c r="E88" s="118"/>
      <x:c r="F88" s="136" t="str">
        <x:f>IF(E88="","",VLOOKUP(E88,'02 Config'!$B$17:$C$23,2,FALSE))</x:f>
      </x:c>
      <x:c r="G88" s="138"/>
      <x:c r="H88" s="139" t="str">
        <x:f>IF(OR(G88="",F88=""),"",G88*F88)</x:f>
      </x:c>
      <x:c r="I88" s="130"/>
      <x:c r="J88" s="133" t="str">
        <x:f>IF(I88="","",TEXT(I88,"mmm"))</x:f>
      </x:c>
      <x:c r="K88" s="142" t="str">
        <x:f>IF(I88="","",I88-TODAY())</x:f>
      </x:c>
      <x:c r="L88" s="118"/>
      <x:c r="M88" s="118"/>
      <x:c r="N88" s="130"/>
      <x:c r="O88" s="118"/>
      <x:c r="P88" s="118"/>
      <x:c r="Q88" s="118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>
      <x:c r="A89" s="118"/>
      <x:c r="B89" s="130"/>
      <x:c r="C89" s="118"/>
      <x:c r="D89" s="118"/>
      <x:c r="E89" s="118"/>
      <x:c r="F89" s="136" t="str">
        <x:f>IF(E89="","",VLOOKUP(E89,'02 Config'!$B$17:$C$23,2,FALSE))</x:f>
      </x:c>
      <x:c r="G89" s="138"/>
      <x:c r="H89" s="139" t="str">
        <x:f>IF(OR(G89="",F89=""),"",G89*F89)</x:f>
      </x:c>
      <x:c r="I89" s="130"/>
      <x:c r="J89" s="133" t="str">
        <x:f>IF(I89="","",TEXT(I89,"mmm"))</x:f>
      </x:c>
      <x:c r="K89" s="142" t="str">
        <x:f>IF(I89="","",I89-TODAY())</x:f>
      </x:c>
      <x:c r="L89" s="118"/>
      <x:c r="M89" s="118"/>
      <x:c r="N89" s="130"/>
      <x:c r="O89" s="118"/>
      <x:c r="P89" s="118"/>
      <x:c r="Q89" s="118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>
      <x:c r="A90" s="118"/>
      <x:c r="B90" s="130"/>
      <x:c r="C90" s="118"/>
      <x:c r="D90" s="118"/>
      <x:c r="E90" s="118"/>
      <x:c r="F90" s="136" t="str">
        <x:f>IF(E90="","",VLOOKUP(E90,'02 Config'!$B$17:$C$23,2,FALSE))</x:f>
      </x:c>
      <x:c r="G90" s="138"/>
      <x:c r="H90" s="139" t="str">
        <x:f>IF(OR(G90="",F90=""),"",G90*F90)</x:f>
      </x:c>
      <x:c r="I90" s="130"/>
      <x:c r="J90" s="133" t="str">
        <x:f>IF(I90="","",TEXT(I90,"mmm"))</x:f>
      </x:c>
      <x:c r="K90" s="142" t="str">
        <x:f>IF(I90="","",I90-TODAY())</x:f>
      </x:c>
      <x:c r="L90" s="118"/>
      <x:c r="M90" s="118"/>
      <x:c r="N90" s="130"/>
      <x:c r="O90" s="118"/>
      <x:c r="P90" s="118"/>
      <x:c r="Q90" s="118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>
      <x:c r="A91" s="118"/>
      <x:c r="B91" s="130"/>
      <x:c r="C91" s="118"/>
      <x:c r="D91" s="118"/>
      <x:c r="E91" s="118"/>
      <x:c r="F91" s="136" t="str">
        <x:f>IF(E91="","",VLOOKUP(E91,'02 Config'!$B$17:$C$23,2,FALSE))</x:f>
      </x:c>
      <x:c r="G91" s="138"/>
      <x:c r="H91" s="139" t="str">
        <x:f>IF(OR(G91="",F91=""),"",G91*F91)</x:f>
      </x:c>
      <x:c r="I91" s="130"/>
      <x:c r="J91" s="133" t="str">
        <x:f>IF(I91="","",TEXT(I91,"mmm"))</x:f>
      </x:c>
      <x:c r="K91" s="142" t="str">
        <x:f>IF(I91="","",I91-TODAY())</x:f>
      </x:c>
      <x:c r="L91" s="118"/>
      <x:c r="M91" s="118"/>
      <x:c r="N91" s="130"/>
      <x:c r="O91" s="118"/>
      <x:c r="P91" s="118"/>
      <x:c r="Q91" s="118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>
      <x:c r="A92" s="118"/>
      <x:c r="B92" s="130"/>
      <x:c r="C92" s="118"/>
      <x:c r="D92" s="118"/>
      <x:c r="E92" s="118"/>
      <x:c r="F92" s="136" t="str">
        <x:f>IF(E92="","",VLOOKUP(E92,'02 Config'!$B$17:$C$23,2,FALSE))</x:f>
      </x:c>
      <x:c r="G92" s="138"/>
      <x:c r="H92" s="139" t="str">
        <x:f>IF(OR(G92="",F92=""),"",G92*F92)</x:f>
      </x:c>
      <x:c r="I92" s="130"/>
      <x:c r="J92" s="133" t="str">
        <x:f>IF(I92="","",TEXT(I92,"mmm"))</x:f>
      </x:c>
      <x:c r="K92" s="142" t="str">
        <x:f>IF(I92="","",I92-TODAY())</x:f>
      </x:c>
      <x:c r="L92" s="118"/>
      <x:c r="M92" s="118"/>
      <x:c r="N92" s="130"/>
      <x:c r="O92" s="118"/>
      <x:c r="P92" s="118"/>
      <x:c r="Q92" s="118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>
      <x:c r="A93" s="118"/>
      <x:c r="B93" s="130"/>
      <x:c r="C93" s="118"/>
      <x:c r="D93" s="118"/>
      <x:c r="E93" s="118"/>
      <x:c r="F93" s="136" t="str">
        <x:f>IF(E93="","",VLOOKUP(E93,'02 Config'!$B$17:$C$23,2,FALSE))</x:f>
      </x:c>
      <x:c r="G93" s="138"/>
      <x:c r="H93" s="139" t="str">
        <x:f>IF(OR(G93="",F93=""),"",G93*F93)</x:f>
      </x:c>
      <x:c r="I93" s="130"/>
      <x:c r="J93" s="133" t="str">
        <x:f>IF(I93="","",TEXT(I93,"mmm"))</x:f>
      </x:c>
      <x:c r="K93" s="142" t="str">
        <x:f>IF(I93="","",I93-TODAY())</x:f>
      </x:c>
      <x:c r="L93" s="118"/>
      <x:c r="M93" s="118"/>
      <x:c r="N93" s="130"/>
      <x:c r="O93" s="118"/>
      <x:c r="P93" s="118"/>
      <x:c r="Q93" s="118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>
      <x:c r="A94" s="118"/>
      <x:c r="B94" s="130"/>
      <x:c r="C94" s="118"/>
      <x:c r="D94" s="118"/>
      <x:c r="E94" s="118"/>
      <x:c r="F94" s="136" t="str">
        <x:f>IF(E94="","",VLOOKUP(E94,'02 Config'!$B$17:$C$23,2,FALSE))</x:f>
      </x:c>
      <x:c r="G94" s="138"/>
      <x:c r="H94" s="139" t="str">
        <x:f>IF(OR(G94="",F94=""),"",G94*F94)</x:f>
      </x:c>
      <x:c r="I94" s="130"/>
      <x:c r="J94" s="133" t="str">
        <x:f>IF(I94="","",TEXT(I94,"mmm"))</x:f>
      </x:c>
      <x:c r="K94" s="142" t="str">
        <x:f>IF(I94="","",I94-TODAY())</x:f>
      </x:c>
      <x:c r="L94" s="118"/>
      <x:c r="M94" s="118"/>
      <x:c r="N94" s="130"/>
      <x:c r="O94" s="118"/>
      <x:c r="P94" s="118"/>
      <x:c r="Q94" s="118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>
      <x:c r="A95" s="118"/>
      <x:c r="B95" s="130"/>
      <x:c r="C95" s="118"/>
      <x:c r="D95" s="118"/>
      <x:c r="E95" s="118"/>
      <x:c r="F95" s="136" t="str">
        <x:f>IF(E95="","",VLOOKUP(E95,'02 Config'!$B$17:$C$23,2,FALSE))</x:f>
      </x:c>
      <x:c r="G95" s="138"/>
      <x:c r="H95" s="139" t="str">
        <x:f>IF(OR(G95="",F95=""),"",G95*F95)</x:f>
      </x:c>
      <x:c r="I95" s="130"/>
      <x:c r="J95" s="133" t="str">
        <x:f>IF(I95="","",TEXT(I95,"mmm"))</x:f>
      </x:c>
      <x:c r="K95" s="142" t="str">
        <x:f>IF(I95="","",I95-TODAY())</x:f>
      </x:c>
      <x:c r="L95" s="118"/>
      <x:c r="M95" s="118"/>
      <x:c r="N95" s="130"/>
      <x:c r="O95" s="118"/>
      <x:c r="P95" s="118"/>
      <x:c r="Q95" s="118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>
      <x:c r="A96" s="118"/>
      <x:c r="B96" s="130"/>
      <x:c r="C96" s="118"/>
      <x:c r="D96" s="118"/>
      <x:c r="E96" s="118"/>
      <x:c r="F96" s="136" t="str">
        <x:f>IF(E96="","",VLOOKUP(E96,'02 Config'!$B$17:$C$23,2,FALSE))</x:f>
      </x:c>
      <x:c r="G96" s="138"/>
      <x:c r="H96" s="139" t="str">
        <x:f>IF(OR(G96="",F96=""),"",G96*F96)</x:f>
      </x:c>
      <x:c r="I96" s="130"/>
      <x:c r="J96" s="133" t="str">
        <x:f>IF(I96="","",TEXT(I96,"mmm"))</x:f>
      </x:c>
      <x:c r="K96" s="142" t="str">
        <x:f>IF(I96="","",I96-TODAY())</x:f>
      </x:c>
      <x:c r="L96" s="118"/>
      <x:c r="M96" s="118"/>
      <x:c r="N96" s="130"/>
      <x:c r="O96" s="118"/>
      <x:c r="P96" s="118"/>
      <x:c r="Q96" s="118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>
      <x:c r="A97" s="118"/>
      <x:c r="B97" s="130"/>
      <x:c r="C97" s="118"/>
      <x:c r="D97" s="118"/>
      <x:c r="E97" s="118"/>
      <x:c r="F97" s="136" t="str">
        <x:f>IF(E97="","",VLOOKUP(E97,'02 Config'!$B$17:$C$23,2,FALSE))</x:f>
      </x:c>
      <x:c r="G97" s="138"/>
      <x:c r="H97" s="139" t="str">
        <x:f>IF(OR(G97="",F97=""),"",G97*F97)</x:f>
      </x:c>
      <x:c r="I97" s="130"/>
      <x:c r="J97" s="133" t="str">
        <x:f>IF(I97="","",TEXT(I97,"mmm"))</x:f>
      </x:c>
      <x:c r="K97" s="142" t="str">
        <x:f>IF(I97="","",I97-TODAY())</x:f>
      </x:c>
      <x:c r="L97" s="118"/>
      <x:c r="M97" s="118"/>
      <x:c r="N97" s="130"/>
      <x:c r="O97" s="118"/>
      <x:c r="P97" s="118"/>
      <x:c r="Q97" s="118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>
      <x:c r="A98" s="118"/>
      <x:c r="B98" s="130"/>
      <x:c r="C98" s="118"/>
      <x:c r="D98" s="118"/>
      <x:c r="E98" s="118"/>
      <x:c r="F98" s="136" t="str">
        <x:f>IF(E98="","",VLOOKUP(E98,'02 Config'!$B$17:$C$23,2,FALSE))</x:f>
      </x:c>
      <x:c r="G98" s="138"/>
      <x:c r="H98" s="139" t="str">
        <x:f>IF(OR(G98="",F98=""),"",G98*F98)</x:f>
      </x:c>
      <x:c r="I98" s="130"/>
      <x:c r="J98" s="133" t="str">
        <x:f>IF(I98="","",TEXT(I98,"mmm"))</x:f>
      </x:c>
      <x:c r="K98" s="142" t="str">
        <x:f>IF(I98="","",I98-TODAY())</x:f>
      </x:c>
      <x:c r="L98" s="118"/>
      <x:c r="M98" s="118"/>
      <x:c r="N98" s="130"/>
      <x:c r="O98" s="118"/>
      <x:c r="P98" s="118"/>
      <x:c r="Q98" s="118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>
      <x:c r="A99" s="118"/>
      <x:c r="B99" s="130"/>
      <x:c r="C99" s="118"/>
      <x:c r="D99" s="118"/>
      <x:c r="E99" s="118"/>
      <x:c r="F99" s="136" t="str">
        <x:f>IF(E99="","",VLOOKUP(E99,'02 Config'!$B$17:$C$23,2,FALSE))</x:f>
      </x:c>
      <x:c r="G99" s="138"/>
      <x:c r="H99" s="139" t="str">
        <x:f>IF(OR(G99="",F99=""),"",G99*F99)</x:f>
      </x:c>
      <x:c r="I99" s="130"/>
      <x:c r="J99" s="133" t="str">
        <x:f>IF(I99="","",TEXT(I99,"mmm"))</x:f>
      </x:c>
      <x:c r="K99" s="142" t="str">
        <x:f>IF(I99="","",I99-TODAY())</x:f>
      </x:c>
      <x:c r="L99" s="118"/>
      <x:c r="M99" s="118"/>
      <x:c r="N99" s="130"/>
      <x:c r="O99" s="118"/>
      <x:c r="P99" s="118"/>
      <x:c r="Q99" s="118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>
      <x:c r="A100" s="118"/>
      <x:c r="B100" s="130"/>
      <x:c r="C100" s="118"/>
      <x:c r="D100" s="118"/>
      <x:c r="E100" s="118"/>
      <x:c r="F100" s="136" t="str">
        <x:f>IF(E100="","",VLOOKUP(E100,'02 Config'!$B$17:$C$23,2,FALSE))</x:f>
      </x:c>
      <x:c r="G100" s="138"/>
      <x:c r="H100" s="139" t="str">
        <x:f>IF(OR(G100="",F100=""),"",G100*F100)</x:f>
      </x:c>
      <x:c r="I100" s="130"/>
      <x:c r="J100" s="133" t="str">
        <x:f>IF(I100="","",TEXT(I100,"mmm"))</x:f>
      </x:c>
      <x:c r="K100" s="142" t="str">
        <x:f>IF(I100="","",I100-TODAY())</x:f>
      </x:c>
      <x:c r="L100" s="118"/>
      <x:c r="M100" s="118"/>
      <x:c r="N100" s="130"/>
      <x:c r="O100" s="118"/>
      <x:c r="P100" s="118"/>
      <x:c r="Q100" s="118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>
      <x:c r="A101" s="118"/>
      <x:c r="B101" s="130"/>
      <x:c r="C101" s="118"/>
      <x:c r="D101" s="118"/>
      <x:c r="E101" s="118"/>
      <x:c r="F101" s="136" t="str">
        <x:f>IF(E101="","",VLOOKUP(E101,'02 Config'!$B$17:$C$23,2,FALSE))</x:f>
      </x:c>
      <x:c r="G101" s="138"/>
      <x:c r="H101" s="139" t="str">
        <x:f>IF(OR(G101="",F101=""),"",G101*F101)</x:f>
      </x:c>
      <x:c r="I101" s="130"/>
      <x:c r="J101" s="133" t="str">
        <x:f>IF(I101="","",TEXT(I101,"mmm"))</x:f>
      </x:c>
      <x:c r="K101" s="142" t="str">
        <x:f>IF(I101="","",I101-TODAY())</x:f>
      </x:c>
      <x:c r="L101" s="118"/>
      <x:c r="M101" s="118"/>
      <x:c r="N101" s="130"/>
      <x:c r="O101" s="118"/>
      <x:c r="P101" s="118"/>
      <x:c r="Q101" s="118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>
      <x:c r="A102" s="118"/>
      <x:c r="B102" s="130"/>
      <x:c r="C102" s="118"/>
      <x:c r="D102" s="118"/>
      <x:c r="E102" s="118"/>
      <x:c r="F102" s="136" t="str">
        <x:f>IF(E102="","",VLOOKUP(E102,'02 Config'!$B$17:$C$23,2,FALSE))</x:f>
      </x:c>
      <x:c r="G102" s="138"/>
      <x:c r="H102" s="139" t="str">
        <x:f>IF(OR(G102="",F102=""),"",G102*F102)</x:f>
      </x:c>
      <x:c r="I102" s="130"/>
      <x:c r="J102" s="133" t="str">
        <x:f>IF(I102="","",TEXT(I102,"mmm"))</x:f>
      </x:c>
      <x:c r="K102" s="142" t="str">
        <x:f>IF(I102="","",I102-TODAY())</x:f>
      </x:c>
      <x:c r="L102" s="118"/>
      <x:c r="M102" s="118"/>
      <x:c r="N102" s="130"/>
      <x:c r="O102" s="118"/>
      <x:c r="P102" s="118"/>
      <x:c r="Q102" s="118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>
      <x:c r="A103" s="118"/>
      <x:c r="B103" s="130"/>
      <x:c r="C103" s="118"/>
      <x:c r="D103" s="118"/>
      <x:c r="E103" s="118"/>
      <x:c r="F103" s="136" t="str">
        <x:f>IF(E103="","",VLOOKUP(E103,'02 Config'!$B$17:$C$23,2,FALSE))</x:f>
      </x:c>
      <x:c r="G103" s="138"/>
      <x:c r="H103" s="139" t="str">
        <x:f>IF(OR(G103="",F103=""),"",G103*F103)</x:f>
      </x:c>
      <x:c r="I103" s="130"/>
      <x:c r="J103" s="133" t="str">
        <x:f>IF(I103="","",TEXT(I103,"mmm"))</x:f>
      </x:c>
      <x:c r="K103" s="142" t="str">
        <x:f>IF(I103="","",I103-TODAY())</x:f>
      </x:c>
      <x:c r="L103" s="118"/>
      <x:c r="M103" s="118"/>
      <x:c r="N103" s="130"/>
      <x:c r="O103" s="118"/>
      <x:c r="P103" s="118"/>
      <x:c r="Q103" s="118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>
      <x:c r="A104" s="118"/>
      <x:c r="B104" s="130"/>
      <x:c r="C104" s="118"/>
      <x:c r="D104" s="118"/>
      <x:c r="E104" s="118"/>
      <x:c r="F104" s="136" t="str">
        <x:f>IF(E104="","",VLOOKUP(E104,'02 Config'!$B$17:$C$23,2,FALSE))</x:f>
      </x:c>
      <x:c r="G104" s="138"/>
      <x:c r="H104" s="139" t="str">
        <x:f>IF(OR(G104="",F104=""),"",G104*F104)</x:f>
      </x:c>
      <x:c r="I104" s="130"/>
      <x:c r="J104" s="133" t="str">
        <x:f>IF(I104="","",TEXT(I104,"mmm"))</x:f>
      </x:c>
      <x:c r="K104" s="142" t="str">
        <x:f>IF(I104="","",I104-TODAY())</x:f>
      </x:c>
      <x:c r="L104" s="118"/>
      <x:c r="M104" s="118"/>
      <x:c r="N104" s="130"/>
      <x:c r="O104" s="118"/>
      <x:c r="P104" s="118"/>
      <x:c r="Q104" s="118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>
      <x:c r="A105" s="118"/>
      <x:c r="B105" s="130"/>
      <x:c r="C105" s="118"/>
      <x:c r="D105" s="118"/>
      <x:c r="E105" s="118"/>
      <x:c r="F105" s="136" t="str">
        <x:f>IF(E105="","",VLOOKUP(E105,'02 Config'!$B$17:$C$23,2,FALSE))</x:f>
      </x:c>
      <x:c r="G105" s="138"/>
      <x:c r="H105" s="139" t="str">
        <x:f>IF(OR(G105="",F105=""),"",G105*F105)</x:f>
      </x:c>
      <x:c r="I105" s="130"/>
      <x:c r="J105" s="133" t="str">
        <x:f>IF(I105="","",TEXT(I105,"mmm"))</x:f>
      </x:c>
      <x:c r="K105" s="142" t="str">
        <x:f>IF(I105="","",I105-TODAY())</x:f>
      </x:c>
      <x:c r="L105" s="118"/>
      <x:c r="M105" s="118"/>
      <x:c r="N105" s="130"/>
      <x:c r="O105" s="118"/>
      <x:c r="P105" s="118"/>
      <x:c r="Q105" s="118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</x:sheetData>
  <x:mergeCells>
    <x:mergeCell ref="A1:Q2"/>
    <x:mergeCell ref="A3:Q3"/>
  </x:mergeCells>
  <x:conditionalFormatting sqref="K6:K105">
    <x:cfRule type="expression" dxfId="0" priority="1">
      <x:formula>AND($M6="Abierto",$K6&lt;0)</x:formula>
    </x:cfRule>
  </x:conditionalFormatting>
  <x:conditionalFormatting sqref="L6:L105">
    <x:cfRule type="expression" dxfId="1" priority="2">
      <x:formula>$L6="Alta"</x:formula>
    </x:cfRule>
  </x:conditionalFormatting>
  <x:conditionalFormatting sqref="M6:M105">
    <x:cfRule type="expression" dxfId="2" priority="3">
      <x:formula>$M6="Ganado"</x:formula>
    </x:cfRule>
    <x:cfRule type="expression" dxfId="3" priority="4">
      <x:formula>$M6="Perdido"</x:formula>
    </x:cfRule>
  </x:conditionalFormatting>
  <x:dataValidations count="5">
    <x:dataValidation type="list" sqref="E6:E105">
      <x:formula1>'07 Catálogos'!$I$2:$I$8</x:formula1>
    </x:dataValidation>
    <x:dataValidation type="list" sqref="D6:D105">
      <x:formula1>'07 Catálogos'!$F$2:$F$8</x:formula1>
    </x:dataValidation>
    <x:dataValidation type="list" sqref="L6:L105">
      <x:formula1>'07 Catálogos'!$C$2:$C$4</x:formula1>
    </x:dataValidation>
    <x:dataValidation type="list" sqref="M6:M105">
      <x:formula1>'07 Catálogos'!$D$2:$D$5</x:formula1>
    </x:dataValidation>
    <x:dataValidation type="list" sqref="P6:P105">
      <x:formula1>'07 Catálogos'!$E$2:$E$6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31d5ac4a5041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25" t="str">
        <x:v>Proyección mensual de ingresos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  <x:c r="M1" s="177"/>
      <x:c r="N1" s="177"/>
      <x:c r="O1" s="177"/>
      <x:c r="P1" s="177"/>
      <x:c r="Q1" s="177"/>
      <x:c r="R1" s="177"/>
      <x:c r="S1" s="177"/>
      <x:c r="T1" s="177"/>
      <x:c r="U1" s="177"/>
      <x:c r="V1" s="177"/>
      <x:c r="W1" s="177"/>
      <x:c r="X1" s="177"/>
      <x:c r="Y1" s="177"/>
      <x:c r="Z1" s="177"/>
    </x:row>
    <x:row r="2">
      <x:c r="A2" s="125"/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  <x:c r="M2" s="177"/>
      <x:c r="N2" s="177"/>
      <x:c r="O2" s="177"/>
      <x:c r="P2" s="177"/>
      <x:c r="Q2" s="177"/>
      <x:c r="R2" s="177"/>
      <x:c r="S2" s="177"/>
      <x:c r="T2" s="177"/>
      <x:c r="U2" s="177"/>
      <x:c r="V2" s="177"/>
      <x:c r="W2" s="177"/>
      <x:c r="X2" s="177"/>
      <x:c r="Y2" s="177"/>
      <x:c r="Z2" s="177"/>
    </x:row>
    <x:row r="3">
      <x:c r="A3" s="39" t="str">
        <x:v>Forecast automático por fecha de cierre estimada. Ayuda a identificar ingresos esperados, brecha contra meta y meses críticos.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177"/>
      <x:c r="N3" s="177"/>
      <x:c r="O3" s="177"/>
      <x:c r="P3" s="177"/>
      <x:c r="Q3" s="177"/>
      <x:c r="R3" s="177"/>
      <x:c r="S3" s="177"/>
      <x:c r="T3" s="177"/>
      <x:c r="U3" s="177"/>
      <x:c r="V3" s="177"/>
      <x:c r="W3" s="177"/>
      <x:c r="X3" s="177"/>
      <x:c r="Y3" s="177"/>
      <x:c r="Z3" s="177"/>
    </x:row>
    <x:row r="4">
      <x:c r="A4" s="176"/>
      <x:c r="B4" s="176"/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>
      <x:c r="A5" s="82" t="str">
        <x:v>Fecha mes</x:v>
      </x:c>
      <x:c r="B5" s="82" t="str">
        <x:v>Mes</x:v>
      </x:c>
      <x:c r="C5" s="82" t="str">
        <x:v>Pipeline abierto</x:v>
      </x:c>
      <x:c r="D5" s="82" t="str">
        <x:v>Valor ponderado</x:v>
      </x:c>
      <x:c r="E5" s="82" t="str">
        <x:v>Ventas ganadas</x:v>
      </x:c>
      <x:c r="F5" s="82" t="str">
        <x:v>Oport. abiertas</x:v>
      </x:c>
      <x:c r="G5" s="82" t="str">
        <x:v>Oport. ganadas</x:v>
      </x:c>
      <x:c r="H5" s="82" t="str">
        <x:v>Oport. perdidas</x:v>
      </x:c>
      <x:c r="I5" s="82" t="str">
        <x:v>Tasa cierre</x:v>
      </x:c>
      <x:c r="J5" s="82" t="str">
        <x:v>Meta mensual</x:v>
      </x:c>
      <x:c r="K5" s="82" t="str">
        <x:v>Brecha vs meta</x:v>
      </x:c>
      <x:c r="L5" s="82" t="str">
        <x:v>Semáforo</x:v>
      </x:c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>
      <x:c r="A6" s="190" t="n">
        <x:f>DATE('02 Config'!$C$8,1,1)</x:f>
        <x:v>46023</x:v>
      </x:c>
      <x:c r="B6" s="158" t="str">
        <x:v>Enero</x:v>
      </x:c>
      <x:c r="C6" s="191" t="n">
        <x:f>SUMIFS('04 Pipeline'!$G:$G,'04 Pipeline'!$I:$I,"&gt;="&amp;$A6,'04 Pipeline'!$I:$I,"&lt;"&amp;EDATE($A6,1),'04 Pipeline'!$M:$M,"Abierto")</x:f>
        <x:v>0</x:v>
      </x:c>
      <x:c r="D6" s="191" t="n">
        <x:f>SUMIFS('04 Pipeline'!$H:$H,'04 Pipeline'!$I:$I,"&gt;="&amp;$A6,'04 Pipeline'!$I:$I,"&lt;"&amp;EDATE($A6,1),'04 Pipeline'!$M:$M,"Abierto")</x:f>
        <x:v>0</x:v>
      </x:c>
      <x:c r="E6" s="191" t="n">
        <x:f>SUMIFS('04 Pipeline'!$G:$G,'04 Pipeline'!$I:$I,"&gt;="&amp;$A6,'04 Pipeline'!$I:$I,"&lt;"&amp;EDATE($A6,1),'04 Pipeline'!$M:$M,"Ganado")</x:f>
        <x:v>0</x:v>
      </x:c>
      <x:c r="F6" s="158" t="n">
        <x:f>COUNTIFS('04 Pipeline'!$I:$I,"&gt;="&amp;$A6,'04 Pipeline'!$I:$I,"&lt;"&amp;EDATE($A6,1),'04 Pipeline'!$M:$M,"Abierto")</x:f>
        <x:v>0</x:v>
      </x:c>
      <x:c r="G6" s="158" t="n">
        <x:f>COUNTIFS('04 Pipeline'!$I:$I,"&gt;="&amp;$A6,'04 Pipeline'!$I:$I,"&lt;"&amp;EDATE($A6,1),'04 Pipeline'!$M:$M,"Ganado")</x:f>
        <x:v>0</x:v>
      </x:c>
      <x:c r="H6" s="158" t="n">
        <x:f>COUNTIFS('04 Pipeline'!$I:$I,"&gt;="&amp;$A6,'04 Pipeline'!$I:$I,"&lt;"&amp;EDATE($A6,1),'04 Pipeline'!$M:$M,"Perdido")</x:f>
        <x:v>0</x:v>
      </x:c>
      <x:c r="I6" s="192" t="str">
        <x:f>IF((G6+H6)=0,"",G6/(G6+H6))</x:f>
      </x:c>
      <x:c r="J6" s="191" t="n">
        <x:f>'02 Config'!$C$11</x:f>
        <x:v>150000</x:v>
      </x:c>
      <x:c r="K6" s="191" t="n">
        <x:f>E6-J6</x:f>
        <x:v>-150000</x:v>
      </x:c>
      <x:c r="L6" s="133" t="str">
        <x:f>IF(E6&gt;=J6,"Cumplida",IF((E6+D6)&gt;=J6,"En riesgo","Crítica"))</x:f>
        <x:v>Crítica</x:v>
      </x:c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>
      <x:c r="A7" s="190" t="n">
        <x:f>DATE('02 Config'!$C$8,2,1)</x:f>
        <x:v>46054</x:v>
      </x:c>
      <x:c r="B7" s="158" t="str">
        <x:v>Febrero</x:v>
      </x:c>
      <x:c r="C7" s="191" t="n">
        <x:f>SUMIFS('04 Pipeline'!$G:$G,'04 Pipeline'!$I:$I,"&gt;="&amp;$A7,'04 Pipeline'!$I:$I,"&lt;"&amp;EDATE($A7,1),'04 Pipeline'!$M:$M,"Abierto")</x:f>
        <x:v>0</x:v>
      </x:c>
      <x:c r="D7" s="191" t="n">
        <x:f>SUMIFS('04 Pipeline'!$H:$H,'04 Pipeline'!$I:$I,"&gt;="&amp;$A7,'04 Pipeline'!$I:$I,"&lt;"&amp;EDATE($A7,1),'04 Pipeline'!$M:$M,"Abierto")</x:f>
        <x:v>0</x:v>
      </x:c>
      <x:c r="E7" s="191" t="n">
        <x:f>SUMIFS('04 Pipeline'!$G:$G,'04 Pipeline'!$I:$I,"&gt;="&amp;$A7,'04 Pipeline'!$I:$I,"&lt;"&amp;EDATE($A7,1),'04 Pipeline'!$M:$M,"Ganado")</x:f>
        <x:v>0</x:v>
      </x:c>
      <x:c r="F7" s="158" t="n">
        <x:f>COUNTIFS('04 Pipeline'!$I:$I,"&gt;="&amp;$A7,'04 Pipeline'!$I:$I,"&lt;"&amp;EDATE($A7,1),'04 Pipeline'!$M:$M,"Abierto")</x:f>
        <x:v>0</x:v>
      </x:c>
      <x:c r="G7" s="158" t="n">
        <x:f>COUNTIFS('04 Pipeline'!$I:$I,"&gt;="&amp;$A7,'04 Pipeline'!$I:$I,"&lt;"&amp;EDATE($A7,1),'04 Pipeline'!$M:$M,"Ganado")</x:f>
        <x:v>0</x:v>
      </x:c>
      <x:c r="H7" s="158" t="n">
        <x:f>COUNTIFS('04 Pipeline'!$I:$I,"&gt;="&amp;$A7,'04 Pipeline'!$I:$I,"&lt;"&amp;EDATE($A7,1),'04 Pipeline'!$M:$M,"Perdido")</x:f>
        <x:v>0</x:v>
      </x:c>
      <x:c r="I7" s="192" t="str">
        <x:f>IF((G7+H7)=0,"",G7/(G7+H7))</x:f>
      </x:c>
      <x:c r="J7" s="191" t="n">
        <x:f>'02 Config'!$C$11</x:f>
        <x:v>150000</x:v>
      </x:c>
      <x:c r="K7" s="191" t="n">
        <x:f>E7-J7</x:f>
        <x:v>-150000</x:v>
      </x:c>
      <x:c r="L7" s="133" t="str">
        <x:f>IF(E7&gt;=J7,"Cumplida",IF((E7+D7)&gt;=J7,"En riesgo","Crítica"))</x:f>
        <x:v>Crítica</x:v>
      </x:c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>
      <x:c r="A8" s="190" t="n">
        <x:f>DATE('02 Config'!$C$8,3,1)</x:f>
        <x:v>46082</x:v>
      </x:c>
      <x:c r="B8" s="158" t="str">
        <x:v>Marzo</x:v>
      </x:c>
      <x:c r="C8" s="191" t="n">
        <x:f>SUMIFS('04 Pipeline'!$G:$G,'04 Pipeline'!$I:$I,"&gt;="&amp;$A8,'04 Pipeline'!$I:$I,"&lt;"&amp;EDATE($A8,1),'04 Pipeline'!$M:$M,"Abierto")</x:f>
        <x:v>0</x:v>
      </x:c>
      <x:c r="D8" s="191" t="n">
        <x:f>SUMIFS('04 Pipeline'!$H:$H,'04 Pipeline'!$I:$I,"&gt;="&amp;$A8,'04 Pipeline'!$I:$I,"&lt;"&amp;EDATE($A8,1),'04 Pipeline'!$M:$M,"Abierto")</x:f>
        <x:v>0</x:v>
      </x:c>
      <x:c r="E8" s="191" t="n">
        <x:f>SUMIFS('04 Pipeline'!$G:$G,'04 Pipeline'!$I:$I,"&gt;="&amp;$A8,'04 Pipeline'!$I:$I,"&lt;"&amp;EDATE($A8,1),'04 Pipeline'!$M:$M,"Ganado")</x:f>
        <x:v>0</x:v>
      </x:c>
      <x:c r="F8" s="158" t="n">
        <x:f>COUNTIFS('04 Pipeline'!$I:$I,"&gt;="&amp;$A8,'04 Pipeline'!$I:$I,"&lt;"&amp;EDATE($A8,1),'04 Pipeline'!$M:$M,"Abierto")</x:f>
        <x:v>0</x:v>
      </x:c>
      <x:c r="G8" s="158" t="n">
        <x:f>COUNTIFS('04 Pipeline'!$I:$I,"&gt;="&amp;$A8,'04 Pipeline'!$I:$I,"&lt;"&amp;EDATE($A8,1),'04 Pipeline'!$M:$M,"Ganado")</x:f>
        <x:v>0</x:v>
      </x:c>
      <x:c r="H8" s="158" t="n">
        <x:f>COUNTIFS('04 Pipeline'!$I:$I,"&gt;="&amp;$A8,'04 Pipeline'!$I:$I,"&lt;"&amp;EDATE($A8,1),'04 Pipeline'!$M:$M,"Perdido")</x:f>
        <x:v>1</x:v>
      </x:c>
      <x:c r="I8" s="192" t="n">
        <x:f>IF((G8+H8)=0,"",G8/(G8+H8))</x:f>
        <x:v>0</x:v>
      </x:c>
      <x:c r="J8" s="191" t="n">
        <x:f>'02 Config'!$C$11</x:f>
        <x:v>150000</x:v>
      </x:c>
      <x:c r="K8" s="191" t="n">
        <x:f>E8-J8</x:f>
        <x:v>-150000</x:v>
      </x:c>
      <x:c r="L8" s="133" t="str">
        <x:f>IF(E8&gt;=J8,"Cumplida",IF((E8+D8)&gt;=J8,"En riesgo","Crítica"))</x:f>
        <x:v>Crítica</x:v>
      </x:c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>
      <x:c r="A9" s="190" t="n">
        <x:f>DATE('02 Config'!$C$8,4,1)</x:f>
        <x:v>46113</x:v>
      </x:c>
      <x:c r="B9" s="158" t="str">
        <x:v>Abril</x:v>
      </x:c>
      <x:c r="C9" s="191" t="n">
        <x:f>SUMIFS('04 Pipeline'!$G:$G,'04 Pipeline'!$I:$I,"&gt;="&amp;$A9,'04 Pipeline'!$I:$I,"&lt;"&amp;EDATE($A9,1),'04 Pipeline'!$M:$M,"Abierto")</x:f>
        <x:v>0</x:v>
      </x:c>
      <x:c r="D9" s="191" t="n">
        <x:f>SUMIFS('04 Pipeline'!$H:$H,'04 Pipeline'!$I:$I,"&gt;="&amp;$A9,'04 Pipeline'!$I:$I,"&lt;"&amp;EDATE($A9,1),'04 Pipeline'!$M:$M,"Abierto")</x:f>
        <x:v>0</x:v>
      </x:c>
      <x:c r="E9" s="191" t="n">
        <x:f>SUMIFS('04 Pipeline'!$G:$G,'04 Pipeline'!$I:$I,"&gt;="&amp;$A9,'04 Pipeline'!$I:$I,"&lt;"&amp;EDATE($A9,1),'04 Pipeline'!$M:$M,"Ganado")</x:f>
        <x:v>180000</x:v>
      </x:c>
      <x:c r="F9" s="158" t="n">
        <x:f>COUNTIFS('04 Pipeline'!$I:$I,"&gt;="&amp;$A9,'04 Pipeline'!$I:$I,"&lt;"&amp;EDATE($A9,1),'04 Pipeline'!$M:$M,"Abierto")</x:f>
        <x:v>0</x:v>
      </x:c>
      <x:c r="G9" s="158" t="n">
        <x:f>COUNTIFS('04 Pipeline'!$I:$I,"&gt;="&amp;$A9,'04 Pipeline'!$I:$I,"&lt;"&amp;EDATE($A9,1),'04 Pipeline'!$M:$M,"Ganado")</x:f>
        <x:v>1</x:v>
      </x:c>
      <x:c r="H9" s="158" t="n">
        <x:f>COUNTIFS('04 Pipeline'!$I:$I,"&gt;="&amp;$A9,'04 Pipeline'!$I:$I,"&lt;"&amp;EDATE($A9,1),'04 Pipeline'!$M:$M,"Perdido")</x:f>
        <x:v>0</x:v>
      </x:c>
      <x:c r="I9" s="192" t="n">
        <x:f>IF((G9+H9)=0,"",G9/(G9+H9))</x:f>
        <x:v>1</x:v>
      </x:c>
      <x:c r="J9" s="191" t="n">
        <x:f>'02 Config'!$C$11</x:f>
        <x:v>150000</x:v>
      </x:c>
      <x:c r="K9" s="191" t="n">
        <x:f>E9-J9</x:f>
        <x:v>30000</x:v>
      </x:c>
      <x:c r="L9" s="133" t="str">
        <x:f>IF(E9&gt;=J9,"Cumplida",IF((E9+D9)&gt;=J9,"En riesgo","Crítica"))</x:f>
        <x:v>Cumplida</x:v>
      </x:c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>
      <x:c r="A10" s="190" t="n">
        <x:f>DATE('02 Config'!$C$8,5,1)</x:f>
        <x:v>46143</x:v>
      </x:c>
      <x:c r="B10" s="158" t="str">
        <x:v>Mayo</x:v>
      </x:c>
      <x:c r="C10" s="191" t="n">
        <x:f>SUMIFS('04 Pipeline'!$G:$G,'04 Pipeline'!$I:$I,"&gt;="&amp;$A10,'04 Pipeline'!$I:$I,"&lt;"&amp;EDATE($A10,1),'04 Pipeline'!$M:$M,"Abierto")</x:f>
        <x:v>185000</x:v>
      </x:c>
      <x:c r="D10" s="191" t="n">
        <x:f>SUMIFS('04 Pipeline'!$H:$H,'04 Pipeline'!$I:$I,"&gt;="&amp;$A10,'04 Pipeline'!$I:$I,"&lt;"&amp;EDATE($A10,1),'04 Pipeline'!$M:$M,"Abierto")</x:f>
        <x:v>89500</x:v>
      </x:c>
      <x:c r="E10" s="191" t="n">
        <x:f>SUMIFS('04 Pipeline'!$G:$G,'04 Pipeline'!$I:$I,"&gt;="&amp;$A10,'04 Pipeline'!$I:$I,"&lt;"&amp;EDATE($A10,1),'04 Pipeline'!$M:$M,"Ganado")</x:f>
        <x:v>0</x:v>
      </x:c>
      <x:c r="F10" s="158" t="n">
        <x:f>COUNTIFS('04 Pipeline'!$I:$I,"&gt;="&amp;$A10,'04 Pipeline'!$I:$I,"&lt;"&amp;EDATE($A10,1),'04 Pipeline'!$M:$M,"Abierto")</x:f>
        <x:v>2</x:v>
      </x:c>
      <x:c r="G10" s="158" t="n">
        <x:f>COUNTIFS('04 Pipeline'!$I:$I,"&gt;="&amp;$A10,'04 Pipeline'!$I:$I,"&lt;"&amp;EDATE($A10,1),'04 Pipeline'!$M:$M,"Ganado")</x:f>
        <x:v>0</x:v>
      </x:c>
      <x:c r="H10" s="158" t="n">
        <x:f>COUNTIFS('04 Pipeline'!$I:$I,"&gt;="&amp;$A10,'04 Pipeline'!$I:$I,"&lt;"&amp;EDATE($A10,1),'04 Pipeline'!$M:$M,"Perdido")</x:f>
        <x:v>0</x:v>
      </x:c>
      <x:c r="I10" s="192" t="str">
        <x:f>IF((G10+H10)=0,"",G10/(G10+H10))</x:f>
      </x:c>
      <x:c r="J10" s="191" t="n">
        <x:f>'02 Config'!$C$11</x:f>
        <x:v>150000</x:v>
      </x:c>
      <x:c r="K10" s="191" t="n">
        <x:f>E10-J10</x:f>
        <x:v>-150000</x:v>
      </x:c>
      <x:c r="L10" s="133" t="str">
        <x:f>IF(E10&gt;=J10,"Cumplida",IF((E10+D10)&gt;=J10,"En riesgo","Crítica"))</x:f>
        <x:v>Crítica</x:v>
      </x:c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>
      <x:c r="A11" s="190" t="n">
        <x:f>DATE('02 Config'!$C$8,6,1)</x:f>
        <x:v>46174</x:v>
      </x:c>
      <x:c r="B11" s="158" t="str">
        <x:v>Junio</x:v>
      </x:c>
      <x:c r="C11" s="191" t="n">
        <x:f>SUMIFS('04 Pipeline'!$G:$G,'04 Pipeline'!$I:$I,"&gt;="&amp;$A11,'04 Pipeline'!$I:$I,"&lt;"&amp;EDATE($A11,1),'04 Pipeline'!$M:$M,"Abierto")</x:f>
        <x:v>95000</x:v>
      </x:c>
      <x:c r="D11" s="191" t="n">
        <x:f>SUMIFS('04 Pipeline'!$H:$H,'04 Pipeline'!$I:$I,"&gt;="&amp;$A11,'04 Pipeline'!$I:$I,"&lt;"&amp;EDATE($A11,1),'04 Pipeline'!$M:$M,"Abierto")</x:f>
        <x:v>71250</x:v>
      </x:c>
      <x:c r="E11" s="191" t="n">
        <x:f>SUMIFS('04 Pipeline'!$G:$G,'04 Pipeline'!$I:$I,"&gt;="&amp;$A11,'04 Pipeline'!$I:$I,"&lt;"&amp;EDATE($A11,1),'04 Pipeline'!$M:$M,"Ganado")</x:f>
        <x:v>0</x:v>
      </x:c>
      <x:c r="F11" s="158" t="n">
        <x:f>COUNTIFS('04 Pipeline'!$I:$I,"&gt;="&amp;$A11,'04 Pipeline'!$I:$I,"&lt;"&amp;EDATE($A11,1),'04 Pipeline'!$M:$M,"Abierto")</x:f>
        <x:v>1</x:v>
      </x:c>
      <x:c r="G11" s="158" t="n">
        <x:f>COUNTIFS('04 Pipeline'!$I:$I,"&gt;="&amp;$A11,'04 Pipeline'!$I:$I,"&lt;"&amp;EDATE($A11,1),'04 Pipeline'!$M:$M,"Ganado")</x:f>
        <x:v>0</x:v>
      </x:c>
      <x:c r="H11" s="158" t="n">
        <x:f>COUNTIFS('04 Pipeline'!$I:$I,"&gt;="&amp;$A11,'04 Pipeline'!$I:$I,"&lt;"&amp;EDATE($A11,1),'04 Pipeline'!$M:$M,"Perdido")</x:f>
        <x:v>0</x:v>
      </x:c>
      <x:c r="I11" s="192" t="str">
        <x:f>IF((G11+H11)=0,"",G11/(G11+H11))</x:f>
      </x:c>
      <x:c r="J11" s="191" t="n">
        <x:f>'02 Config'!$C$11</x:f>
        <x:v>150000</x:v>
      </x:c>
      <x:c r="K11" s="191" t="n">
        <x:f>E11-J11</x:f>
        <x:v>-150000</x:v>
      </x:c>
      <x:c r="L11" s="133" t="str">
        <x:f>IF(E11&gt;=J11,"Cumplida",IF((E11+D11)&gt;=J11,"En riesgo","Crítica"))</x:f>
        <x:v>Crítica</x:v>
      </x:c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>
      <x:c r="A12" s="190" t="n">
        <x:f>DATE('02 Config'!$C$8,7,1)</x:f>
        <x:v>46204</x:v>
      </x:c>
      <x:c r="B12" s="158" t="str">
        <x:v>Julio</x:v>
      </x:c>
      <x:c r="C12" s="191" t="n">
        <x:f>SUMIFS('04 Pipeline'!$G:$G,'04 Pipeline'!$I:$I,"&gt;="&amp;$A12,'04 Pipeline'!$I:$I,"&lt;"&amp;EDATE($A12,1),'04 Pipeline'!$M:$M,"Abierto")</x:f>
        <x:v>65000</x:v>
      </x:c>
      <x:c r="D12" s="191" t="n">
        <x:f>SUMIFS('04 Pipeline'!$H:$H,'04 Pipeline'!$I:$I,"&gt;="&amp;$A12,'04 Pipeline'!$I:$I,"&lt;"&amp;EDATE($A12,1),'04 Pipeline'!$M:$M,"Abierto")</x:f>
        <x:v>22750</x:v>
      </x:c>
      <x:c r="E12" s="191" t="n">
        <x:f>SUMIFS('04 Pipeline'!$G:$G,'04 Pipeline'!$I:$I,"&gt;="&amp;$A12,'04 Pipeline'!$I:$I,"&lt;"&amp;EDATE($A12,1),'04 Pipeline'!$M:$M,"Ganado")</x:f>
        <x:v>0</x:v>
      </x:c>
      <x:c r="F12" s="158" t="n">
        <x:f>COUNTIFS('04 Pipeline'!$I:$I,"&gt;="&amp;$A12,'04 Pipeline'!$I:$I,"&lt;"&amp;EDATE($A12,1),'04 Pipeline'!$M:$M,"Abierto")</x:f>
        <x:v>1</x:v>
      </x:c>
      <x:c r="G12" s="158" t="n">
        <x:f>COUNTIFS('04 Pipeline'!$I:$I,"&gt;="&amp;$A12,'04 Pipeline'!$I:$I,"&lt;"&amp;EDATE($A12,1),'04 Pipeline'!$M:$M,"Ganado")</x:f>
        <x:v>0</x:v>
      </x:c>
      <x:c r="H12" s="158" t="n">
        <x:f>COUNTIFS('04 Pipeline'!$I:$I,"&gt;="&amp;$A12,'04 Pipeline'!$I:$I,"&lt;"&amp;EDATE($A12,1),'04 Pipeline'!$M:$M,"Perdido")</x:f>
        <x:v>0</x:v>
      </x:c>
      <x:c r="I12" s="192" t="str">
        <x:f>IF((G12+H12)=0,"",G12/(G12+H12))</x:f>
      </x:c>
      <x:c r="J12" s="191" t="n">
        <x:f>'02 Config'!$C$11</x:f>
        <x:v>150000</x:v>
      </x:c>
      <x:c r="K12" s="191" t="n">
        <x:f>E12-J12</x:f>
        <x:v>-150000</x:v>
      </x:c>
      <x:c r="L12" s="133" t="str">
        <x:f>IF(E12&gt;=J12,"Cumplida",IF((E12+D12)&gt;=J12,"En riesgo","Crítica"))</x:f>
        <x:v>Crítica</x:v>
      </x:c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>
      <x:c r="A13" s="190" t="n">
        <x:f>DATE('02 Config'!$C$8,8,1)</x:f>
        <x:v>46235</x:v>
      </x:c>
      <x:c r="B13" s="158" t="str">
        <x:v>Agosto</x:v>
      </x:c>
      <x:c r="C13" s="191" t="n">
        <x:f>SUMIFS('04 Pipeline'!$G:$G,'04 Pipeline'!$I:$I,"&gt;="&amp;$A13,'04 Pipeline'!$I:$I,"&lt;"&amp;EDATE($A13,1),'04 Pipeline'!$M:$M,"Abierto")</x:f>
        <x:v>120000</x:v>
      </x:c>
      <x:c r="D13" s="191" t="n">
        <x:f>SUMIFS('04 Pipeline'!$H:$H,'04 Pipeline'!$I:$I,"&gt;="&amp;$A13,'04 Pipeline'!$I:$I,"&lt;"&amp;EDATE($A13,1),'04 Pipeline'!$M:$M,"Abierto")</x:f>
        <x:v>12000</x:v>
      </x:c>
      <x:c r="E13" s="191" t="n">
        <x:f>SUMIFS('04 Pipeline'!$G:$G,'04 Pipeline'!$I:$I,"&gt;="&amp;$A13,'04 Pipeline'!$I:$I,"&lt;"&amp;EDATE($A13,1),'04 Pipeline'!$M:$M,"Ganado")</x:f>
        <x:v>0</x:v>
      </x:c>
      <x:c r="F13" s="158" t="n">
        <x:f>COUNTIFS('04 Pipeline'!$I:$I,"&gt;="&amp;$A13,'04 Pipeline'!$I:$I,"&lt;"&amp;EDATE($A13,1),'04 Pipeline'!$M:$M,"Abierto")</x:f>
        <x:v>1</x:v>
      </x:c>
      <x:c r="G13" s="158" t="n">
        <x:f>COUNTIFS('04 Pipeline'!$I:$I,"&gt;="&amp;$A13,'04 Pipeline'!$I:$I,"&lt;"&amp;EDATE($A13,1),'04 Pipeline'!$M:$M,"Ganado")</x:f>
        <x:v>0</x:v>
      </x:c>
      <x:c r="H13" s="158" t="n">
        <x:f>COUNTIFS('04 Pipeline'!$I:$I,"&gt;="&amp;$A13,'04 Pipeline'!$I:$I,"&lt;"&amp;EDATE($A13,1),'04 Pipeline'!$M:$M,"Perdido")</x:f>
        <x:v>0</x:v>
      </x:c>
      <x:c r="I13" s="192" t="str">
        <x:f>IF((G13+H13)=0,"",G13/(G13+H13))</x:f>
      </x:c>
      <x:c r="J13" s="191" t="n">
        <x:f>'02 Config'!$C$11</x:f>
        <x:v>150000</x:v>
      </x:c>
      <x:c r="K13" s="191" t="n">
        <x:f>E13-J13</x:f>
        <x:v>-150000</x:v>
      </x:c>
      <x:c r="L13" s="133" t="str">
        <x:f>IF(E13&gt;=J13,"Cumplida",IF((E13+D13)&gt;=J13,"En riesgo","Crítica"))</x:f>
        <x:v>Crítica</x:v>
      </x:c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>
      <x:c r="A14" s="190" t="n">
        <x:f>DATE('02 Config'!$C$8,9,1)</x:f>
        <x:v>46266</x:v>
      </x:c>
      <x:c r="B14" s="158" t="str">
        <x:v>Septiembre</x:v>
      </x:c>
      <x:c r="C14" s="191" t="n">
        <x:f>SUMIFS('04 Pipeline'!$G:$G,'04 Pipeline'!$I:$I,"&gt;="&amp;$A14,'04 Pipeline'!$I:$I,"&lt;"&amp;EDATE($A14,1),'04 Pipeline'!$M:$M,"Abierto")</x:f>
        <x:v>0</x:v>
      </x:c>
      <x:c r="D14" s="191" t="n">
        <x:f>SUMIFS('04 Pipeline'!$H:$H,'04 Pipeline'!$I:$I,"&gt;="&amp;$A14,'04 Pipeline'!$I:$I,"&lt;"&amp;EDATE($A14,1),'04 Pipeline'!$M:$M,"Abierto")</x:f>
        <x:v>0</x:v>
      </x:c>
      <x:c r="E14" s="191" t="n">
        <x:f>SUMIFS('04 Pipeline'!$G:$G,'04 Pipeline'!$I:$I,"&gt;="&amp;$A14,'04 Pipeline'!$I:$I,"&lt;"&amp;EDATE($A14,1),'04 Pipeline'!$M:$M,"Ganado")</x:f>
        <x:v>0</x:v>
      </x:c>
      <x:c r="F14" s="158" t="n">
        <x:f>COUNTIFS('04 Pipeline'!$I:$I,"&gt;="&amp;$A14,'04 Pipeline'!$I:$I,"&lt;"&amp;EDATE($A14,1),'04 Pipeline'!$M:$M,"Abierto")</x:f>
        <x:v>0</x:v>
      </x:c>
      <x:c r="G14" s="158" t="n">
        <x:f>COUNTIFS('04 Pipeline'!$I:$I,"&gt;="&amp;$A14,'04 Pipeline'!$I:$I,"&lt;"&amp;EDATE($A14,1),'04 Pipeline'!$M:$M,"Ganado")</x:f>
        <x:v>0</x:v>
      </x:c>
      <x:c r="H14" s="158" t="n">
        <x:f>COUNTIFS('04 Pipeline'!$I:$I,"&gt;="&amp;$A14,'04 Pipeline'!$I:$I,"&lt;"&amp;EDATE($A14,1),'04 Pipeline'!$M:$M,"Perdido")</x:f>
        <x:v>0</x:v>
      </x:c>
      <x:c r="I14" s="192" t="str">
        <x:f>IF((G14+H14)=0,"",G14/(G14+H14))</x:f>
      </x:c>
      <x:c r="J14" s="191" t="n">
        <x:f>'02 Config'!$C$11</x:f>
        <x:v>150000</x:v>
      </x:c>
      <x:c r="K14" s="191" t="n">
        <x:f>E14-J14</x:f>
        <x:v>-150000</x:v>
      </x:c>
      <x:c r="L14" s="133" t="str">
        <x:f>IF(E14&gt;=J14,"Cumplida",IF((E14+D14)&gt;=J14,"En riesgo","Crítica"))</x:f>
        <x:v>Crítica</x:v>
      </x:c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>
      <x:c r="A15" s="190" t="n">
        <x:f>DATE('02 Config'!$C$8,10,1)</x:f>
        <x:v>46296</x:v>
      </x:c>
      <x:c r="B15" s="158" t="str">
        <x:v>Octubre</x:v>
      </x:c>
      <x:c r="C15" s="191" t="n">
        <x:f>SUMIFS('04 Pipeline'!$G:$G,'04 Pipeline'!$I:$I,"&gt;="&amp;$A15,'04 Pipeline'!$I:$I,"&lt;"&amp;EDATE($A15,1),'04 Pipeline'!$M:$M,"Abierto")</x:f>
        <x:v>0</x:v>
      </x:c>
      <x:c r="D15" s="191" t="n">
        <x:f>SUMIFS('04 Pipeline'!$H:$H,'04 Pipeline'!$I:$I,"&gt;="&amp;$A15,'04 Pipeline'!$I:$I,"&lt;"&amp;EDATE($A15,1),'04 Pipeline'!$M:$M,"Abierto")</x:f>
        <x:v>0</x:v>
      </x:c>
      <x:c r="E15" s="191" t="n">
        <x:f>SUMIFS('04 Pipeline'!$G:$G,'04 Pipeline'!$I:$I,"&gt;="&amp;$A15,'04 Pipeline'!$I:$I,"&lt;"&amp;EDATE($A15,1),'04 Pipeline'!$M:$M,"Ganado")</x:f>
        <x:v>0</x:v>
      </x:c>
      <x:c r="F15" s="158" t="n">
        <x:f>COUNTIFS('04 Pipeline'!$I:$I,"&gt;="&amp;$A15,'04 Pipeline'!$I:$I,"&lt;"&amp;EDATE($A15,1),'04 Pipeline'!$M:$M,"Abierto")</x:f>
        <x:v>0</x:v>
      </x:c>
      <x:c r="G15" s="158" t="n">
        <x:f>COUNTIFS('04 Pipeline'!$I:$I,"&gt;="&amp;$A15,'04 Pipeline'!$I:$I,"&lt;"&amp;EDATE($A15,1),'04 Pipeline'!$M:$M,"Ganado")</x:f>
        <x:v>0</x:v>
      </x:c>
      <x:c r="H15" s="158" t="n">
        <x:f>COUNTIFS('04 Pipeline'!$I:$I,"&gt;="&amp;$A15,'04 Pipeline'!$I:$I,"&lt;"&amp;EDATE($A15,1),'04 Pipeline'!$M:$M,"Perdido")</x:f>
        <x:v>0</x:v>
      </x:c>
      <x:c r="I15" s="192" t="str">
        <x:f>IF((G15+H15)=0,"",G15/(G15+H15))</x:f>
      </x:c>
      <x:c r="J15" s="191" t="n">
        <x:f>'02 Config'!$C$11</x:f>
        <x:v>150000</x:v>
      </x:c>
      <x:c r="K15" s="191" t="n">
        <x:f>E15-J15</x:f>
        <x:v>-150000</x:v>
      </x:c>
      <x:c r="L15" s="133" t="str">
        <x:f>IF(E15&gt;=J15,"Cumplida",IF((E15+D15)&gt;=J15,"En riesgo","Crítica"))</x:f>
        <x:v>Crítica</x:v>
      </x:c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>
      <x:c r="A16" s="190" t="n">
        <x:f>DATE('02 Config'!$C$8,11,1)</x:f>
        <x:v>46327</x:v>
      </x:c>
      <x:c r="B16" s="158" t="str">
        <x:v>Noviembre</x:v>
      </x:c>
      <x:c r="C16" s="191" t="n">
        <x:f>SUMIFS('04 Pipeline'!$G:$G,'04 Pipeline'!$I:$I,"&gt;="&amp;$A16,'04 Pipeline'!$I:$I,"&lt;"&amp;EDATE($A16,1),'04 Pipeline'!$M:$M,"Abierto")</x:f>
        <x:v>0</x:v>
      </x:c>
      <x:c r="D16" s="191" t="n">
        <x:f>SUMIFS('04 Pipeline'!$H:$H,'04 Pipeline'!$I:$I,"&gt;="&amp;$A16,'04 Pipeline'!$I:$I,"&lt;"&amp;EDATE($A16,1),'04 Pipeline'!$M:$M,"Abierto")</x:f>
        <x:v>0</x:v>
      </x:c>
      <x:c r="E16" s="191" t="n">
        <x:f>SUMIFS('04 Pipeline'!$G:$G,'04 Pipeline'!$I:$I,"&gt;="&amp;$A16,'04 Pipeline'!$I:$I,"&lt;"&amp;EDATE($A16,1),'04 Pipeline'!$M:$M,"Ganado")</x:f>
        <x:v>0</x:v>
      </x:c>
      <x:c r="F16" s="158" t="n">
        <x:f>COUNTIFS('04 Pipeline'!$I:$I,"&gt;="&amp;$A16,'04 Pipeline'!$I:$I,"&lt;"&amp;EDATE($A16,1),'04 Pipeline'!$M:$M,"Abierto")</x:f>
        <x:v>0</x:v>
      </x:c>
      <x:c r="G16" s="158" t="n">
        <x:f>COUNTIFS('04 Pipeline'!$I:$I,"&gt;="&amp;$A16,'04 Pipeline'!$I:$I,"&lt;"&amp;EDATE($A16,1),'04 Pipeline'!$M:$M,"Ganado")</x:f>
        <x:v>0</x:v>
      </x:c>
      <x:c r="H16" s="158" t="n">
        <x:f>COUNTIFS('04 Pipeline'!$I:$I,"&gt;="&amp;$A16,'04 Pipeline'!$I:$I,"&lt;"&amp;EDATE($A16,1),'04 Pipeline'!$M:$M,"Perdido")</x:f>
        <x:v>0</x:v>
      </x:c>
      <x:c r="I16" s="192" t="str">
        <x:f>IF((G16+H16)=0,"",G16/(G16+H16))</x:f>
      </x:c>
      <x:c r="J16" s="191" t="n">
        <x:f>'02 Config'!$C$11</x:f>
        <x:v>150000</x:v>
      </x:c>
      <x:c r="K16" s="191" t="n">
        <x:f>E16-J16</x:f>
        <x:v>-150000</x:v>
      </x:c>
      <x:c r="L16" s="133" t="str">
        <x:f>IF(E16&gt;=J16,"Cumplida",IF((E16+D16)&gt;=J16,"En riesgo","Crítica"))</x:f>
        <x:v>Crítica</x:v>
      </x:c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>
      <x:c r="A17" s="190" t="n">
        <x:f>DATE('02 Config'!$C$8,12,1)</x:f>
        <x:v>46357</x:v>
      </x:c>
      <x:c r="B17" s="158" t="str">
        <x:v>Diciembre</x:v>
      </x:c>
      <x:c r="C17" s="191" t="n">
        <x:f>SUMIFS('04 Pipeline'!$G:$G,'04 Pipeline'!$I:$I,"&gt;="&amp;$A17,'04 Pipeline'!$I:$I,"&lt;"&amp;EDATE($A17,1),'04 Pipeline'!$M:$M,"Abierto")</x:f>
        <x:v>0</x:v>
      </x:c>
      <x:c r="D17" s="191" t="n">
        <x:f>SUMIFS('04 Pipeline'!$H:$H,'04 Pipeline'!$I:$I,"&gt;="&amp;$A17,'04 Pipeline'!$I:$I,"&lt;"&amp;EDATE($A17,1),'04 Pipeline'!$M:$M,"Abierto")</x:f>
        <x:v>0</x:v>
      </x:c>
      <x:c r="E17" s="191" t="n">
        <x:f>SUMIFS('04 Pipeline'!$G:$G,'04 Pipeline'!$I:$I,"&gt;="&amp;$A17,'04 Pipeline'!$I:$I,"&lt;"&amp;EDATE($A17,1),'04 Pipeline'!$M:$M,"Ganado")</x:f>
        <x:v>0</x:v>
      </x:c>
      <x:c r="F17" s="158" t="n">
        <x:f>COUNTIFS('04 Pipeline'!$I:$I,"&gt;="&amp;$A17,'04 Pipeline'!$I:$I,"&lt;"&amp;EDATE($A17,1),'04 Pipeline'!$M:$M,"Abierto")</x:f>
        <x:v>0</x:v>
      </x:c>
      <x:c r="G17" s="158" t="n">
        <x:f>COUNTIFS('04 Pipeline'!$I:$I,"&gt;="&amp;$A17,'04 Pipeline'!$I:$I,"&lt;"&amp;EDATE($A17,1),'04 Pipeline'!$M:$M,"Ganado")</x:f>
        <x:v>0</x:v>
      </x:c>
      <x:c r="H17" s="158" t="n">
        <x:f>COUNTIFS('04 Pipeline'!$I:$I,"&gt;="&amp;$A17,'04 Pipeline'!$I:$I,"&lt;"&amp;EDATE($A17,1),'04 Pipeline'!$M:$M,"Perdido")</x:f>
        <x:v>0</x:v>
      </x:c>
      <x:c r="I17" s="192" t="str">
        <x:f>IF((G17+H17)=0,"",G17/(G17+H17))</x:f>
      </x:c>
      <x:c r="J17" s="191" t="n">
        <x:f>'02 Config'!$C$11</x:f>
        <x:v>150000</x:v>
      </x:c>
      <x:c r="K17" s="191" t="n">
        <x:f>E17-J17</x:f>
        <x:v>-150000</x:v>
      </x:c>
      <x:c r="L17" s="133" t="str">
        <x:f>IF(E17&gt;=J17,"Cumplida",IF((E17+D17)&gt;=J17,"En riesgo","Crítica"))</x:f>
        <x:v>Crítica</x:v>
      </x:c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>
      <x:c r="A18" s="176"/>
      <x:c r="B18" s="176"/>
      <x:c r="C18" s="176"/>
      <x:c r="D18" s="176"/>
      <x:c r="E18" s="176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>
      <x:c r="A19" s="176"/>
      <x:c r="B19" s="176"/>
      <x:c r="C19" s="176"/>
      <x:c r="D19" s="176"/>
      <x:c r="E19" s="176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>
      <x:c r="A20" s="176"/>
      <x:c r="B20" s="176"/>
      <x:c r="C20" s="176"/>
      <x:c r="D20" s="176"/>
      <x:c r="E20" s="176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>
      <x:c r="A21" s="176"/>
      <x:c r="B21" s="176"/>
      <x:c r="C21" s="176"/>
      <x:c r="D21" s="176"/>
      <x:c r="E21" s="176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>
      <x:c r="A22" s="176"/>
      <x:c r="B22" s="176"/>
      <x:c r="C22" s="176"/>
      <x:c r="D22" s="176"/>
      <x:c r="E22" s="176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>
      <x:c r="A23" s="176"/>
      <x:c r="B23" s="176"/>
      <x:c r="C23" s="176"/>
      <x:c r="D23" s="176"/>
      <x:c r="E23" s="176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>
      <x:c r="A26" s="176"/>
      <x:c r="B26" s="176"/>
      <x:c r="C26" s="176"/>
      <x:c r="D26" s="176"/>
      <x:c r="E26" s="176"/>
      <x:c r="F26" s="176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>
      <x:c r="A27" s="176"/>
      <x:c r="B27" s="176"/>
      <x:c r="C27" s="176"/>
      <x:c r="D27" s="176"/>
      <x:c r="E27" s="176"/>
      <x:c r="F27" s="176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>
      <x:c r="A28" s="176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>
      <x:c r="A29" s="176"/>
      <x:c r="B29" s="176"/>
      <x:c r="C29" s="176"/>
      <x:c r="D29" s="176"/>
      <x:c r="E29" s="176"/>
      <x:c r="F29" s="176"/>
      <x:c r="G29" s="176"/>
      <x:c r="H29" s="176"/>
      <x:c r="I29" s="176"/>
      <x:c r="J29" s="176"/>
      <x:c r="K29" s="176"/>
      <x:c r="L29" s="176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>
      <x:c r="A30" s="176"/>
      <x:c r="B30" s="176"/>
      <x:c r="C30" s="176"/>
      <x:c r="D30" s="176"/>
      <x:c r="E30" s="176"/>
      <x:c r="F30" s="176"/>
      <x:c r="G30" s="176"/>
      <x:c r="H30" s="176"/>
      <x:c r="I30" s="176"/>
      <x:c r="J30" s="176"/>
      <x:c r="K30" s="176"/>
      <x:c r="L30" s="176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>
      <x:c r="A31" s="176"/>
      <x:c r="B31" s="176"/>
      <x:c r="C31" s="176"/>
      <x:c r="D31" s="176"/>
      <x:c r="E31" s="176"/>
      <x:c r="F31" s="176"/>
      <x:c r="G31" s="176"/>
      <x:c r="H31" s="176"/>
      <x:c r="I31" s="176"/>
      <x:c r="J31" s="176"/>
      <x:c r="K31" s="176"/>
      <x:c r="L31" s="176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>
      <x:c r="A32" s="176"/>
      <x:c r="B32" s="176"/>
      <x:c r="C32" s="176"/>
      <x:c r="D32" s="176"/>
      <x:c r="E32" s="176"/>
      <x:c r="F32" s="176"/>
      <x:c r="G32" s="176"/>
      <x:c r="H32" s="176"/>
      <x:c r="I32" s="176"/>
      <x:c r="J32" s="176"/>
      <x:c r="K32" s="176"/>
      <x:c r="L32" s="176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>
      <x:c r="A33" s="176"/>
      <x:c r="B33" s="176"/>
      <x:c r="C33" s="176"/>
      <x:c r="D33" s="176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>
      <x:c r="A34" s="176"/>
      <x:c r="B34" s="176"/>
      <x:c r="C34" s="176"/>
      <x:c r="D34" s="176"/>
      <x:c r="E34" s="176"/>
      <x:c r="F34" s="176"/>
      <x:c r="G34" s="176"/>
      <x:c r="H34" s="176"/>
      <x:c r="I34" s="176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>
      <x:c r="A35" s="176"/>
      <x:c r="B35" s="176"/>
      <x:c r="C35" s="176"/>
      <x:c r="D35" s="176"/>
      <x:c r="E35" s="176"/>
      <x:c r="F35" s="176"/>
      <x:c r="G35" s="176"/>
      <x:c r="H35" s="176"/>
      <x:c r="I35" s="176"/>
      <x:c r="J35" s="176"/>
      <x:c r="K35" s="17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>
      <x:c r="A36" s="176"/>
      <x:c r="B36" s="176"/>
      <x:c r="C36" s="176"/>
      <x:c r="D36" s="176"/>
      <x:c r="E36" s="176"/>
      <x:c r="F36" s="176"/>
      <x:c r="G36" s="176"/>
      <x:c r="H36" s="176"/>
      <x:c r="I36" s="176"/>
      <x:c r="J36" s="176"/>
      <x:c r="K36" s="176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6"/>
      <x:c r="K37" s="176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>
      <x:c r="A38" s="176"/>
      <x:c r="B38" s="176"/>
      <x:c r="C38" s="176"/>
      <x:c r="D38" s="176"/>
      <x:c r="E38" s="176"/>
      <x:c r="F38" s="176"/>
      <x:c r="G38" s="176"/>
      <x:c r="H38" s="176"/>
      <x:c r="I38" s="176"/>
      <x:c r="J38" s="176"/>
      <x:c r="K38" s="176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>
      <x:c r="A39" s="176"/>
      <x:c r="B39" s="176"/>
      <x:c r="C39" s="176"/>
      <x:c r="D39" s="176"/>
      <x:c r="E39" s="176"/>
      <x:c r="F39" s="176"/>
      <x:c r="G39" s="176"/>
      <x:c r="H39" s="176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>
      <x:c r="A40" s="176"/>
      <x:c r="B40" s="176"/>
      <x:c r="C40" s="176"/>
      <x:c r="D40" s="176"/>
      <x:c r="E40" s="176"/>
      <x:c r="F40" s="176"/>
      <x:c r="G40" s="176"/>
      <x:c r="H40" s="176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>
      <x:c r="A41" s="176"/>
      <x:c r="B41" s="176"/>
      <x:c r="C41" s="176"/>
      <x:c r="D41" s="176"/>
      <x:c r="E41" s="176"/>
      <x:c r="F41" s="176"/>
      <x:c r="G41" s="176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>
      <x:c r="A42" s="176"/>
      <x:c r="B42" s="176"/>
      <x:c r="C42" s="176"/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>
      <x:c r="A43" s="176"/>
      <x:c r="B43" s="176"/>
      <x:c r="C43" s="176"/>
      <x:c r="D43" s="176"/>
      <x:c r="E43" s="176"/>
      <x:c r="F43" s="176"/>
      <x:c r="G43" s="176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>
      <x:c r="A44" s="176"/>
      <x:c r="B44" s="176"/>
      <x:c r="C44" s="176"/>
      <x:c r="D44" s="176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>
      <x:c r="A45" s="176"/>
      <x:c r="B45" s="176"/>
      <x:c r="C45" s="176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>
      <x:c r="A46" s="177"/>
      <x:c r="B46" s="177"/>
      <x:c r="C46" s="177"/>
      <x:c r="D46" s="177"/>
      <x:c r="E46" s="177"/>
      <x:c r="F46" s="177"/>
      <x:c r="G46" s="177"/>
      <x:c r="H46" s="177"/>
      <x:c r="I46" s="177"/>
      <x:c r="J46" s="177"/>
      <x:c r="K46" s="177"/>
      <x:c r="L46" s="177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>
      <x:c r="A47" s="177"/>
      <x:c r="B47" s="177"/>
      <x:c r="C47" s="177"/>
      <x:c r="D47" s="177"/>
      <x:c r="E47" s="177"/>
      <x:c r="F47" s="177"/>
      <x:c r="G47" s="177"/>
      <x:c r="H47" s="177"/>
      <x:c r="I47" s="177"/>
      <x:c r="J47" s="177"/>
      <x:c r="K47" s="177"/>
      <x:c r="L47" s="177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>
      <x:c r="A48" s="177"/>
      <x:c r="B48" s="177"/>
      <x:c r="C48" s="177"/>
      <x:c r="D48" s="177"/>
      <x:c r="E48" s="177"/>
      <x:c r="F48" s="177"/>
      <x:c r="G48" s="177"/>
      <x:c r="H48" s="177"/>
      <x:c r="I48" s="177"/>
      <x:c r="J48" s="177"/>
      <x:c r="K48" s="177"/>
      <x:c r="L48" s="177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>
      <x:c r="A49" s="177"/>
      <x:c r="B49" s="177"/>
      <x:c r="C49" s="177"/>
      <x:c r="D49" s="177"/>
      <x:c r="E49" s="177"/>
      <x:c r="F49" s="177"/>
      <x:c r="G49" s="177"/>
      <x:c r="H49" s="177"/>
      <x:c r="I49" s="177"/>
      <x:c r="J49" s="177"/>
      <x:c r="K49" s="177"/>
      <x:c r="L49" s="177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>
      <x:c r="A50" s="177"/>
      <x:c r="B50" s="177"/>
      <x:c r="C50" s="177"/>
      <x:c r="D50" s="177"/>
      <x:c r="E50" s="177"/>
      <x:c r="F50" s="177"/>
      <x:c r="G50" s="177"/>
      <x:c r="H50" s="177"/>
      <x:c r="I50" s="177"/>
      <x:c r="J50" s="177"/>
      <x:c r="K50" s="177"/>
      <x:c r="L50" s="177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>
      <x:c r="A51" s="177"/>
      <x:c r="B51" s="177"/>
      <x:c r="C51" s="177"/>
      <x:c r="D51" s="177"/>
      <x:c r="E51" s="177"/>
      <x:c r="F51" s="177"/>
      <x:c r="G51" s="177"/>
      <x:c r="H51" s="177"/>
      <x:c r="I51" s="177"/>
      <x:c r="J51" s="177"/>
      <x:c r="K51" s="177"/>
      <x:c r="L51" s="177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>
      <x:c r="A52" s="177"/>
      <x:c r="B52" s="177"/>
      <x:c r="C52" s="177"/>
      <x:c r="D52" s="177"/>
      <x:c r="E52" s="177"/>
      <x:c r="F52" s="177"/>
      <x:c r="G52" s="177"/>
      <x:c r="H52" s="177"/>
      <x:c r="I52" s="177"/>
      <x:c r="J52" s="177"/>
      <x:c r="K52" s="177"/>
      <x:c r="L52" s="177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>
      <x:c r="A53" s="177"/>
      <x:c r="B53" s="177"/>
      <x:c r="C53" s="177"/>
      <x:c r="D53" s="177"/>
      <x:c r="E53" s="177"/>
      <x:c r="F53" s="177"/>
      <x:c r="G53" s="177"/>
      <x:c r="H53" s="177"/>
      <x:c r="I53" s="177"/>
      <x:c r="J53" s="177"/>
      <x:c r="K53" s="177"/>
      <x:c r="L53" s="177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>
      <x:c r="A54" s="177"/>
      <x:c r="B54" s="177"/>
      <x:c r="C54" s="177"/>
      <x:c r="D54" s="177"/>
      <x:c r="E54" s="177"/>
      <x:c r="F54" s="177"/>
      <x:c r="G54" s="177"/>
      <x:c r="H54" s="177"/>
      <x:c r="I54" s="177"/>
      <x:c r="J54" s="177"/>
      <x:c r="K54" s="177"/>
      <x:c r="L54" s="177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>
      <x:c r="A55" s="177"/>
      <x:c r="B55" s="177"/>
      <x:c r="C55" s="177"/>
      <x:c r="D55" s="177"/>
      <x:c r="E55" s="177"/>
      <x:c r="F55" s="177"/>
      <x:c r="G55" s="177"/>
      <x:c r="H55" s="177"/>
      <x:c r="I55" s="177"/>
      <x:c r="J55" s="177"/>
      <x:c r="K55" s="177"/>
      <x:c r="L55" s="177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>
      <x:c r="A56" s="177"/>
      <x:c r="B56" s="177"/>
      <x:c r="C56" s="177"/>
      <x:c r="D56" s="177"/>
      <x:c r="E56" s="177"/>
      <x:c r="F56" s="177"/>
      <x:c r="G56" s="177"/>
      <x:c r="H56" s="177"/>
      <x:c r="I56" s="177"/>
      <x:c r="J56" s="177"/>
      <x:c r="K56" s="177"/>
      <x:c r="L56" s="177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>
      <x:c r="A57" s="177"/>
      <x:c r="B57" s="177"/>
      <x:c r="C57" s="177"/>
      <x:c r="D57" s="177"/>
      <x:c r="E57" s="177"/>
      <x:c r="F57" s="177"/>
      <x:c r="G57" s="177"/>
      <x:c r="H57" s="177"/>
      <x:c r="I57" s="177"/>
      <x:c r="J57" s="177"/>
      <x:c r="K57" s="177"/>
      <x:c r="L57" s="177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>
      <x:c r="A58" s="177"/>
      <x:c r="B58" s="177"/>
      <x:c r="C58" s="177"/>
      <x:c r="D58" s="177"/>
      <x:c r="E58" s="177"/>
      <x:c r="F58" s="177"/>
      <x:c r="G58" s="177"/>
      <x:c r="H58" s="177"/>
      <x:c r="I58" s="177"/>
      <x:c r="J58" s="177"/>
      <x:c r="K58" s="177"/>
      <x:c r="L58" s="177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>
      <x:c r="A59" s="177"/>
      <x:c r="B59" s="177"/>
      <x:c r="C59" s="177"/>
      <x:c r="D59" s="177"/>
      <x:c r="E59" s="177"/>
      <x:c r="F59" s="177"/>
      <x:c r="G59" s="177"/>
      <x:c r="H59" s="177"/>
      <x:c r="I59" s="177"/>
      <x:c r="J59" s="177"/>
      <x:c r="K59" s="177"/>
      <x:c r="L59" s="177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>
      <x:c r="A60" s="177"/>
      <x:c r="B60" s="177"/>
      <x:c r="C60" s="177"/>
      <x:c r="D60" s="177"/>
      <x:c r="E60" s="177"/>
      <x:c r="F60" s="177"/>
      <x:c r="G60" s="177"/>
      <x:c r="H60" s="177"/>
      <x:c r="I60" s="177"/>
      <x:c r="J60" s="177"/>
      <x:c r="K60" s="177"/>
      <x:c r="L60" s="177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>
      <x:c r="A61" s="177"/>
      <x:c r="B61" s="177"/>
      <x:c r="C61" s="177"/>
      <x:c r="D61" s="177"/>
      <x:c r="E61" s="177"/>
      <x:c r="F61" s="177"/>
      <x:c r="G61" s="177"/>
      <x:c r="H61" s="177"/>
      <x:c r="I61" s="177"/>
      <x:c r="J61" s="177"/>
      <x:c r="K61" s="177"/>
      <x:c r="L61" s="177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>
      <x:c r="A62" s="177"/>
      <x:c r="B62" s="177"/>
      <x:c r="C62" s="177"/>
      <x:c r="D62" s="177"/>
      <x:c r="E62" s="177"/>
      <x:c r="F62" s="177"/>
      <x:c r="G62" s="177"/>
      <x:c r="H62" s="177"/>
      <x:c r="I62" s="177"/>
      <x:c r="J62" s="177"/>
      <x:c r="K62" s="177"/>
      <x:c r="L62" s="177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>
      <x:c r="A63" s="177"/>
      <x:c r="B63" s="177"/>
      <x:c r="C63" s="177"/>
      <x:c r="D63" s="177"/>
      <x:c r="E63" s="177"/>
      <x:c r="F63" s="177"/>
      <x:c r="G63" s="177"/>
      <x:c r="H63" s="177"/>
      <x:c r="I63" s="177"/>
      <x:c r="J63" s="177"/>
      <x:c r="K63" s="177"/>
      <x:c r="L63" s="177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>
      <x:c r="A64" s="177"/>
      <x:c r="B64" s="177"/>
      <x:c r="C64" s="177"/>
      <x:c r="D64" s="177"/>
      <x:c r="E64" s="177"/>
      <x:c r="F64" s="177"/>
      <x:c r="G64" s="177"/>
      <x:c r="H64" s="177"/>
      <x:c r="I64" s="177"/>
      <x:c r="J64" s="177"/>
      <x:c r="K64" s="177"/>
      <x:c r="L64" s="177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>
      <x:c r="A65" s="177"/>
      <x:c r="B65" s="177"/>
      <x:c r="C65" s="177"/>
      <x:c r="D65" s="177"/>
      <x:c r="E65" s="177"/>
      <x:c r="F65" s="177"/>
      <x:c r="G65" s="177"/>
      <x:c r="H65" s="177"/>
      <x:c r="I65" s="177"/>
      <x:c r="J65" s="177"/>
      <x:c r="K65" s="177"/>
      <x:c r="L65" s="177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>
      <x:c r="A66" s="177"/>
      <x:c r="B66" s="177"/>
      <x:c r="C66" s="177"/>
      <x:c r="D66" s="177"/>
      <x:c r="E66" s="177"/>
      <x:c r="F66" s="177"/>
      <x:c r="G66" s="177"/>
      <x:c r="H66" s="177"/>
      <x:c r="I66" s="177"/>
      <x:c r="J66" s="177"/>
      <x:c r="K66" s="177"/>
      <x:c r="L66" s="177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>
      <x:c r="A67" s="177"/>
      <x:c r="B67" s="177"/>
      <x:c r="C67" s="177"/>
      <x:c r="D67" s="177"/>
      <x:c r="E67" s="177"/>
      <x:c r="F67" s="177"/>
      <x:c r="G67" s="177"/>
      <x:c r="H67" s="177"/>
      <x:c r="I67" s="177"/>
      <x:c r="J67" s="177"/>
      <x:c r="K67" s="177"/>
      <x:c r="L67" s="177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>
      <x:c r="A68" s="177"/>
      <x:c r="B68" s="177"/>
      <x:c r="C68" s="177"/>
      <x:c r="D68" s="177"/>
      <x:c r="E68" s="177"/>
      <x:c r="F68" s="177"/>
      <x:c r="G68" s="177"/>
      <x:c r="H68" s="177"/>
      <x:c r="I68" s="177"/>
      <x:c r="J68" s="177"/>
      <x:c r="K68" s="177"/>
      <x:c r="L68" s="177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>
      <x:c r="A69" s="177"/>
      <x:c r="B69" s="177"/>
      <x:c r="C69" s="177"/>
      <x:c r="D69" s="177"/>
      <x:c r="E69" s="177"/>
      <x:c r="F69" s="177"/>
      <x:c r="G69" s="177"/>
      <x:c r="H69" s="177"/>
      <x:c r="I69" s="177"/>
      <x:c r="J69" s="177"/>
      <x:c r="K69" s="177"/>
      <x:c r="L69" s="177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>
      <x:c r="A70" s="177"/>
      <x:c r="B70" s="177"/>
      <x:c r="C70" s="177"/>
      <x:c r="D70" s="177"/>
      <x:c r="E70" s="177"/>
      <x:c r="F70" s="177"/>
      <x:c r="G70" s="177"/>
      <x:c r="H70" s="177"/>
      <x:c r="I70" s="177"/>
      <x:c r="J70" s="177"/>
      <x:c r="K70" s="177"/>
      <x:c r="L70" s="177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>
      <x:c r="A71" s="177"/>
      <x:c r="B71" s="177"/>
      <x:c r="C71" s="177"/>
      <x:c r="D71" s="177"/>
      <x:c r="E71" s="177"/>
      <x:c r="F71" s="177"/>
      <x:c r="G71" s="177"/>
      <x:c r="H71" s="177"/>
      <x:c r="I71" s="177"/>
      <x:c r="J71" s="177"/>
      <x:c r="K71" s="177"/>
      <x:c r="L71" s="177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>
      <x:c r="A72" s="177"/>
      <x:c r="B72" s="177"/>
      <x:c r="C72" s="177"/>
      <x:c r="D72" s="177"/>
      <x:c r="E72" s="177"/>
      <x:c r="F72" s="177"/>
      <x:c r="G72" s="177"/>
      <x:c r="H72" s="177"/>
      <x:c r="I72" s="177"/>
      <x:c r="J72" s="177"/>
      <x:c r="K72" s="177"/>
      <x:c r="L72" s="177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>
      <x:c r="A73" s="177"/>
      <x:c r="B73" s="177"/>
      <x:c r="C73" s="177"/>
      <x:c r="D73" s="177"/>
      <x:c r="E73" s="177"/>
      <x:c r="F73" s="177"/>
      <x:c r="G73" s="177"/>
      <x:c r="H73" s="177"/>
      <x:c r="I73" s="177"/>
      <x:c r="J73" s="177"/>
      <x:c r="K73" s="177"/>
      <x:c r="L73" s="177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>
      <x:c r="A74" s="177"/>
      <x:c r="B74" s="177"/>
      <x:c r="C74" s="177"/>
      <x:c r="D74" s="177"/>
      <x:c r="E74" s="177"/>
      <x:c r="F74" s="177"/>
      <x:c r="G74" s="177"/>
      <x:c r="H74" s="177"/>
      <x:c r="I74" s="177"/>
      <x:c r="J74" s="177"/>
      <x:c r="K74" s="177"/>
      <x:c r="L74" s="177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>
      <x:c r="A75" s="177"/>
      <x:c r="B75" s="177"/>
      <x:c r="C75" s="177"/>
      <x:c r="D75" s="177"/>
      <x:c r="E75" s="177"/>
      <x:c r="F75" s="177"/>
      <x:c r="G75" s="177"/>
      <x:c r="H75" s="177"/>
      <x:c r="I75" s="177"/>
      <x:c r="J75" s="177"/>
      <x:c r="K75" s="177"/>
      <x:c r="L75" s="177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>
      <x:c r="A76" s="177"/>
      <x:c r="B76" s="177"/>
      <x:c r="C76" s="177"/>
      <x:c r="D76" s="177"/>
      <x:c r="E76" s="177"/>
      <x:c r="F76" s="177"/>
      <x:c r="G76" s="177"/>
      <x:c r="H76" s="177"/>
      <x:c r="I76" s="177"/>
      <x:c r="J76" s="177"/>
      <x:c r="K76" s="177"/>
      <x:c r="L76" s="177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>
      <x:c r="A77" s="177"/>
      <x:c r="B77" s="177"/>
      <x:c r="C77" s="177"/>
      <x:c r="D77" s="177"/>
      <x:c r="E77" s="177"/>
      <x:c r="F77" s="177"/>
      <x:c r="G77" s="177"/>
      <x:c r="H77" s="177"/>
      <x:c r="I77" s="177"/>
      <x:c r="J77" s="177"/>
      <x:c r="K77" s="177"/>
      <x:c r="L77" s="177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>
      <x:c r="A78" s="177"/>
      <x:c r="B78" s="177"/>
      <x:c r="C78" s="177"/>
      <x:c r="D78" s="177"/>
      <x:c r="E78" s="177"/>
      <x:c r="F78" s="177"/>
      <x:c r="G78" s="177"/>
      <x:c r="H78" s="177"/>
      <x:c r="I78" s="177"/>
      <x:c r="J78" s="177"/>
      <x:c r="K78" s="177"/>
      <x:c r="L78" s="177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>
      <x:c r="A79" s="177"/>
      <x:c r="B79" s="177"/>
      <x:c r="C79" s="177"/>
      <x:c r="D79" s="177"/>
      <x:c r="E79" s="177"/>
      <x:c r="F79" s="177"/>
      <x:c r="G79" s="177"/>
      <x:c r="H79" s="177"/>
      <x:c r="I79" s="177"/>
      <x:c r="J79" s="177"/>
      <x:c r="K79" s="177"/>
      <x:c r="L79" s="177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>
      <x:c r="A80" s="177"/>
      <x:c r="B80" s="177"/>
      <x:c r="C80" s="177"/>
      <x:c r="D80" s="177"/>
      <x:c r="E80" s="177"/>
      <x:c r="F80" s="177"/>
      <x:c r="G80" s="177"/>
      <x:c r="H80" s="177"/>
      <x:c r="I80" s="177"/>
      <x:c r="J80" s="177"/>
      <x:c r="K80" s="177"/>
      <x:c r="L80" s="177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>
      <x:c r="A81" s="177"/>
      <x:c r="B81" s="177"/>
      <x:c r="C81" s="177"/>
      <x:c r="D81" s="177"/>
      <x:c r="E81" s="177"/>
      <x:c r="F81" s="177"/>
      <x:c r="G81" s="177"/>
      <x:c r="H81" s="177"/>
      <x:c r="I81" s="177"/>
      <x:c r="J81" s="177"/>
      <x:c r="K81" s="177"/>
      <x:c r="L81" s="177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>
      <x:c r="A82" s="177"/>
      <x:c r="B82" s="177"/>
      <x:c r="C82" s="177"/>
      <x:c r="D82" s="177"/>
      <x:c r="E82" s="177"/>
      <x:c r="F82" s="177"/>
      <x:c r="G82" s="177"/>
      <x:c r="H82" s="177"/>
      <x:c r="I82" s="177"/>
      <x:c r="J82" s="177"/>
      <x:c r="K82" s="177"/>
      <x:c r="L82" s="177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>
      <x:c r="A83" s="177"/>
      <x:c r="B83" s="177"/>
      <x:c r="C83" s="177"/>
      <x:c r="D83" s="177"/>
      <x:c r="E83" s="177"/>
      <x:c r="F83" s="177"/>
      <x:c r="G83" s="177"/>
      <x:c r="H83" s="177"/>
      <x:c r="I83" s="177"/>
      <x:c r="J83" s="177"/>
      <x:c r="K83" s="177"/>
      <x:c r="L83" s="177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>
      <x:c r="A84" s="177"/>
      <x:c r="B84" s="177"/>
      <x:c r="C84" s="177"/>
      <x:c r="D84" s="177"/>
      <x:c r="E84" s="177"/>
      <x:c r="F84" s="177"/>
      <x:c r="G84" s="177"/>
      <x:c r="H84" s="177"/>
      <x:c r="I84" s="177"/>
      <x:c r="J84" s="177"/>
      <x:c r="K84" s="177"/>
      <x:c r="L84" s="177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>
      <x:c r="A85" s="177"/>
      <x:c r="B85" s="177"/>
      <x:c r="C85" s="177"/>
      <x:c r="D85" s="177"/>
      <x:c r="E85" s="177"/>
      <x:c r="F85" s="177"/>
      <x:c r="G85" s="177"/>
      <x:c r="H85" s="177"/>
      <x:c r="I85" s="177"/>
      <x:c r="J85" s="177"/>
      <x:c r="K85" s="177"/>
      <x:c r="L85" s="177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>
      <x:c r="A86" s="177"/>
      <x:c r="B86" s="177"/>
      <x:c r="C86" s="177"/>
      <x:c r="D86" s="177"/>
      <x:c r="E86" s="177"/>
      <x:c r="F86" s="177"/>
      <x:c r="G86" s="177"/>
      <x:c r="H86" s="177"/>
      <x:c r="I86" s="177"/>
      <x:c r="J86" s="177"/>
      <x:c r="K86" s="177"/>
      <x:c r="L86" s="177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>
      <x:c r="A87" s="177"/>
      <x:c r="B87" s="177"/>
      <x:c r="C87" s="177"/>
      <x:c r="D87" s="177"/>
      <x:c r="E87" s="177"/>
      <x:c r="F87" s="177"/>
      <x:c r="G87" s="177"/>
      <x:c r="H87" s="177"/>
      <x:c r="I87" s="177"/>
      <x:c r="J87" s="177"/>
      <x:c r="K87" s="177"/>
      <x:c r="L87" s="177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>
      <x:c r="A88" s="177"/>
      <x:c r="B88" s="177"/>
      <x:c r="C88" s="177"/>
      <x:c r="D88" s="177"/>
      <x:c r="E88" s="177"/>
      <x:c r="F88" s="177"/>
      <x:c r="G88" s="177"/>
      <x:c r="H88" s="177"/>
      <x:c r="I88" s="177"/>
      <x:c r="J88" s="177"/>
      <x:c r="K88" s="177"/>
      <x:c r="L88" s="177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>
      <x:c r="A89" s="177"/>
      <x:c r="B89" s="177"/>
      <x:c r="C89" s="177"/>
      <x:c r="D89" s="177"/>
      <x:c r="E89" s="177"/>
      <x:c r="F89" s="177"/>
      <x:c r="G89" s="177"/>
      <x:c r="H89" s="177"/>
      <x:c r="I89" s="177"/>
      <x:c r="J89" s="177"/>
      <x:c r="K89" s="177"/>
      <x:c r="L89" s="177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>
      <x:c r="A90" s="177"/>
      <x:c r="B90" s="177"/>
      <x:c r="C90" s="177"/>
      <x:c r="D90" s="177"/>
      <x:c r="E90" s="177"/>
      <x:c r="F90" s="177"/>
      <x:c r="G90" s="177"/>
      <x:c r="H90" s="177"/>
      <x:c r="I90" s="177"/>
      <x:c r="J90" s="177"/>
      <x:c r="K90" s="177"/>
      <x:c r="L90" s="177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>
      <x:c r="A91" s="177"/>
      <x:c r="B91" s="177"/>
      <x:c r="C91" s="177"/>
      <x:c r="D91" s="177"/>
      <x:c r="E91" s="177"/>
      <x:c r="F91" s="177"/>
      <x:c r="G91" s="177"/>
      <x:c r="H91" s="177"/>
      <x:c r="I91" s="177"/>
      <x:c r="J91" s="177"/>
      <x:c r="K91" s="177"/>
      <x:c r="L91" s="177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>
      <x:c r="A92" s="177"/>
      <x:c r="B92" s="177"/>
      <x:c r="C92" s="177"/>
      <x:c r="D92" s="177"/>
      <x:c r="E92" s="177"/>
      <x:c r="F92" s="177"/>
      <x:c r="G92" s="177"/>
      <x:c r="H92" s="177"/>
      <x:c r="I92" s="177"/>
      <x:c r="J92" s="177"/>
      <x:c r="K92" s="177"/>
      <x:c r="L92" s="177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>
      <x:c r="A93" s="177"/>
      <x:c r="B93" s="177"/>
      <x:c r="C93" s="177"/>
      <x:c r="D93" s="177"/>
      <x:c r="E93" s="177"/>
      <x:c r="F93" s="177"/>
      <x:c r="G93" s="177"/>
      <x:c r="H93" s="177"/>
      <x:c r="I93" s="177"/>
      <x:c r="J93" s="177"/>
      <x:c r="K93" s="177"/>
      <x:c r="L93" s="177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>
      <x:c r="A94" s="177"/>
      <x:c r="B94" s="177"/>
      <x:c r="C94" s="177"/>
      <x:c r="D94" s="177"/>
      <x:c r="E94" s="177"/>
      <x:c r="F94" s="177"/>
      <x:c r="G94" s="177"/>
      <x:c r="H94" s="177"/>
      <x:c r="I94" s="177"/>
      <x:c r="J94" s="177"/>
      <x:c r="K94" s="177"/>
      <x:c r="L94" s="177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>
      <x:c r="A95" s="177"/>
      <x:c r="B95" s="177"/>
      <x:c r="C95" s="177"/>
      <x:c r="D95" s="177"/>
      <x:c r="E95" s="177"/>
      <x:c r="F95" s="177"/>
      <x:c r="G95" s="177"/>
      <x:c r="H95" s="177"/>
      <x:c r="I95" s="177"/>
      <x:c r="J95" s="177"/>
      <x:c r="K95" s="177"/>
      <x:c r="L95" s="177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>
      <x:c r="A96" s="177"/>
      <x:c r="B96" s="177"/>
      <x:c r="C96" s="177"/>
      <x:c r="D96" s="177"/>
      <x:c r="E96" s="177"/>
      <x:c r="F96" s="177"/>
      <x:c r="G96" s="177"/>
      <x:c r="H96" s="177"/>
      <x:c r="I96" s="177"/>
      <x:c r="J96" s="177"/>
      <x:c r="K96" s="177"/>
      <x:c r="L96" s="177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>
      <x:c r="A97" s="177"/>
      <x:c r="B97" s="177"/>
      <x:c r="C97" s="177"/>
      <x:c r="D97" s="177"/>
      <x:c r="E97" s="177"/>
      <x:c r="F97" s="177"/>
      <x:c r="G97" s="177"/>
      <x:c r="H97" s="177"/>
      <x:c r="I97" s="177"/>
      <x:c r="J97" s="177"/>
      <x:c r="K97" s="177"/>
      <x:c r="L97" s="177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>
      <x:c r="A98" s="177"/>
      <x:c r="B98" s="177"/>
      <x:c r="C98" s="177"/>
      <x:c r="D98" s="177"/>
      <x:c r="E98" s="177"/>
      <x:c r="F98" s="177"/>
      <x:c r="G98" s="177"/>
      <x:c r="H98" s="177"/>
      <x:c r="I98" s="177"/>
      <x:c r="J98" s="177"/>
      <x:c r="K98" s="177"/>
      <x:c r="L98" s="177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>
      <x:c r="A99" s="177"/>
      <x:c r="B99" s="177"/>
      <x:c r="C99" s="177"/>
      <x:c r="D99" s="177"/>
      <x:c r="E99" s="177"/>
      <x:c r="F99" s="177"/>
      <x:c r="G99" s="177"/>
      <x:c r="H99" s="177"/>
      <x:c r="I99" s="177"/>
      <x:c r="J99" s="177"/>
      <x:c r="K99" s="177"/>
      <x:c r="L99" s="177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>
      <x:c r="A100" s="177"/>
      <x:c r="B100" s="177"/>
      <x:c r="C100" s="177"/>
      <x:c r="D100" s="177"/>
      <x:c r="E100" s="177"/>
      <x:c r="F100" s="177"/>
      <x:c r="G100" s="177"/>
      <x:c r="H100" s="177"/>
      <x:c r="I100" s="177"/>
      <x:c r="J100" s="177"/>
      <x:c r="K100" s="177"/>
      <x:c r="L100" s="177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>
      <x:c r="A101" s="177"/>
      <x:c r="B101" s="177"/>
      <x:c r="C101" s="177"/>
      <x:c r="D101" s="177"/>
      <x:c r="E101" s="177"/>
      <x:c r="F101" s="177"/>
      <x:c r="G101" s="177"/>
      <x:c r="H101" s="177"/>
      <x:c r="I101" s="177"/>
      <x:c r="J101" s="177"/>
      <x:c r="K101" s="177"/>
      <x:c r="L101" s="177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>
      <x:c r="A102" s="177"/>
      <x:c r="B102" s="177"/>
      <x:c r="C102" s="177"/>
      <x:c r="D102" s="177"/>
      <x:c r="E102" s="177"/>
      <x:c r="F102" s="177"/>
      <x:c r="G102" s="177"/>
      <x:c r="H102" s="177"/>
      <x:c r="I102" s="177"/>
      <x:c r="J102" s="177"/>
      <x:c r="K102" s="177"/>
      <x:c r="L102" s="177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>
      <x:c r="A103" s="177"/>
      <x:c r="B103" s="177"/>
      <x:c r="C103" s="177"/>
      <x:c r="D103" s="177"/>
      <x:c r="E103" s="177"/>
      <x:c r="F103" s="177"/>
      <x:c r="G103" s="177"/>
      <x:c r="H103" s="177"/>
      <x:c r="I103" s="177"/>
      <x:c r="J103" s="177"/>
      <x:c r="K103" s="177"/>
      <x:c r="L103" s="177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>
      <x:c r="A104" s="177"/>
      <x:c r="B104" s="177"/>
      <x:c r="C104" s="177"/>
      <x:c r="D104" s="177"/>
      <x:c r="E104" s="177"/>
      <x:c r="F104" s="177"/>
      <x:c r="G104" s="177"/>
      <x:c r="H104" s="177"/>
      <x:c r="I104" s="177"/>
      <x:c r="J104" s="177"/>
      <x:c r="K104" s="177"/>
      <x:c r="L104" s="177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>
      <x:c r="A105" s="177"/>
      <x:c r="B105" s="177"/>
      <x:c r="C105" s="177"/>
      <x:c r="D105" s="177"/>
      <x:c r="E105" s="177"/>
      <x:c r="F105" s="177"/>
      <x:c r="G105" s="177"/>
      <x:c r="H105" s="177"/>
      <x:c r="I105" s="177"/>
      <x:c r="J105" s="177"/>
      <x:c r="K105" s="177"/>
      <x:c r="L105" s="177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>
      <x:c r="A106" s="177"/>
      <x:c r="B106" s="177"/>
      <x:c r="C106" s="177"/>
      <x:c r="D106" s="177"/>
      <x:c r="E106" s="177"/>
      <x:c r="F106" s="177"/>
      <x:c r="G106" s="177"/>
      <x:c r="H106" s="177"/>
      <x:c r="I106" s="177"/>
      <x:c r="J106" s="177"/>
      <x:c r="K106" s="177"/>
      <x:c r="L106" s="177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>
      <x:c r="A107" s="177"/>
      <x:c r="B107" s="177"/>
      <x:c r="C107" s="177"/>
      <x:c r="D107" s="177"/>
      <x:c r="E107" s="177"/>
      <x:c r="F107" s="177"/>
      <x:c r="G107" s="177"/>
      <x:c r="H107" s="177"/>
      <x:c r="I107" s="177"/>
      <x:c r="J107" s="177"/>
      <x:c r="K107" s="177"/>
      <x:c r="L107" s="177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>
      <x:c r="A108" s="177"/>
      <x:c r="B108" s="177"/>
      <x:c r="C108" s="177"/>
      <x:c r="D108" s="177"/>
      <x:c r="E108" s="177"/>
      <x:c r="F108" s="177"/>
      <x:c r="G108" s="177"/>
      <x:c r="H108" s="177"/>
      <x:c r="I108" s="177"/>
      <x:c r="J108" s="177"/>
      <x:c r="K108" s="177"/>
      <x:c r="L108" s="177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>
      <x:c r="A109" s="177"/>
      <x:c r="B109" s="177"/>
      <x:c r="C109" s="177"/>
      <x:c r="D109" s="177"/>
      <x:c r="E109" s="177"/>
      <x:c r="F109" s="177"/>
      <x:c r="G109" s="177"/>
      <x:c r="H109" s="177"/>
      <x:c r="I109" s="177"/>
      <x:c r="J109" s="177"/>
      <x:c r="K109" s="177"/>
      <x:c r="L109" s="177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>
      <x:c r="A110" s="177"/>
      <x:c r="B110" s="177"/>
      <x:c r="C110" s="177"/>
      <x:c r="D110" s="177"/>
      <x:c r="E110" s="177"/>
      <x:c r="F110" s="177"/>
      <x:c r="G110" s="177"/>
      <x:c r="H110" s="177"/>
      <x:c r="I110" s="177"/>
      <x:c r="J110" s="177"/>
      <x:c r="K110" s="177"/>
      <x:c r="L110" s="177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>
      <x:c r="A111" s="177"/>
      <x:c r="B111" s="177"/>
      <x:c r="C111" s="177"/>
      <x:c r="D111" s="177"/>
      <x:c r="E111" s="177"/>
      <x:c r="F111" s="177"/>
      <x:c r="G111" s="177"/>
      <x:c r="H111" s="177"/>
      <x:c r="I111" s="177"/>
      <x:c r="J111" s="177"/>
      <x:c r="K111" s="177"/>
      <x:c r="L111" s="177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>
      <x:c r="A112" s="177"/>
      <x:c r="B112" s="177"/>
      <x:c r="C112" s="177"/>
      <x:c r="D112" s="177"/>
      <x:c r="E112" s="177"/>
      <x:c r="F112" s="177"/>
      <x:c r="G112" s="177"/>
      <x:c r="H112" s="177"/>
      <x:c r="I112" s="177"/>
      <x:c r="J112" s="177"/>
      <x:c r="K112" s="177"/>
      <x:c r="L112" s="177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>
      <x:c r="A113" s="177"/>
      <x:c r="B113" s="177"/>
      <x:c r="C113" s="177"/>
      <x:c r="D113" s="177"/>
      <x:c r="E113" s="177"/>
      <x:c r="F113" s="177"/>
      <x:c r="G113" s="177"/>
      <x:c r="H113" s="177"/>
      <x:c r="I113" s="177"/>
      <x:c r="J113" s="177"/>
      <x:c r="K113" s="177"/>
      <x:c r="L113" s="177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>
      <x:c r="A114" s="177"/>
      <x:c r="B114" s="177"/>
      <x:c r="C114" s="177"/>
      <x:c r="D114" s="177"/>
      <x:c r="E114" s="177"/>
      <x:c r="F114" s="177"/>
      <x:c r="G114" s="177"/>
      <x:c r="H114" s="177"/>
      <x:c r="I114" s="177"/>
      <x:c r="J114" s="177"/>
      <x:c r="K114" s="177"/>
      <x:c r="L114" s="177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>
      <x:c r="A115" s="177"/>
      <x:c r="B115" s="177"/>
      <x:c r="C115" s="177"/>
      <x:c r="D115" s="177"/>
      <x:c r="E115" s="177"/>
      <x:c r="F115" s="177"/>
      <x:c r="G115" s="177"/>
      <x:c r="H115" s="177"/>
      <x:c r="I115" s="177"/>
      <x:c r="J115" s="177"/>
      <x:c r="K115" s="177"/>
      <x:c r="L115" s="177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>
      <x:c r="A116" s="177"/>
      <x:c r="B116" s="177"/>
      <x:c r="C116" s="177"/>
      <x:c r="D116" s="177"/>
      <x:c r="E116" s="177"/>
      <x:c r="F116" s="177"/>
      <x:c r="G116" s="177"/>
      <x:c r="H116" s="177"/>
      <x:c r="I116" s="177"/>
      <x:c r="J116" s="177"/>
      <x:c r="K116" s="177"/>
      <x:c r="L116" s="177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>
      <x:c r="A117" s="177"/>
      <x:c r="B117" s="177"/>
      <x:c r="C117" s="177"/>
      <x:c r="D117" s="177"/>
      <x:c r="E117" s="177"/>
      <x:c r="F117" s="177"/>
      <x:c r="G117" s="177"/>
      <x:c r="H117" s="177"/>
      <x:c r="I117" s="177"/>
      <x:c r="J117" s="177"/>
      <x:c r="K117" s="177"/>
      <x:c r="L117" s="177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>
      <x:c r="A118" s="177"/>
      <x:c r="B118" s="177"/>
      <x:c r="C118" s="177"/>
      <x:c r="D118" s="177"/>
      <x:c r="E118" s="177"/>
      <x:c r="F118" s="177"/>
      <x:c r="G118" s="177"/>
      <x:c r="H118" s="177"/>
      <x:c r="I118" s="177"/>
      <x:c r="J118" s="177"/>
      <x:c r="K118" s="177"/>
      <x:c r="L118" s="177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>
      <x:c r="A119" s="177"/>
      <x:c r="B119" s="177"/>
      <x:c r="C119" s="177"/>
      <x:c r="D119" s="177"/>
      <x:c r="E119" s="177"/>
      <x:c r="F119" s="177"/>
      <x:c r="G119" s="177"/>
      <x:c r="H119" s="177"/>
      <x:c r="I119" s="177"/>
      <x:c r="J119" s="177"/>
      <x:c r="K119" s="177"/>
      <x:c r="L119" s="177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>
      <x:c r="A120" s="177"/>
      <x:c r="B120" s="177"/>
      <x:c r="C120" s="177"/>
      <x:c r="D120" s="177"/>
      <x:c r="E120" s="177"/>
      <x:c r="F120" s="177"/>
      <x:c r="G120" s="177"/>
      <x:c r="H120" s="177"/>
      <x:c r="I120" s="177"/>
      <x:c r="J120" s="177"/>
      <x:c r="K120" s="177"/>
      <x:c r="L120" s="177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</x:sheetData>
  <x:mergeCells>
    <x:mergeCell ref="A1:L2"/>
    <x:mergeCell ref="A3:L3"/>
  </x:mergeCells>
  <x:conditionalFormatting sqref="L6:L17">
    <x:cfRule type="expression" dxfId="4" priority="1">
      <x:formula>$L6="Cumplida"</x:formula>
    </x:cfRule>
    <x:cfRule type="expression" dxfId="5" priority="2">
      <x:formula>$L6="En riesgo"</x:formula>
    </x:cfRule>
    <x:cfRule type="expression" dxfId="6" priority="3">
      <x:formula>$L6="Crítica"</x:formula>
    </x:cfRule>
  </x:conditionalFormatting>
  <x:conditionalFormatting sqref="K6:K17">
    <x:cfRule type="cellIs" dxfId="7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fd419d58cf4c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4" hidden="0" customWidth="1"/>
    <x:col min="5" max="5" width="18" hidden="0" customWidth="1"/>
    <x:col min="6" max="6" width="15" hidden="0" customWidth="1"/>
    <x:col min="7" max="7" width="15" hidden="0" customWidth="1"/>
    <x:col min="8" max="8" width="4" hidden="0" customWidth="1"/>
    <x:col min="9" max="9" width="18" hidden="0" customWidth="1"/>
    <x:col min="10" max="10" width="15" hidden="0" customWidth="1"/>
    <x:col min="11" max="11" width="15" hidden="0" customWidth="1"/>
  </x:cols>
  <x:sheetData>
    <x:row r="1">
      <x:c r="A1" s="105" t="str">
        <x:v>Dashboard Ejecutivo · Pipeline de Ventas</x:v>
      </x:c>
      <x:c r="B1" s="105"/>
      <x:c r="C1" s="105"/>
      <x:c r="D1" s="105"/>
      <x:c r="E1" s="105"/>
      <x:c r="F1" s="105"/>
      <x:c r="G1" s="105"/>
      <x:c r="H1" s="105"/>
      <x:c r="I1" s="155" t="str">
        <x:v>AUTOMÁTICO</x:v>
      </x:c>
      <x:c r="J1" s="155"/>
      <x:c r="K1" s="155"/>
      <x:c r="L1" s="177"/>
      <x:c r="M1" s="177"/>
      <x:c r="N1" s="177"/>
      <x:c r="O1" s="177"/>
      <x:c r="P1" s="177"/>
      <x:c r="Q1" s="177"/>
      <x:c r="R1" s="177"/>
      <x:c r="S1" s="177"/>
      <x:c r="T1" s="177"/>
      <x:c r="U1" s="177"/>
      <x:c r="V1" s="177"/>
      <x:c r="W1" s="177"/>
      <x:c r="X1" s="177"/>
      <x:c r="Y1" s="177"/>
      <x:c r="Z1" s="177"/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77"/>
      <x:c r="M2" s="177"/>
      <x:c r="N2" s="177"/>
      <x:c r="O2" s="177"/>
      <x:c r="P2" s="177"/>
      <x:c r="Q2" s="177"/>
      <x:c r="R2" s="177"/>
      <x:c r="S2" s="177"/>
      <x:c r="T2" s="177"/>
      <x:c r="U2" s="177"/>
      <x:c r="V2" s="177"/>
      <x:c r="W2" s="177"/>
      <x:c r="X2" s="177"/>
      <x:c r="Y2" s="177"/>
      <x:c r="Z2" s="177"/>
    </x:row>
    <x:row r="3">
      <x:c r="A3" s="39" t="str">
        <x:v>Panel visual con embudo, forecast mensual, avance contra meta, oportunidades prioritarias y riesgos comerciales.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177"/>
      <x:c r="M3" s="177"/>
      <x:c r="N3" s="177"/>
      <x:c r="O3" s="177"/>
      <x:c r="P3" s="177"/>
      <x:c r="Q3" s="177"/>
      <x:c r="R3" s="177"/>
      <x:c r="S3" s="177"/>
      <x:c r="T3" s="177"/>
      <x:c r="U3" s="177"/>
      <x:c r="V3" s="177"/>
      <x:c r="W3" s="177"/>
      <x:c r="X3" s="177"/>
      <x:c r="Y3" s="177"/>
      <x:c r="Z3" s="177"/>
    </x:row>
    <x:row r="4">
      <x:c r="A4" s="176"/>
      <x:c r="B4" s="176"/>
      <x:c r="C4" s="176"/>
      <x:c r="D4" s="176"/>
      <x:c r="E4" s="176"/>
      <x:c r="F4" s="176"/>
      <x:c r="G4" s="176"/>
      <x:c r="H4" s="176"/>
      <x:c r="I4" s="176"/>
      <x:c r="J4" s="176"/>
      <x:c r="K4" s="176"/>
      <x:c r="L4" s="177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>
      <x:c r="A5" s="176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7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>
      <x:c r="A6" s="163" t="str">
        <x:v>Valor total abierto</x:v>
      </x:c>
      <x:c r="B6" s="163"/>
      <x:c r="C6" s="163"/>
      <x:c r="D6" s="176"/>
      <x:c r="E6" s="163" t="str">
        <x:v>Valor ponderado</x:v>
      </x:c>
      <x:c r="F6" s="163"/>
      <x:c r="G6" s="163"/>
      <x:c r="H6" s="176"/>
      <x:c r="I6" s="163" t="str">
        <x:v>Oportunidades abiertas</x:v>
      </x:c>
      <x:c r="J6" s="163"/>
      <x:c r="K6" s="163"/>
      <x:c r="L6" s="177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>
      <x:c r="A7" s="168" t="n">
        <x:f>SUMIFS('04 Pipeline'!$G:$G,'04 Pipeline'!$M:$M,"Abierto")</x:f>
        <x:v>465000</x:v>
      </x:c>
      <x:c r="B7" s="168"/>
      <x:c r="C7" s="168"/>
      <x:c r="D7" s="176"/>
      <x:c r="E7" s="168" t="n">
        <x:f>SUMIFS('04 Pipeline'!$H:$H,'04 Pipeline'!$M:$M,"Abierto")</x:f>
        <x:v>195500</x:v>
      </x:c>
      <x:c r="F7" s="168"/>
      <x:c r="G7" s="168"/>
      <x:c r="H7" s="176"/>
      <x:c r="I7" s="170" t="n">
        <x:f>COUNTIFS('04 Pipeline'!$M:$M,"Abierto")</x:f>
        <x:v>5</x:v>
      </x:c>
      <x:c r="J7" s="170"/>
      <x:c r="K7" s="170"/>
      <x:c r="L7" s="177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>
      <x:c r="A8" s="168"/>
      <x:c r="B8" s="168"/>
      <x:c r="C8" s="168"/>
      <x:c r="D8" s="176"/>
      <x:c r="E8" s="168"/>
      <x:c r="F8" s="168"/>
      <x:c r="G8" s="168"/>
      <x:c r="H8" s="176"/>
      <x:c r="I8" s="170"/>
      <x:c r="J8" s="170"/>
      <x:c r="K8" s="170"/>
      <x:c r="L8" s="177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>
      <x:c r="A9" s="168"/>
      <x:c r="B9" s="168"/>
      <x:c r="C9" s="168"/>
      <x:c r="D9" s="176"/>
      <x:c r="E9" s="168"/>
      <x:c r="F9" s="168"/>
      <x:c r="G9" s="168"/>
      <x:c r="H9" s="176"/>
      <x:c r="I9" s="170"/>
      <x:c r="J9" s="170"/>
      <x:c r="K9" s="170"/>
      <x:c r="L9" s="177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>
      <x:c r="A10" s="176"/>
      <x:c r="B10" s="176"/>
      <x:c r="C10" s="176"/>
      <x:c r="D10" s="176"/>
      <x:c r="E10" s="176"/>
      <x:c r="F10" s="176"/>
      <x:c r="G10" s="176"/>
      <x:c r="H10" s="176"/>
      <x:c r="I10" s="176"/>
      <x:c r="J10" s="176"/>
      <x:c r="K10" s="176"/>
      <x:c r="L10" s="177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>
      <x:c r="A11" s="163" t="str">
        <x:v>Meta mensual</x:v>
      </x:c>
      <x:c r="B11" s="163"/>
      <x:c r="C11" s="163"/>
      <x:c r="D11" s="176"/>
      <x:c r="E11" s="163" t="str">
        <x:v>Cierre ganado mes</x:v>
      </x:c>
      <x:c r="F11" s="163"/>
      <x:c r="G11" s="163"/>
      <x:c r="H11" s="176"/>
      <x:c r="I11" s="163" t="str">
        <x:v>Brecha del mes</x:v>
      </x:c>
      <x:c r="J11" s="163"/>
      <x:c r="K11" s="163"/>
      <x:c r="L11" s="177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>
      <x:c r="A12" s="168" t="n">
        <x:f>'02 Config'!$C$11</x:f>
        <x:v>150000</x:v>
      </x:c>
      <x:c r="B12" s="168"/>
      <x:c r="C12" s="168"/>
      <x:c r="D12" s="176"/>
      <x:c r="E12" s="168" t="n">
        <x:f>INDEX('05 Proyección'!$E$6:$E$17,MATCH('02 Config'!$C$9,'05 Proyección'!$B$6:$B$17,0))</x:f>
        <x:v>0</x:v>
      </x:c>
      <x:c r="F12" s="168"/>
      <x:c r="G12" s="168"/>
      <x:c r="H12" s="176"/>
      <x:c r="I12" s="168" t="n">
        <x:f>INDEX('05 Proyección'!$K$6:$K$17,MATCH('02 Config'!$C$9,'05 Proyección'!$B$6:$B$17,0))</x:f>
        <x:v>-150000</x:v>
      </x:c>
      <x:c r="J12" s="168"/>
      <x:c r="K12" s="168"/>
      <x:c r="L12" s="177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>
      <x:c r="A13" s="168"/>
      <x:c r="B13" s="168"/>
      <x:c r="C13" s="168"/>
      <x:c r="D13" s="176"/>
      <x:c r="E13" s="168"/>
      <x:c r="F13" s="168"/>
      <x:c r="G13" s="168"/>
      <x:c r="H13" s="176"/>
      <x:c r="I13" s="168"/>
      <x:c r="J13" s="168"/>
      <x:c r="K13" s="168"/>
      <x:c r="L13" s="177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>
      <x:c r="A14" s="168"/>
      <x:c r="B14" s="168"/>
      <x:c r="C14" s="168"/>
      <x:c r="D14" s="176"/>
      <x:c r="E14" s="168"/>
      <x:c r="F14" s="168"/>
      <x:c r="G14" s="168"/>
      <x:c r="H14" s="176"/>
      <x:c r="I14" s="168"/>
      <x:c r="J14" s="168"/>
      <x:c r="K14" s="168"/>
      <x:c r="L14" s="177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>
      <x:c r="A15" s="176"/>
      <x:c r="B15" s="176"/>
      <x:c r="C15" s="176"/>
      <x:c r="D15" s="176"/>
      <x:c r="E15" s="176"/>
      <x:c r="F15" s="176"/>
      <x:c r="G15" s="176"/>
      <x:c r="H15" s="176"/>
      <x:c r="I15" s="176"/>
      <x:c r="J15" s="176"/>
      <x:c r="K15" s="176"/>
      <x:c r="L15" s="177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>
      <x:c r="A16" s="163" t="str">
        <x:v>Deals en negociación</x:v>
      </x:c>
      <x:c r="B16" s="163"/>
      <x:c r="C16" s="163"/>
      <x:c r="D16" s="176"/>
      <x:c r="E16" s="163" t="str">
        <x:v>Ticket promedio abierto</x:v>
      </x:c>
      <x:c r="F16" s="163"/>
      <x:c r="G16" s="163"/>
      <x:c r="H16" s="176"/>
      <x:c r="I16" s="163" t="str">
        <x:v>Tasa cierre anual</x:v>
      </x:c>
      <x:c r="J16" s="163"/>
      <x:c r="K16" s="163"/>
      <x:c r="L16" s="177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>
      <x:c r="A17" s="170" t="n">
        <x:f>COUNTIFS('04 Pipeline'!$E:$E,"Negociación",'04 Pipeline'!$M:$M,"Abierto")</x:f>
        <x:v>1</x:v>
      </x:c>
      <x:c r="B17" s="170"/>
      <x:c r="C17" s="170"/>
      <x:c r="D17" s="176"/>
      <x:c r="E17" s="168" t="n">
        <x:f>IFERROR(SUMIFS('04 Pipeline'!$G:$G,'04 Pipeline'!$M:$M,"Abierto")/COUNTIFS('04 Pipeline'!$M:$M,"Abierto"),0)</x:f>
        <x:v>93000</x:v>
      </x:c>
      <x:c r="F17" s="168"/>
      <x:c r="G17" s="168"/>
      <x:c r="H17" s="176"/>
      <x:c r="I17" s="172" t="n">
        <x:f>IFERROR(SUM('05 Proyección'!$G$6:$G$17)/(SUM('05 Proyección'!$G$6:$G$17)+SUM('05 Proyección'!$H$6:$H$17)),0)</x:f>
        <x:v>0.5</x:v>
      </x:c>
      <x:c r="J17" s="172"/>
      <x:c r="K17" s="172"/>
      <x:c r="L17" s="177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>
      <x:c r="A18" s="170"/>
      <x:c r="B18" s="170"/>
      <x:c r="C18" s="170"/>
      <x:c r="D18" s="176"/>
      <x:c r="E18" s="168"/>
      <x:c r="F18" s="168"/>
      <x:c r="G18" s="168"/>
      <x:c r="H18" s="176"/>
      <x:c r="I18" s="172"/>
      <x:c r="J18" s="172"/>
      <x:c r="K18" s="172"/>
      <x:c r="L18" s="177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>
      <x:c r="A19" s="170"/>
      <x:c r="B19" s="170"/>
      <x:c r="C19" s="170"/>
      <x:c r="D19" s="176"/>
      <x:c r="E19" s="168"/>
      <x:c r="F19" s="168"/>
      <x:c r="G19" s="168"/>
      <x:c r="H19" s="176"/>
      <x:c r="I19" s="172"/>
      <x:c r="J19" s="172"/>
      <x:c r="K19" s="172"/>
      <x:c r="L19" s="177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>
      <x:c r="A20" s="176"/>
      <x:c r="B20" s="176"/>
      <x:c r="C20" s="176"/>
      <x:c r="D20" s="176"/>
      <x:c r="E20" s="176"/>
      <x:c r="F20" s="176"/>
      <x:c r="G20" s="176"/>
      <x:c r="H20" s="176"/>
      <x:c r="I20" s="176"/>
      <x:c r="J20" s="176"/>
      <x:c r="K20" s="176"/>
      <x:c r="L20" s="177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>
      <x:c r="A21" s="176"/>
      <x:c r="B21" s="176"/>
      <x:c r="C21" s="176"/>
      <x:c r="D21" s="176"/>
      <x:c r="E21" s="176"/>
      <x:c r="F21" s="176"/>
      <x:c r="G21" s="176"/>
      <x:c r="H21" s="176"/>
      <x:c r="I21" s="176"/>
      <x:c r="J21" s="176"/>
      <x:c r="K21" s="176"/>
      <x:c r="L21" s="177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>
      <x:c r="A22" s="7" t="str">
        <x:v>Embudo por etapa</x:v>
      </x:c>
      <x:c r="B22" s="7"/>
      <x:c r="C22" s="7"/>
      <x:c r="D22" s="176"/>
      <x:c r="E22" s="7" t="str">
        <x:v>Forecast mensual</x:v>
      </x:c>
      <x:c r="F22" s="7"/>
      <x:c r="G22" s="7"/>
      <x:c r="H22" s="7"/>
      <x:c r="I22" s="7"/>
      <x:c r="J22" s="7"/>
      <x:c r="K22" s="7"/>
      <x:c r="L22" s="177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>
      <x:c r="A23" s="82" t="str">
        <x:v>Etapa</x:v>
      </x:c>
      <x:c r="B23" s="82" t="str">
        <x:v>Oportunidades</x:v>
      </x:c>
      <x:c r="C23" s="82" t="str">
        <x:v>Valor estimado</x:v>
      </x:c>
      <x:c r="D23" s="176"/>
      <x:c r="E23" s="82" t="str">
        <x:v>Mes</x:v>
      </x:c>
      <x:c r="F23" s="82" t="str">
        <x:v>Ponderado</x:v>
      </x:c>
      <x:c r="G23" s="82" t="str">
        <x:v>Ganado</x:v>
      </x:c>
      <x:c r="H23" s="82" t="str">
        <x:v>Semáforo</x:v>
      </x:c>
      <x:c r="I23" s="176"/>
      <x:c r="J23" s="176"/>
      <x:c r="K23" s="176"/>
      <x:c r="L23" s="177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>
      <x:c r="A24" s="158" t="str">
        <x:v>Nuevo lead</x:v>
      </x:c>
      <x:c r="B24" s="158" t="n">
        <x:f>COUNTIFS('04 Pipeline'!$E:$E,A24,'04 Pipeline'!$M:$M,IF(OR(A24="Ganado",A24="Perdido"),A24,"Abierto"))</x:f>
        <x:v>1</x:v>
      </x:c>
      <x:c r="C24" s="196" t="n">
        <x:f>SUMIFS('04 Pipeline'!$G:$G,'04 Pipeline'!$E:$E,A24,'04 Pipeline'!$M:$M,IF(OR(A24="Ganado",A24="Perdido"),A24,"Abierto"))</x:f>
        <x:v>120000</x:v>
      </x:c>
      <x:c r="D24" s="176"/>
      <x:c r="E24" s="158" t="str">
        <x:f>'05 Proyección'!B6</x:f>
        <x:v>Enero</x:v>
      </x:c>
      <x:c r="F24" s="196" t="n">
        <x:f>'05 Proyección'!D6</x:f>
        <x:v>0</x:v>
      </x:c>
      <x:c r="G24" s="196" t="n">
        <x:f>'05 Proyección'!E6</x:f>
        <x:v>0</x:v>
      </x:c>
      <x:c r="H24" s="158" t="str">
        <x:f>'05 Proyección'!L6</x:f>
        <x:v>Crítica</x:v>
      </x:c>
      <x:c r="I24" s="176"/>
      <x:c r="J24" s="176"/>
      <x:c r="K24" s="176"/>
      <x:c r="L24" s="177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>
      <x:c r="A25" s="158" t="str">
        <x:v>Contactado</x:v>
      </x:c>
      <x:c r="B25" s="158" t="n">
        <x:f>COUNTIFS('04 Pipeline'!$E:$E,A25,'04 Pipeline'!$M:$M,IF(OR(A25="Ganado",A25="Perdido"),A25,"Abierto"))</x:f>
        <x:v>1</x:v>
      </x:c>
      <x:c r="C25" s="196" t="n">
        <x:f>SUMIFS('04 Pipeline'!$G:$G,'04 Pipeline'!$E:$E,A25,'04 Pipeline'!$M:$M,IF(OR(A25="Ganado",A25="Perdido"),A25,"Abierto"))</x:f>
        <x:v>35000</x:v>
      </x:c>
      <x:c r="D25" s="176"/>
      <x:c r="E25" s="158" t="str">
        <x:f>'05 Proyección'!B7</x:f>
        <x:v>Febrero</x:v>
      </x:c>
      <x:c r="F25" s="196" t="n">
        <x:f>'05 Proyección'!D7</x:f>
        <x:v>0</x:v>
      </x:c>
      <x:c r="G25" s="196" t="n">
        <x:f>'05 Proyección'!E7</x:f>
        <x:v>0</x:v>
      </x:c>
      <x:c r="H25" s="158" t="str">
        <x:f>'05 Proyección'!L7</x:f>
        <x:v>Crítica</x:v>
      </x:c>
      <x:c r="I25" s="176"/>
      <x:c r="J25" s="176"/>
      <x:c r="K25" s="176"/>
      <x:c r="L25" s="177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>
      <x:c r="A26" s="158" t="str">
        <x:v>Calificado</x:v>
      </x:c>
      <x:c r="B26" s="158" t="n">
        <x:f>COUNTIFS('04 Pipeline'!$E:$E,A26,'04 Pipeline'!$M:$M,IF(OR(A26="Ganado",A26="Perdido"),A26,"Abierto"))</x:f>
        <x:v>1</x:v>
      </x:c>
      <x:c r="C26" s="196" t="n">
        <x:f>SUMIFS('04 Pipeline'!$G:$G,'04 Pipeline'!$E:$E,A26,'04 Pipeline'!$M:$M,IF(OR(A26="Ganado",A26="Perdido"),A26,"Abierto"))</x:f>
        <x:v>65000</x:v>
      </x:c>
      <x:c r="D26" s="176"/>
      <x:c r="E26" s="158" t="str">
        <x:f>'05 Proyección'!B8</x:f>
        <x:v>Marzo</x:v>
      </x:c>
      <x:c r="F26" s="196" t="n">
        <x:f>'05 Proyección'!D8</x:f>
        <x:v>0</x:v>
      </x:c>
      <x:c r="G26" s="196" t="n">
        <x:f>'05 Proyección'!E8</x:f>
        <x:v>0</x:v>
      </x:c>
      <x:c r="H26" s="158" t="str">
        <x:f>'05 Proyección'!L8</x:f>
        <x:v>Crítica</x:v>
      </x:c>
      <x:c r="I26" s="176"/>
      <x:c r="J26" s="176"/>
      <x:c r="K26" s="176"/>
      <x:c r="L26" s="177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>
      <x:c r="A27" s="158" t="str">
        <x:v>Propuesta enviada</x:v>
      </x:c>
      <x:c r="B27" s="158" t="n">
        <x:f>COUNTIFS('04 Pipeline'!$E:$E,A27,'04 Pipeline'!$M:$M,IF(OR(A27="Ganado",A27="Perdido"),A27,"Abierto"))</x:f>
        <x:v>1</x:v>
      </x:c>
      <x:c r="C27" s="196" t="n">
        <x:f>SUMIFS('04 Pipeline'!$G:$G,'04 Pipeline'!$E:$E,A27,'04 Pipeline'!$M:$M,IF(OR(A27="Ganado",A27="Perdido"),A27,"Abierto"))</x:f>
        <x:v>150000</x:v>
      </x:c>
      <x:c r="D27" s="176"/>
      <x:c r="E27" s="158" t="str">
        <x:f>'05 Proyección'!B9</x:f>
        <x:v>Abril</x:v>
      </x:c>
      <x:c r="F27" s="196" t="n">
        <x:f>'05 Proyección'!D9</x:f>
        <x:v>0</x:v>
      </x:c>
      <x:c r="G27" s="196" t="n">
        <x:f>'05 Proyección'!E9</x:f>
        <x:v>180000</x:v>
      </x:c>
      <x:c r="H27" s="158" t="str">
        <x:f>'05 Proyección'!L9</x:f>
        <x:v>Cumplida</x:v>
      </x:c>
      <x:c r="I27" s="176"/>
      <x:c r="J27" s="176"/>
      <x:c r="K27" s="176"/>
      <x:c r="L27" s="177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>
      <x:c r="A28" s="158" t="str">
        <x:v>Negociación</x:v>
      </x:c>
      <x:c r="B28" s="158" t="n">
        <x:f>COUNTIFS('04 Pipeline'!$E:$E,A28,'04 Pipeline'!$M:$M,IF(OR(A28="Ganado",A28="Perdido"),A28,"Abierto"))</x:f>
        <x:v>1</x:v>
      </x:c>
      <x:c r="C28" s="196" t="n">
        <x:f>SUMIFS('04 Pipeline'!$G:$G,'04 Pipeline'!$E:$E,A28,'04 Pipeline'!$M:$M,IF(OR(A28="Ganado",A28="Perdido"),A28,"Abierto"))</x:f>
        <x:v>95000</x:v>
      </x:c>
      <x:c r="D28" s="176"/>
      <x:c r="E28" s="158" t="str">
        <x:f>'05 Proyección'!B10</x:f>
        <x:v>Mayo</x:v>
      </x:c>
      <x:c r="F28" s="196" t="n">
        <x:f>'05 Proyección'!D10</x:f>
        <x:v>89500</x:v>
      </x:c>
      <x:c r="G28" s="196" t="n">
        <x:f>'05 Proyección'!E10</x:f>
        <x:v>0</x:v>
      </x:c>
      <x:c r="H28" s="158" t="str">
        <x:f>'05 Proyección'!L10</x:f>
        <x:v>Crítica</x:v>
      </x:c>
      <x:c r="I28" s="176"/>
      <x:c r="J28" s="176"/>
      <x:c r="K28" s="176"/>
      <x:c r="L28" s="177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>
      <x:c r="A29" s="158" t="str">
        <x:v>Ganado</x:v>
      </x:c>
      <x:c r="B29" s="158" t="n">
        <x:f>COUNTIFS('04 Pipeline'!$E:$E,A29,'04 Pipeline'!$M:$M,IF(OR(A29="Ganado",A29="Perdido"),A29,"Abierto"))</x:f>
        <x:v>1</x:v>
      </x:c>
      <x:c r="C29" s="196" t="n">
        <x:f>SUMIFS('04 Pipeline'!$G:$G,'04 Pipeline'!$E:$E,A29,'04 Pipeline'!$M:$M,IF(OR(A29="Ganado",A29="Perdido"),A29,"Abierto"))</x:f>
        <x:v>180000</x:v>
      </x:c>
      <x:c r="D29" s="176"/>
      <x:c r="E29" s="158" t="str">
        <x:f>'05 Proyección'!B11</x:f>
        <x:v>Junio</x:v>
      </x:c>
      <x:c r="F29" s="196" t="n">
        <x:f>'05 Proyección'!D11</x:f>
        <x:v>71250</x:v>
      </x:c>
      <x:c r="G29" s="196" t="n">
        <x:f>'05 Proyección'!E11</x:f>
        <x:v>0</x:v>
      </x:c>
      <x:c r="H29" s="158" t="str">
        <x:f>'05 Proyección'!L11</x:f>
        <x:v>Crítica</x:v>
      </x:c>
      <x:c r="I29" s="176"/>
      <x:c r="J29" s="176"/>
      <x:c r="K29" s="176"/>
      <x:c r="L29" s="177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>
      <x:c r="A30" s="158" t="str">
        <x:v>Perdido</x:v>
      </x:c>
      <x:c r="B30" s="158" t="n">
        <x:f>COUNTIFS('04 Pipeline'!$E:$E,A30,'04 Pipeline'!$M:$M,IF(OR(A30="Ganado",A30="Perdido"),A30,"Abierto"))</x:f>
        <x:v>1</x:v>
      </x:c>
      <x:c r="C30" s="196" t="n">
        <x:f>SUMIFS('04 Pipeline'!$G:$G,'04 Pipeline'!$E:$E,A30,'04 Pipeline'!$M:$M,IF(OR(A30="Ganado",A30="Perdido"),A30,"Abierto"))</x:f>
        <x:v>30000</x:v>
      </x:c>
      <x:c r="D30" s="176"/>
      <x:c r="E30" s="158" t="str">
        <x:f>'05 Proyección'!B12</x:f>
        <x:v>Julio</x:v>
      </x:c>
      <x:c r="F30" s="196" t="n">
        <x:f>'05 Proyección'!D12</x:f>
        <x:v>22750</x:v>
      </x:c>
      <x:c r="G30" s="196" t="n">
        <x:f>'05 Proyección'!E12</x:f>
        <x:v>0</x:v>
      </x:c>
      <x:c r="H30" s="158" t="str">
        <x:f>'05 Proyección'!L12</x:f>
        <x:v>Crítica</x:v>
      </x:c>
      <x:c r="I30" s="176"/>
      <x:c r="J30" s="176"/>
      <x:c r="K30" s="176"/>
      <x:c r="L30" s="177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>
      <x:c r="A31" s="176"/>
      <x:c r="B31" s="176"/>
      <x:c r="C31" s="176"/>
      <x:c r="D31" s="176"/>
      <x:c r="E31" s="158" t="str">
        <x:f>'05 Proyección'!B13</x:f>
        <x:v>Agosto</x:v>
      </x:c>
      <x:c r="F31" s="196" t="n">
        <x:f>'05 Proyección'!D13</x:f>
        <x:v>12000</x:v>
      </x:c>
      <x:c r="G31" s="196" t="n">
        <x:f>'05 Proyección'!E13</x:f>
        <x:v>0</x:v>
      </x:c>
      <x:c r="H31" s="158" t="str">
        <x:f>'05 Proyección'!L13</x:f>
        <x:v>Crítica</x:v>
      </x:c>
      <x:c r="I31" s="176"/>
      <x:c r="J31" s="176"/>
      <x:c r="K31" s="176"/>
      <x:c r="L31" s="177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>
      <x:c r="A32" s="176"/>
      <x:c r="B32" s="176"/>
      <x:c r="C32" s="176"/>
      <x:c r="D32" s="176"/>
      <x:c r="E32" s="158" t="str">
        <x:f>'05 Proyección'!B14</x:f>
        <x:v>Septiembre</x:v>
      </x:c>
      <x:c r="F32" s="196" t="n">
        <x:f>'05 Proyección'!D14</x:f>
        <x:v>0</x:v>
      </x:c>
      <x:c r="G32" s="196" t="n">
        <x:f>'05 Proyección'!E14</x:f>
        <x:v>0</x:v>
      </x:c>
      <x:c r="H32" s="158" t="str">
        <x:f>'05 Proyección'!L14</x:f>
        <x:v>Crítica</x:v>
      </x:c>
      <x:c r="I32" s="176"/>
      <x:c r="J32" s="176"/>
      <x:c r="K32" s="176"/>
      <x:c r="L32" s="177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>
      <x:c r="A33" s="176"/>
      <x:c r="B33" s="176"/>
      <x:c r="C33" s="176"/>
      <x:c r="D33" s="176"/>
      <x:c r="E33" s="158" t="str">
        <x:f>'05 Proyección'!B15</x:f>
        <x:v>Octubre</x:v>
      </x:c>
      <x:c r="F33" s="196" t="n">
        <x:f>'05 Proyección'!D15</x:f>
        <x:v>0</x:v>
      </x:c>
      <x:c r="G33" s="196" t="n">
        <x:f>'05 Proyección'!E15</x:f>
        <x:v>0</x:v>
      </x:c>
      <x:c r="H33" s="158" t="str">
        <x:f>'05 Proyección'!L15</x:f>
        <x:v>Crítica</x:v>
      </x:c>
      <x:c r="I33" s="176"/>
      <x:c r="J33" s="176"/>
      <x:c r="K33" s="176"/>
      <x:c r="L33" s="177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>
      <x:c r="A34" s="176"/>
      <x:c r="B34" s="176"/>
      <x:c r="C34" s="176"/>
      <x:c r="D34" s="176"/>
      <x:c r="E34" s="158" t="str">
        <x:f>'05 Proyección'!B16</x:f>
        <x:v>Noviembre</x:v>
      </x:c>
      <x:c r="F34" s="196" t="n">
        <x:f>'05 Proyección'!D16</x:f>
        <x:v>0</x:v>
      </x:c>
      <x:c r="G34" s="196" t="n">
        <x:f>'05 Proyección'!E16</x:f>
        <x:v>0</x:v>
      </x:c>
      <x:c r="H34" s="158" t="str">
        <x:f>'05 Proyección'!L16</x:f>
        <x:v>Crítica</x:v>
      </x:c>
      <x:c r="I34" s="176"/>
      <x:c r="J34" s="176"/>
      <x:c r="K34" s="176"/>
      <x:c r="L34" s="177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>
      <x:c r="A35" s="176"/>
      <x:c r="B35" s="176"/>
      <x:c r="C35" s="176"/>
      <x:c r="D35" s="176"/>
      <x:c r="E35" s="158" t="str">
        <x:f>'05 Proyección'!B17</x:f>
        <x:v>Diciembre</x:v>
      </x:c>
      <x:c r="F35" s="196" t="n">
        <x:f>'05 Proyección'!D17</x:f>
        <x:v>0</x:v>
      </x:c>
      <x:c r="G35" s="196" t="n">
        <x:f>'05 Proyección'!E17</x:f>
        <x:v>0</x:v>
      </x:c>
      <x:c r="H35" s="158" t="str">
        <x:f>'05 Proyección'!L17</x:f>
        <x:v>Crítica</x:v>
      </x:c>
      <x:c r="I35" s="176"/>
      <x:c r="J35" s="176"/>
      <x:c r="K35" s="176"/>
      <x:c r="L35" s="177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>
      <x:c r="A36" s="176"/>
      <x:c r="B36" s="176"/>
      <x:c r="C36" s="176"/>
      <x:c r="D36" s="176"/>
      <x:c r="E36" s="176"/>
      <x:c r="F36" s="176"/>
      <x:c r="G36" s="176"/>
      <x:c r="H36" s="176"/>
      <x:c r="I36" s="176"/>
      <x:c r="J36" s="176"/>
      <x:c r="K36" s="176"/>
      <x:c r="L36" s="177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6"/>
      <x:c r="K37" s="176"/>
      <x:c r="L37" s="177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>
      <x:c r="A38" s="7" t="str">
        <x:v>Oportunidades prioritarias para seguimiento</x:v>
      </x:c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177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>
      <x:c r="A39" s="82" t="str">
        <x:v>Prospecto</x:v>
      </x:c>
      <x:c r="B39" s="82" t="str">
        <x:v>Etapa</x:v>
      </x:c>
      <x:c r="C39" s="82" t="str">
        <x:v>Valor</x:v>
      </x:c>
      <x:c r="D39" s="82" t="str">
        <x:v>Cierre estimado</x:v>
      </x:c>
      <x:c r="E39" s="82" t="str">
        <x:v>Prioridad</x:v>
      </x:c>
      <x:c r="F39" s="82" t="str">
        <x:v>Próxima acción</x:v>
      </x:c>
      <x:c r="G39" s="176"/>
      <x:c r="H39" s="56" t="str">
        <x:v>Lectura rápida
Si la brecha mensual es negativa, revisa oportunidades en Propuesta enviada y Negociación. Prioriza las de mayor valor ponderado y cierre cercano.</x:v>
      </x:c>
      <x:c r="I39" s="56"/>
      <x:c r="J39" s="56"/>
      <x:c r="K39" s="56"/>
      <x:c r="L39" s="177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>
      <x:c r="A40" s="118" t="str">
        <x:f>'04 Pipeline'!C6</x:f>
        <x:v>Clínica Dermatológica Aurea</x:v>
      </x:c>
      <x:c r="B40" s="118" t="str">
        <x:f>'04 Pipeline'!E6</x:f>
        <x:v>Propuesta enviada</x:v>
      </x:c>
      <x:c r="C40" s="138" t="n">
        <x:f>'04 Pipeline'!G6</x:f>
        <x:v>150000</x:v>
      </x:c>
      <x:c r="D40" s="130" t="n">
        <x:f>'04 Pipeline'!I6</x:f>
        <x:v>46167</x:v>
      </x:c>
      <x:c r="E40" s="118" t="str">
        <x:f>'04 Pipeline'!L6</x:f>
        <x:v>Alta</x:v>
      </x:c>
      <x:c r="F40" s="118" t="str">
        <x:f>'04 Pipeline'!O6</x:f>
        <x:v>Enviar demo y caso de éxito</x:v>
      </x:c>
      <x:c r="G40" s="176"/>
      <x:c r="H40" s="56"/>
      <x:c r="I40" s="56"/>
      <x:c r="J40" s="56"/>
      <x:c r="K40" s="56"/>
      <x:c r="L40" s="177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>
      <x:c r="A41" s="118" t="str">
        <x:f>'04 Pipeline'!C7</x:f>
        <x:v>GlobalVet México</x:v>
      </x:c>
      <x:c r="B41" s="118" t="str">
        <x:f>'04 Pipeline'!E7</x:f>
        <x:v>Negociación</x:v>
      </x:c>
      <x:c r="C41" s="138" t="n">
        <x:f>'04 Pipeline'!G7</x:f>
        <x:v>95000</x:v>
      </x:c>
      <x:c r="D41" s="130" t="n">
        <x:f>'04 Pipeline'!I7</x:f>
        <x:v>46183</x:v>
      </x:c>
      <x:c r="E41" s="118" t="str">
        <x:f>'04 Pipeline'!L7</x:f>
        <x:v>Alta</x:v>
      </x:c>
      <x:c r="F41" s="118" t="str">
        <x:f>'04 Pipeline'!O7</x:f>
        <x:v>Revisar alcance y forma de pago</x:v>
      </x:c>
      <x:c r="G41" s="176"/>
      <x:c r="H41" s="56"/>
      <x:c r="I41" s="56"/>
      <x:c r="J41" s="56"/>
      <x:c r="K41" s="56"/>
      <x:c r="L41" s="177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>
      <x:c r="A42" s="118" t="str">
        <x:f>'04 Pipeline'!C8</x:f>
        <x:v>Restaurante La Terraza</x:v>
      </x:c>
      <x:c r="B42" s="118" t="str">
        <x:f>'04 Pipeline'!E8</x:f>
        <x:v>Contactado</x:v>
      </x:c>
      <x:c r="C42" s="138" t="n">
        <x:f>'04 Pipeline'!G8</x:f>
        <x:v>35000</x:v>
      </x:c>
      <x:c r="D42" s="130" t="n">
        <x:f>'04 Pipeline'!I8</x:f>
        <x:v>46172</x:v>
      </x:c>
      <x:c r="E42" s="118" t="str">
        <x:f>'04 Pipeline'!L8</x:f>
        <x:v>Media</x:v>
      </x:c>
      <x:c r="F42" s="118" t="str">
        <x:f>'04 Pipeline'!O8</x:f>
        <x:v>Agendar llamada de diagnóstico</x:v>
      </x:c>
      <x:c r="G42" s="176"/>
      <x:c r="H42" s="56"/>
      <x:c r="I42" s="56"/>
      <x:c r="J42" s="56"/>
      <x:c r="K42" s="56"/>
      <x:c r="L42" s="177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>
      <x:c r="A43" s="118" t="str">
        <x:f>'04 Pipeline'!C9</x:f>
        <x:v>Sinergia Agrícola</x:v>
      </x:c>
      <x:c r="B43" s="118" t="str">
        <x:f>'04 Pipeline'!E9</x:f>
        <x:v>Ganado</x:v>
      </x:c>
      <x:c r="C43" s="138" t="n">
        <x:f>'04 Pipeline'!G9</x:f>
        <x:v>180000</x:v>
      </x:c>
      <x:c r="D43" s="130" t="n">
        <x:f>'04 Pipeline'!I9</x:f>
        <x:v>46132</x:v>
      </x:c>
      <x:c r="E43" s="118" t="str">
        <x:f>'04 Pipeline'!L9</x:f>
        <x:v>Alta</x:v>
      </x:c>
      <x:c r="F43" s="118" t="str">
        <x:f>'04 Pipeline'!O9</x:f>
        <x:v>Implementación y seguimiento</x:v>
      </x:c>
      <x:c r="G43" s="176"/>
      <x:c r="H43" s="56"/>
      <x:c r="I43" s="56"/>
      <x:c r="J43" s="56"/>
      <x:c r="K43" s="56"/>
      <x:c r="L43" s="177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>
      <x:c r="A44" s="118" t="str">
        <x:f>'04 Pipeline'!C10</x:f>
        <x:v>Consultorio Fisioteck</x:v>
      </x:c>
      <x:c r="B44" s="118" t="str">
        <x:f>'04 Pipeline'!E10</x:f>
        <x:v>Calificado</x:v>
      </x:c>
      <x:c r="C44" s="138" t="n">
        <x:f>'04 Pipeline'!G10</x:f>
        <x:v>65000</x:v>
      </x:c>
      <x:c r="D44" s="130" t="n">
        <x:f>'04 Pipeline'!I10</x:f>
        <x:v>46218</x:v>
      </x:c>
      <x:c r="E44" s="118" t="str">
        <x:f>'04 Pipeline'!L10</x:f>
        <x:v>Media</x:v>
      </x:c>
      <x:c r="F44" s="118" t="str">
        <x:f>'04 Pipeline'!O10</x:f>
        <x:v>Preparar cotización modular</x:v>
      </x:c>
      <x:c r="G44" s="176"/>
      <x:c r="H44" s="56"/>
      <x:c r="I44" s="56"/>
      <x:c r="J44" s="56"/>
      <x:c r="K44" s="56"/>
      <x:c r="L44" s="177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>
      <x:c r="A45" s="176"/>
      <x:c r="B45" s="176"/>
      <x:c r="C45" s="176"/>
      <x:c r="D45" s="176"/>
      <x:c r="E45" s="176"/>
      <x:c r="F45" s="176"/>
      <x:c r="G45" s="176"/>
      <x:c r="H45" s="176"/>
      <x:c r="I45" s="176"/>
      <x:c r="J45" s="176"/>
      <x:c r="K45" s="176"/>
      <x:c r="L45" s="177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>
      <x:c r="A46" s="176"/>
      <x:c r="B46" s="176"/>
      <x:c r="C46" s="176"/>
      <x:c r="D46" s="176"/>
      <x:c r="E46" s="176"/>
      <x:c r="F46" s="176"/>
      <x:c r="G46" s="176"/>
      <x:c r="H46" s="176"/>
      <x:c r="I46" s="176"/>
      <x:c r="J46" s="176"/>
      <x:c r="K46" s="176"/>
      <x:c r="L46" s="177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>
      <x:c r="A47" s="176"/>
      <x:c r="B47" s="176"/>
      <x:c r="C47" s="176"/>
      <x:c r="D47" s="176"/>
      <x:c r="E47" s="176"/>
      <x:c r="F47" s="176"/>
      <x:c r="G47" s="176"/>
      <x:c r="H47" s="176"/>
      <x:c r="I47" s="176"/>
      <x:c r="J47" s="176"/>
      <x:c r="K47" s="176"/>
      <x:c r="L47" s="177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>
      <x:c r="A48" s="176"/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7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7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>
      <x:c r="A50" s="176"/>
      <x:c r="B50" s="176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7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>
      <x:c r="A51" s="176"/>
      <x:c r="B51" s="176"/>
      <x:c r="C51" s="176"/>
      <x:c r="D51" s="176"/>
      <x:c r="E51" s="176"/>
      <x:c r="F51" s="176"/>
      <x:c r="G51" s="176"/>
      <x:c r="H51" s="176"/>
      <x:c r="I51" s="176"/>
      <x:c r="J51" s="176"/>
      <x:c r="K51" s="176"/>
      <x:c r="L51" s="177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>
      <x:c r="A52" s="176"/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7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>
      <x:c r="A53" s="176"/>
      <x:c r="B53" s="176"/>
      <x:c r="C53" s="176"/>
      <x:c r="D53" s="176"/>
      <x:c r="E53" s="176"/>
      <x:c r="F53" s="176"/>
      <x:c r="G53" s="176"/>
      <x:c r="H53" s="176"/>
      <x:c r="I53" s="176"/>
      <x:c r="J53" s="176"/>
      <x:c r="K53" s="176"/>
      <x:c r="L53" s="177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7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7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>
      <x:c r="A56" s="177"/>
      <x:c r="B56" s="177"/>
      <x:c r="C56" s="177"/>
      <x:c r="D56" s="177"/>
      <x:c r="E56" s="177"/>
      <x:c r="F56" s="177"/>
      <x:c r="G56" s="177"/>
      <x:c r="H56" s="177"/>
      <x:c r="I56" s="177"/>
      <x:c r="J56" s="177"/>
      <x:c r="K56" s="177"/>
      <x:c r="L56" s="177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>
      <x:c r="A57" s="177"/>
      <x:c r="B57" s="177"/>
      <x:c r="C57" s="177"/>
      <x:c r="D57" s="177"/>
      <x:c r="E57" s="177"/>
      <x:c r="F57" s="177"/>
      <x:c r="G57" s="177"/>
      <x:c r="H57" s="177"/>
      <x:c r="I57" s="177"/>
      <x:c r="J57" s="177"/>
      <x:c r="K57" s="177"/>
      <x:c r="L57" s="177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>
      <x:c r="A58" s="177"/>
      <x:c r="B58" s="177"/>
      <x:c r="C58" s="177"/>
      <x:c r="D58" s="177"/>
      <x:c r="E58" s="177"/>
      <x:c r="F58" s="177"/>
      <x:c r="G58" s="177"/>
      <x:c r="H58" s="177"/>
      <x:c r="I58" s="177"/>
      <x:c r="J58" s="177"/>
      <x:c r="K58" s="177"/>
      <x:c r="L58" s="177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>
      <x:c r="A59" s="177"/>
      <x:c r="B59" s="177"/>
      <x:c r="C59" s="177"/>
      <x:c r="D59" s="177"/>
      <x:c r="E59" s="177"/>
      <x:c r="F59" s="177"/>
      <x:c r="G59" s="177"/>
      <x:c r="H59" s="177"/>
      <x:c r="I59" s="177"/>
      <x:c r="J59" s="177"/>
      <x:c r="K59" s="177"/>
      <x:c r="L59" s="177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>
      <x:c r="A60" s="177"/>
      <x:c r="B60" s="177"/>
      <x:c r="C60" s="177"/>
      <x:c r="D60" s="177"/>
      <x:c r="E60" s="177"/>
      <x:c r="F60" s="177"/>
      <x:c r="G60" s="177"/>
      <x:c r="H60" s="177"/>
      <x:c r="I60" s="177"/>
      <x:c r="J60" s="177"/>
      <x:c r="K60" s="177"/>
      <x:c r="L60" s="177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>
      <x:c r="A61" s="177"/>
      <x:c r="B61" s="177"/>
      <x:c r="C61" s="177"/>
      <x:c r="D61" s="177"/>
      <x:c r="E61" s="177"/>
      <x:c r="F61" s="177"/>
      <x:c r="G61" s="177"/>
      <x:c r="H61" s="177"/>
      <x:c r="I61" s="177"/>
      <x:c r="J61" s="177"/>
      <x:c r="K61" s="177"/>
      <x:c r="L61" s="177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>
      <x:c r="A62" s="177"/>
      <x:c r="B62" s="177"/>
      <x:c r="C62" s="177"/>
      <x:c r="D62" s="177"/>
      <x:c r="E62" s="177"/>
      <x:c r="F62" s="177"/>
      <x:c r="G62" s="177"/>
      <x:c r="H62" s="177"/>
      <x:c r="I62" s="177"/>
      <x:c r="J62" s="177"/>
      <x:c r="K62" s="177"/>
      <x:c r="L62" s="177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>
      <x:c r="A63" s="177"/>
      <x:c r="B63" s="177"/>
      <x:c r="C63" s="177"/>
      <x:c r="D63" s="177"/>
      <x:c r="E63" s="177"/>
      <x:c r="F63" s="177"/>
      <x:c r="G63" s="177"/>
      <x:c r="H63" s="177"/>
      <x:c r="I63" s="177"/>
      <x:c r="J63" s="177"/>
      <x:c r="K63" s="177"/>
      <x:c r="L63" s="177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>
      <x:c r="A64" s="177"/>
      <x:c r="B64" s="177"/>
      <x:c r="C64" s="177"/>
      <x:c r="D64" s="177"/>
      <x:c r="E64" s="177"/>
      <x:c r="F64" s="177"/>
      <x:c r="G64" s="177"/>
      <x:c r="H64" s="177"/>
      <x:c r="I64" s="177"/>
      <x:c r="J64" s="177"/>
      <x:c r="K64" s="177"/>
      <x:c r="L64" s="177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>
      <x:c r="A65" s="177"/>
      <x:c r="B65" s="177"/>
      <x:c r="C65" s="177"/>
      <x:c r="D65" s="177"/>
      <x:c r="E65" s="177"/>
      <x:c r="F65" s="177"/>
      <x:c r="G65" s="177"/>
      <x:c r="H65" s="177"/>
      <x:c r="I65" s="177"/>
      <x:c r="J65" s="177"/>
      <x:c r="K65" s="177"/>
      <x:c r="L65" s="177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>
      <x:c r="A66" s="177"/>
      <x:c r="B66" s="177"/>
      <x:c r="C66" s="177"/>
      <x:c r="D66" s="177"/>
      <x:c r="E66" s="177"/>
      <x:c r="F66" s="177"/>
      <x:c r="G66" s="177"/>
      <x:c r="H66" s="177"/>
      <x:c r="I66" s="177"/>
      <x:c r="J66" s="177"/>
      <x:c r="K66" s="177"/>
      <x:c r="L66" s="177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>
      <x:c r="A67" s="177"/>
      <x:c r="B67" s="177"/>
      <x:c r="C67" s="177"/>
      <x:c r="D67" s="177"/>
      <x:c r="E67" s="177"/>
      <x:c r="F67" s="177"/>
      <x:c r="G67" s="177"/>
      <x:c r="H67" s="177"/>
      <x:c r="I67" s="177"/>
      <x:c r="J67" s="177"/>
      <x:c r="K67" s="177"/>
      <x:c r="L67" s="177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>
      <x:c r="A68" s="177"/>
      <x:c r="B68" s="177"/>
      <x:c r="C68" s="177"/>
      <x:c r="D68" s="177"/>
      <x:c r="E68" s="177"/>
      <x:c r="F68" s="177"/>
      <x:c r="G68" s="177"/>
      <x:c r="H68" s="177"/>
      <x:c r="I68" s="177"/>
      <x:c r="J68" s="177"/>
      <x:c r="K68" s="177"/>
      <x:c r="L68" s="177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>
      <x:c r="A69" s="177"/>
      <x:c r="B69" s="177"/>
      <x:c r="C69" s="177"/>
      <x:c r="D69" s="177"/>
      <x:c r="E69" s="177"/>
      <x:c r="F69" s="177"/>
      <x:c r="G69" s="177"/>
      <x:c r="H69" s="177"/>
      <x:c r="I69" s="177"/>
      <x:c r="J69" s="177"/>
      <x:c r="K69" s="177"/>
      <x:c r="L69" s="177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>
      <x:c r="A70" s="177"/>
      <x:c r="B70" s="177"/>
      <x:c r="C70" s="177"/>
      <x:c r="D70" s="177"/>
      <x:c r="E70" s="177"/>
      <x:c r="F70" s="177"/>
      <x:c r="G70" s="177"/>
      <x:c r="H70" s="177"/>
      <x:c r="I70" s="177"/>
      <x:c r="J70" s="177"/>
      <x:c r="K70" s="177"/>
      <x:c r="L70" s="177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>
      <x:c r="A71" s="177"/>
      <x:c r="B71" s="177"/>
      <x:c r="C71" s="177"/>
      <x:c r="D71" s="177"/>
      <x:c r="E71" s="177"/>
      <x:c r="F71" s="177"/>
      <x:c r="G71" s="177"/>
      <x:c r="H71" s="177"/>
      <x:c r="I71" s="177"/>
      <x:c r="J71" s="177"/>
      <x:c r="K71" s="177"/>
      <x:c r="L71" s="177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>
      <x:c r="A72" s="177"/>
      <x:c r="B72" s="177"/>
      <x:c r="C72" s="177"/>
      <x:c r="D72" s="177"/>
      <x:c r="E72" s="177"/>
      <x:c r="F72" s="177"/>
      <x:c r="G72" s="177"/>
      <x:c r="H72" s="177"/>
      <x:c r="I72" s="177"/>
      <x:c r="J72" s="177"/>
      <x:c r="K72" s="177"/>
      <x:c r="L72" s="177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>
      <x:c r="A73" s="177"/>
      <x:c r="B73" s="177"/>
      <x:c r="C73" s="177"/>
      <x:c r="D73" s="177"/>
      <x:c r="E73" s="177"/>
      <x:c r="F73" s="177"/>
      <x:c r="G73" s="177"/>
      <x:c r="H73" s="177"/>
      <x:c r="I73" s="177"/>
      <x:c r="J73" s="177"/>
      <x:c r="K73" s="177"/>
      <x:c r="L73" s="177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>
      <x:c r="A74" s="177"/>
      <x:c r="B74" s="177"/>
      <x:c r="C74" s="177"/>
      <x:c r="D74" s="177"/>
      <x:c r="E74" s="177"/>
      <x:c r="F74" s="177"/>
      <x:c r="G74" s="177"/>
      <x:c r="H74" s="177"/>
      <x:c r="I74" s="177"/>
      <x:c r="J74" s="177"/>
      <x:c r="K74" s="177"/>
      <x:c r="L74" s="177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>
      <x:c r="A75" s="177"/>
      <x:c r="B75" s="177"/>
      <x:c r="C75" s="177"/>
      <x:c r="D75" s="177"/>
      <x:c r="E75" s="177"/>
      <x:c r="F75" s="177"/>
      <x:c r="G75" s="177"/>
      <x:c r="H75" s="177"/>
      <x:c r="I75" s="177"/>
      <x:c r="J75" s="177"/>
      <x:c r="K75" s="177"/>
      <x:c r="L75" s="177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>
      <x:c r="A76" s="177"/>
      <x:c r="B76" s="177"/>
      <x:c r="C76" s="177"/>
      <x:c r="D76" s="177"/>
      <x:c r="E76" s="177"/>
      <x:c r="F76" s="177"/>
      <x:c r="G76" s="177"/>
      <x:c r="H76" s="177"/>
      <x:c r="I76" s="177"/>
      <x:c r="J76" s="177"/>
      <x:c r="K76" s="177"/>
      <x:c r="L76" s="177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>
      <x:c r="A77" s="177"/>
      <x:c r="B77" s="177"/>
      <x:c r="C77" s="177"/>
      <x:c r="D77" s="177"/>
      <x:c r="E77" s="177"/>
      <x:c r="F77" s="177"/>
      <x:c r="G77" s="177"/>
      <x:c r="H77" s="177"/>
      <x:c r="I77" s="177"/>
      <x:c r="J77" s="177"/>
      <x:c r="K77" s="177"/>
      <x:c r="L77" s="177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>
      <x:c r="A78" s="177"/>
      <x:c r="B78" s="177"/>
      <x:c r="C78" s="177"/>
      <x:c r="D78" s="177"/>
      <x:c r="E78" s="177"/>
      <x:c r="F78" s="177"/>
      <x:c r="G78" s="177"/>
      <x:c r="H78" s="177"/>
      <x:c r="I78" s="177"/>
      <x:c r="J78" s="177"/>
      <x:c r="K78" s="177"/>
      <x:c r="L78" s="177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>
      <x:c r="A79" s="177"/>
      <x:c r="B79" s="177"/>
      <x:c r="C79" s="177"/>
      <x:c r="D79" s="177"/>
      <x:c r="E79" s="177"/>
      <x:c r="F79" s="177"/>
      <x:c r="G79" s="177"/>
      <x:c r="H79" s="177"/>
      <x:c r="I79" s="177"/>
      <x:c r="J79" s="177"/>
      <x:c r="K79" s="177"/>
      <x:c r="L79" s="177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>
      <x:c r="A80" s="177"/>
      <x:c r="B80" s="177"/>
      <x:c r="C80" s="177"/>
      <x:c r="D80" s="177"/>
      <x:c r="E80" s="177"/>
      <x:c r="F80" s="177"/>
      <x:c r="G80" s="177"/>
      <x:c r="H80" s="177"/>
      <x:c r="I80" s="177"/>
      <x:c r="J80" s="177"/>
      <x:c r="K80" s="177"/>
      <x:c r="L80" s="177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>
      <x:c r="A81" s="177"/>
      <x:c r="B81" s="177"/>
      <x:c r="C81" s="177"/>
      <x:c r="D81" s="177"/>
      <x:c r="E81" s="177"/>
      <x:c r="F81" s="177"/>
      <x:c r="G81" s="177"/>
      <x:c r="H81" s="177"/>
      <x:c r="I81" s="177"/>
      <x:c r="J81" s="177"/>
      <x:c r="K81" s="177"/>
      <x:c r="L81" s="177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>
      <x:c r="A82" s="177"/>
      <x:c r="B82" s="177"/>
      <x:c r="C82" s="177"/>
      <x:c r="D82" s="177"/>
      <x:c r="E82" s="177"/>
      <x:c r="F82" s="177"/>
      <x:c r="G82" s="177"/>
      <x:c r="H82" s="177"/>
      <x:c r="I82" s="177"/>
      <x:c r="J82" s="177"/>
      <x:c r="K82" s="177"/>
      <x:c r="L82" s="177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>
      <x:c r="A83" s="177"/>
      <x:c r="B83" s="177"/>
      <x:c r="C83" s="177"/>
      <x:c r="D83" s="177"/>
      <x:c r="E83" s="177"/>
      <x:c r="F83" s="177"/>
      <x:c r="G83" s="177"/>
      <x:c r="H83" s="177"/>
      <x:c r="I83" s="177"/>
      <x:c r="J83" s="177"/>
      <x:c r="K83" s="177"/>
      <x:c r="L83" s="177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>
      <x:c r="A84" s="177"/>
      <x:c r="B84" s="177"/>
      <x:c r="C84" s="177"/>
      <x:c r="D84" s="177"/>
      <x:c r="E84" s="177"/>
      <x:c r="F84" s="177"/>
      <x:c r="G84" s="177"/>
      <x:c r="H84" s="177"/>
      <x:c r="I84" s="177"/>
      <x:c r="J84" s="177"/>
      <x:c r="K84" s="177"/>
      <x:c r="L84" s="177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>
      <x:c r="A85" s="177"/>
      <x:c r="B85" s="177"/>
      <x:c r="C85" s="177"/>
      <x:c r="D85" s="177"/>
      <x:c r="E85" s="177"/>
      <x:c r="F85" s="177"/>
      <x:c r="G85" s="177"/>
      <x:c r="H85" s="177"/>
      <x:c r="I85" s="177"/>
      <x:c r="J85" s="177"/>
      <x:c r="K85" s="177"/>
      <x:c r="L85" s="177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>
      <x:c r="A86" s="177"/>
      <x:c r="B86" s="177"/>
      <x:c r="C86" s="177"/>
      <x:c r="D86" s="177"/>
      <x:c r="E86" s="177"/>
      <x:c r="F86" s="177"/>
      <x:c r="G86" s="177"/>
      <x:c r="H86" s="177"/>
      <x:c r="I86" s="177"/>
      <x:c r="J86" s="177"/>
      <x:c r="K86" s="177"/>
      <x:c r="L86" s="177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>
      <x:c r="A87" s="177"/>
      <x:c r="B87" s="177"/>
      <x:c r="C87" s="177"/>
      <x:c r="D87" s="177"/>
      <x:c r="E87" s="177"/>
      <x:c r="F87" s="177"/>
      <x:c r="G87" s="177"/>
      <x:c r="H87" s="177"/>
      <x:c r="I87" s="177"/>
      <x:c r="J87" s="177"/>
      <x:c r="K87" s="177"/>
      <x:c r="L87" s="177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>
      <x:c r="A88" s="177"/>
      <x:c r="B88" s="177"/>
      <x:c r="C88" s="177"/>
      <x:c r="D88" s="177"/>
      <x:c r="E88" s="177"/>
      <x:c r="F88" s="177"/>
      <x:c r="G88" s="177"/>
      <x:c r="H88" s="177"/>
      <x:c r="I88" s="177"/>
      <x:c r="J88" s="177"/>
      <x:c r="K88" s="177"/>
      <x:c r="L88" s="177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>
      <x:c r="A89" s="177"/>
      <x:c r="B89" s="177"/>
      <x:c r="C89" s="177"/>
      <x:c r="D89" s="177"/>
      <x:c r="E89" s="177"/>
      <x:c r="F89" s="177"/>
      <x:c r="G89" s="177"/>
      <x:c r="H89" s="177"/>
      <x:c r="I89" s="177"/>
      <x:c r="J89" s="177"/>
      <x:c r="K89" s="177"/>
      <x:c r="L89" s="177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>
      <x:c r="A90" s="177"/>
      <x:c r="B90" s="177"/>
      <x:c r="C90" s="177"/>
      <x:c r="D90" s="177"/>
      <x:c r="E90" s="177"/>
      <x:c r="F90" s="177"/>
      <x:c r="G90" s="177"/>
      <x:c r="H90" s="177"/>
      <x:c r="I90" s="177"/>
      <x:c r="J90" s="177"/>
      <x:c r="K90" s="177"/>
      <x:c r="L90" s="177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>
      <x:c r="A91" s="177"/>
      <x:c r="B91" s="177"/>
      <x:c r="C91" s="177"/>
      <x:c r="D91" s="177"/>
      <x:c r="E91" s="177"/>
      <x:c r="F91" s="177"/>
      <x:c r="G91" s="177"/>
      <x:c r="H91" s="177"/>
      <x:c r="I91" s="177"/>
      <x:c r="J91" s="177"/>
      <x:c r="K91" s="177"/>
      <x:c r="L91" s="177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>
      <x:c r="A92" s="177"/>
      <x:c r="B92" s="177"/>
      <x:c r="C92" s="177"/>
      <x:c r="D92" s="177"/>
      <x:c r="E92" s="177"/>
      <x:c r="F92" s="177"/>
      <x:c r="G92" s="177"/>
      <x:c r="H92" s="177"/>
      <x:c r="I92" s="177"/>
      <x:c r="J92" s="177"/>
      <x:c r="K92" s="177"/>
      <x:c r="L92" s="177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>
      <x:c r="A93" s="177"/>
      <x:c r="B93" s="177"/>
      <x:c r="C93" s="177"/>
      <x:c r="D93" s="177"/>
      <x:c r="E93" s="177"/>
      <x:c r="F93" s="177"/>
      <x:c r="G93" s="177"/>
      <x:c r="H93" s="177"/>
      <x:c r="I93" s="177"/>
      <x:c r="J93" s="177"/>
      <x:c r="K93" s="177"/>
      <x:c r="L93" s="177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>
      <x:c r="A94" s="177"/>
      <x:c r="B94" s="177"/>
      <x:c r="C94" s="177"/>
      <x:c r="D94" s="177"/>
      <x:c r="E94" s="177"/>
      <x:c r="F94" s="177"/>
      <x:c r="G94" s="177"/>
      <x:c r="H94" s="177"/>
      <x:c r="I94" s="177"/>
      <x:c r="J94" s="177"/>
      <x:c r="K94" s="177"/>
      <x:c r="L94" s="177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>
      <x:c r="A95" s="177"/>
      <x:c r="B95" s="177"/>
      <x:c r="C95" s="177"/>
      <x:c r="D95" s="177"/>
      <x:c r="E95" s="177"/>
      <x:c r="F95" s="177"/>
      <x:c r="G95" s="177"/>
      <x:c r="H95" s="177"/>
      <x:c r="I95" s="177"/>
      <x:c r="J95" s="177"/>
      <x:c r="K95" s="177"/>
      <x:c r="L95" s="177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>
      <x:c r="A96" s="177"/>
      <x:c r="B96" s="177"/>
      <x:c r="C96" s="177"/>
      <x:c r="D96" s="177"/>
      <x:c r="E96" s="177"/>
      <x:c r="F96" s="177"/>
      <x:c r="G96" s="177"/>
      <x:c r="H96" s="177"/>
      <x:c r="I96" s="177"/>
      <x:c r="J96" s="177"/>
      <x:c r="K96" s="177"/>
      <x:c r="L96" s="177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>
      <x:c r="A97" s="177"/>
      <x:c r="B97" s="177"/>
      <x:c r="C97" s="177"/>
      <x:c r="D97" s="177"/>
      <x:c r="E97" s="177"/>
      <x:c r="F97" s="177"/>
      <x:c r="G97" s="177"/>
      <x:c r="H97" s="177"/>
      <x:c r="I97" s="177"/>
      <x:c r="J97" s="177"/>
      <x:c r="K97" s="177"/>
      <x:c r="L97" s="177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>
      <x:c r="A98" s="177"/>
      <x:c r="B98" s="177"/>
      <x:c r="C98" s="177"/>
      <x:c r="D98" s="177"/>
      <x:c r="E98" s="177"/>
      <x:c r="F98" s="177"/>
      <x:c r="G98" s="177"/>
      <x:c r="H98" s="177"/>
      <x:c r="I98" s="177"/>
      <x:c r="J98" s="177"/>
      <x:c r="K98" s="177"/>
      <x:c r="L98" s="177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>
      <x:c r="A99" s="177"/>
      <x:c r="B99" s="177"/>
      <x:c r="C99" s="177"/>
      <x:c r="D99" s="177"/>
      <x:c r="E99" s="177"/>
      <x:c r="F99" s="177"/>
      <x:c r="G99" s="177"/>
      <x:c r="H99" s="177"/>
      <x:c r="I99" s="177"/>
      <x:c r="J99" s="177"/>
      <x:c r="K99" s="177"/>
      <x:c r="L99" s="177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>
      <x:c r="A100" s="177"/>
      <x:c r="B100" s="177"/>
      <x:c r="C100" s="177"/>
      <x:c r="D100" s="177"/>
      <x:c r="E100" s="177"/>
      <x:c r="F100" s="177"/>
      <x:c r="G100" s="177"/>
      <x:c r="H100" s="177"/>
      <x:c r="I100" s="177"/>
      <x:c r="J100" s="177"/>
      <x:c r="K100" s="177"/>
      <x:c r="L100" s="177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>
      <x:c r="A101" s="177"/>
      <x:c r="B101" s="177"/>
      <x:c r="C101" s="177"/>
      <x:c r="D101" s="177"/>
      <x:c r="E101" s="177"/>
      <x:c r="F101" s="177"/>
      <x:c r="G101" s="177"/>
      <x:c r="H101" s="177"/>
      <x:c r="I101" s="177"/>
      <x:c r="J101" s="177"/>
      <x:c r="K101" s="177"/>
      <x:c r="L101" s="177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>
      <x:c r="A102" s="177"/>
      <x:c r="B102" s="177"/>
      <x:c r="C102" s="177"/>
      <x:c r="D102" s="177"/>
      <x:c r="E102" s="177"/>
      <x:c r="F102" s="177"/>
      <x:c r="G102" s="177"/>
      <x:c r="H102" s="177"/>
      <x:c r="I102" s="177"/>
      <x:c r="J102" s="177"/>
      <x:c r="K102" s="177"/>
      <x:c r="L102" s="177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>
      <x:c r="A103" s="177"/>
      <x:c r="B103" s="177"/>
      <x:c r="C103" s="177"/>
      <x:c r="D103" s="177"/>
      <x:c r="E103" s="177"/>
      <x:c r="F103" s="177"/>
      <x:c r="G103" s="177"/>
      <x:c r="H103" s="177"/>
      <x:c r="I103" s="177"/>
      <x:c r="J103" s="177"/>
      <x:c r="K103" s="177"/>
      <x:c r="L103" s="177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>
      <x:c r="A104" s="177"/>
      <x:c r="B104" s="177"/>
      <x:c r="C104" s="177"/>
      <x:c r="D104" s="177"/>
      <x:c r="E104" s="177"/>
      <x:c r="F104" s="177"/>
      <x:c r="G104" s="177"/>
      <x:c r="H104" s="177"/>
      <x:c r="I104" s="177"/>
      <x:c r="J104" s="177"/>
      <x:c r="K104" s="177"/>
      <x:c r="L104" s="177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>
      <x:c r="A105" s="177"/>
      <x:c r="B105" s="177"/>
      <x:c r="C105" s="177"/>
      <x:c r="D105" s="177"/>
      <x:c r="E105" s="177"/>
      <x:c r="F105" s="177"/>
      <x:c r="G105" s="177"/>
      <x:c r="H105" s="177"/>
      <x:c r="I105" s="177"/>
      <x:c r="J105" s="177"/>
      <x:c r="K105" s="177"/>
      <x:c r="L105" s="177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>
      <x:c r="A106" s="177"/>
      <x:c r="B106" s="177"/>
      <x:c r="C106" s="177"/>
      <x:c r="D106" s="177"/>
      <x:c r="E106" s="177"/>
      <x:c r="F106" s="177"/>
      <x:c r="G106" s="177"/>
      <x:c r="H106" s="177"/>
      <x:c r="I106" s="177"/>
      <x:c r="J106" s="177"/>
      <x:c r="K106" s="177"/>
      <x:c r="L106" s="177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>
      <x:c r="A107" s="177"/>
      <x:c r="B107" s="177"/>
      <x:c r="C107" s="177"/>
      <x:c r="D107" s="177"/>
      <x:c r="E107" s="177"/>
      <x:c r="F107" s="177"/>
      <x:c r="G107" s="177"/>
      <x:c r="H107" s="177"/>
      <x:c r="I107" s="177"/>
      <x:c r="J107" s="177"/>
      <x:c r="K107" s="177"/>
      <x:c r="L107" s="177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>
      <x:c r="A108" s="177"/>
      <x:c r="B108" s="177"/>
      <x:c r="C108" s="177"/>
      <x:c r="D108" s="177"/>
      <x:c r="E108" s="177"/>
      <x:c r="F108" s="177"/>
      <x:c r="G108" s="177"/>
      <x:c r="H108" s="177"/>
      <x:c r="I108" s="177"/>
      <x:c r="J108" s="177"/>
      <x:c r="K108" s="177"/>
      <x:c r="L108" s="177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>
      <x:c r="A109" s="177"/>
      <x:c r="B109" s="177"/>
      <x:c r="C109" s="177"/>
      <x:c r="D109" s="177"/>
      <x:c r="E109" s="177"/>
      <x:c r="F109" s="177"/>
      <x:c r="G109" s="177"/>
      <x:c r="H109" s="177"/>
      <x:c r="I109" s="177"/>
      <x:c r="J109" s="177"/>
      <x:c r="K109" s="177"/>
      <x:c r="L109" s="177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>
      <x:c r="A110" s="177"/>
      <x:c r="B110" s="177"/>
      <x:c r="C110" s="177"/>
      <x:c r="D110" s="177"/>
      <x:c r="E110" s="177"/>
      <x:c r="F110" s="177"/>
      <x:c r="G110" s="177"/>
      <x:c r="H110" s="177"/>
      <x:c r="I110" s="177"/>
      <x:c r="J110" s="177"/>
      <x:c r="K110" s="177"/>
      <x:c r="L110" s="177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>
      <x:c r="A111" s="177"/>
      <x:c r="B111" s="177"/>
      <x:c r="C111" s="177"/>
      <x:c r="D111" s="177"/>
      <x:c r="E111" s="177"/>
      <x:c r="F111" s="177"/>
      <x:c r="G111" s="177"/>
      <x:c r="H111" s="177"/>
      <x:c r="I111" s="177"/>
      <x:c r="J111" s="177"/>
      <x:c r="K111" s="177"/>
      <x:c r="L111" s="177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>
      <x:c r="A112" s="177"/>
      <x:c r="B112" s="177"/>
      <x:c r="C112" s="177"/>
      <x:c r="D112" s="177"/>
      <x:c r="E112" s="177"/>
      <x:c r="F112" s="177"/>
      <x:c r="G112" s="177"/>
      <x:c r="H112" s="177"/>
      <x:c r="I112" s="177"/>
      <x:c r="J112" s="177"/>
      <x:c r="K112" s="177"/>
      <x:c r="L112" s="177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>
      <x:c r="A113" s="177"/>
      <x:c r="B113" s="177"/>
      <x:c r="C113" s="177"/>
      <x:c r="D113" s="177"/>
      <x:c r="E113" s="177"/>
      <x:c r="F113" s="177"/>
      <x:c r="G113" s="177"/>
      <x:c r="H113" s="177"/>
      <x:c r="I113" s="177"/>
      <x:c r="J113" s="177"/>
      <x:c r="K113" s="177"/>
      <x:c r="L113" s="177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>
      <x:c r="A114" s="177"/>
      <x:c r="B114" s="177"/>
      <x:c r="C114" s="177"/>
      <x:c r="D114" s="177"/>
      <x:c r="E114" s="177"/>
      <x:c r="F114" s="177"/>
      <x:c r="G114" s="177"/>
      <x:c r="H114" s="177"/>
      <x:c r="I114" s="177"/>
      <x:c r="J114" s="177"/>
      <x:c r="K114" s="177"/>
      <x:c r="L114" s="177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>
      <x:c r="A115" s="177"/>
      <x:c r="B115" s="177"/>
      <x:c r="C115" s="177"/>
      <x:c r="D115" s="177"/>
      <x:c r="E115" s="177"/>
      <x:c r="F115" s="177"/>
      <x:c r="G115" s="177"/>
      <x:c r="H115" s="177"/>
      <x:c r="I115" s="177"/>
      <x:c r="J115" s="177"/>
      <x:c r="K115" s="177"/>
      <x:c r="L115" s="177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>
      <x:c r="A116" s="177"/>
      <x:c r="B116" s="177"/>
      <x:c r="C116" s="177"/>
      <x:c r="D116" s="177"/>
      <x:c r="E116" s="177"/>
      <x:c r="F116" s="177"/>
      <x:c r="G116" s="177"/>
      <x:c r="H116" s="177"/>
      <x:c r="I116" s="177"/>
      <x:c r="J116" s="177"/>
      <x:c r="K116" s="177"/>
      <x:c r="L116" s="177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>
      <x:c r="A117" s="177"/>
      <x:c r="B117" s="177"/>
      <x:c r="C117" s="177"/>
      <x:c r="D117" s="177"/>
      <x:c r="E117" s="177"/>
      <x:c r="F117" s="177"/>
      <x:c r="G117" s="177"/>
      <x:c r="H117" s="177"/>
      <x:c r="I117" s="177"/>
      <x:c r="J117" s="177"/>
      <x:c r="K117" s="177"/>
      <x:c r="L117" s="177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>
      <x:c r="A118" s="177"/>
      <x:c r="B118" s="177"/>
      <x:c r="C118" s="177"/>
      <x:c r="D118" s="177"/>
      <x:c r="E118" s="177"/>
      <x:c r="F118" s="177"/>
      <x:c r="G118" s="177"/>
      <x:c r="H118" s="177"/>
      <x:c r="I118" s="177"/>
      <x:c r="J118" s="177"/>
      <x:c r="K118" s="177"/>
      <x:c r="L118" s="177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>
      <x:c r="A119" s="177"/>
      <x:c r="B119" s="177"/>
      <x:c r="C119" s="177"/>
      <x:c r="D119" s="177"/>
      <x:c r="E119" s="177"/>
      <x:c r="F119" s="177"/>
      <x:c r="G119" s="177"/>
      <x:c r="H119" s="177"/>
      <x:c r="I119" s="177"/>
      <x:c r="J119" s="177"/>
      <x:c r="K119" s="177"/>
      <x:c r="L119" s="177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>
      <x:c r="A120" s="177"/>
      <x:c r="B120" s="177"/>
      <x:c r="C120" s="177"/>
      <x:c r="D120" s="177"/>
      <x:c r="E120" s="177"/>
      <x:c r="F120" s="177"/>
      <x:c r="G120" s="177"/>
      <x:c r="H120" s="177"/>
      <x:c r="I120" s="177"/>
      <x:c r="J120" s="177"/>
      <x:c r="K120" s="177"/>
      <x:c r="L120" s="177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</x:sheetData>
  <x:mergeCells>
    <x:mergeCell ref="A1:K2"/>
    <x:mergeCell ref="A3:K3"/>
    <x:mergeCell ref="I1:K1"/>
    <x:mergeCell ref="A6:C6"/>
    <x:mergeCell ref="A7:C9"/>
    <x:mergeCell ref="E6:G6"/>
    <x:mergeCell ref="E7:G9"/>
    <x:mergeCell ref="I6:K6"/>
    <x:mergeCell ref="I7:K9"/>
    <x:mergeCell ref="A11:C11"/>
    <x:mergeCell ref="A12:C14"/>
    <x:mergeCell ref="E11:G11"/>
    <x:mergeCell ref="E12:G14"/>
    <x:mergeCell ref="I11:K11"/>
    <x:mergeCell ref="I12:K14"/>
    <x:mergeCell ref="A16:C16"/>
    <x:mergeCell ref="A17:C19"/>
    <x:mergeCell ref="E16:G16"/>
    <x:mergeCell ref="E17:G19"/>
    <x:mergeCell ref="I16:K16"/>
    <x:mergeCell ref="I17:K19"/>
    <x:mergeCell ref="A22:C22"/>
    <x:mergeCell ref="E22:K22"/>
    <x:mergeCell ref="A38:K38"/>
    <x:mergeCell ref="H39:K44"/>
  </x:mergeCells>
  <x:conditionalFormatting sqref="H24:H35">
    <x:cfRule type="expression" dxfId="8" priority="1">
      <x:formula>$H24="Cumplida"</x:formula>
    </x:cfRule>
    <x:cfRule type="expression" dxfId="9" priority="2">
      <x:formula>$H24="En riesgo"</x:formula>
    </x:cfRule>
    <x:cfRule type="expression" dxfId="10" priority="3">
      <x:formula>$H24="Crítica"</x:formula>
    </x:cfRule>
  </x:conditionalFormatting>
  <x:pageMargins left="0.7" right="0.7" top="0.75" bottom="0.75" header="0.3" footer="0.3"/>
  <x:drawing xmlns:r="http://schemas.openxmlformats.org/officeDocument/2006/relationships" r:id="Rca34ff404b624f80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22" hidden="0" customWidth="1"/>
    <x:col min="5" max="5" width="18" hidden="0" customWidth="1"/>
    <x:col min="6" max="6" width="20" hidden="0" customWidth="1"/>
    <x:col min="7" max="7" width="22" hidden="0" customWidth="1"/>
    <x:col min="8" max="8" width="18" hidden="0" customWidth="1"/>
    <x:col min="9" max="9" width="22" hidden="0" customWidth="1"/>
    <x:col min="10" max="10" width="20" hidden="0" customWidth="1"/>
    <x:col min="11" max="11" width="3" hidden="0" customWidth="1"/>
  </x:cols>
  <x:sheetData>
    <x:row r="1">
      <x:c r="A1" s="8" t="str">
        <x:v>Mes</x:v>
      </x:c>
      <x:c r="B1" s="8" t="str">
        <x:v>Canal</x:v>
      </x:c>
      <x:c r="C1" s="8" t="str">
        <x:v>Prioridad</x:v>
      </x:c>
      <x:c r="D1" s="8" t="str">
        <x:v>Estatus</x:v>
      </x:c>
      <x:c r="E1" s="8" t="str">
        <x:v>Responsable</x:v>
      </x:c>
      <x:c r="F1" s="8" t="str">
        <x:v>Producto/Servicio</x:v>
      </x:c>
      <x:c r="G1" s="8" t="str">
        <x:v>Industria</x:v>
      </x:c>
      <x:c r="H1" s="8" t="str">
        <x:v>Semáforo</x:v>
      </x:c>
      <x:c r="I1" s="8" t="str">
        <x:v>Etapa</x:v>
      </x:c>
      <x:c r="J1" s="8" t="str">
        <x:v>Tipo oportunidad</x:v>
      </x:c>
      <x:c r="K1" s="176"/>
      <x:c r="L1" s="177"/>
      <x:c r="M1" s="177"/>
      <x:c r="N1" s="177"/>
      <x:c r="O1" s="177"/>
      <x:c r="P1" s="177"/>
      <x:c r="Q1" s="177"/>
      <x:c r="R1" s="177"/>
      <x:c r="S1" s="177"/>
      <x:c r="T1" s="177"/>
      <x:c r="U1" s="177"/>
      <x:c r="V1" s="177"/>
      <x:c r="W1" s="177"/>
      <x:c r="X1" s="177"/>
      <x:c r="Y1" s="177"/>
      <x:c r="Z1" s="177"/>
    </x:row>
    <x:row r="2">
      <x:c r="A2" s="198" t="str">
        <x:v>Enero</x:v>
      </x:c>
      <x:c r="B2" s="198" t="str">
        <x:v>Referido</x:v>
      </x:c>
      <x:c r="C2" s="198" t="str">
        <x:v>Alta</x:v>
      </x:c>
      <x:c r="D2" s="198" t="str">
        <x:v>Abierto</x:v>
      </x:c>
      <x:c r="E2" s="198" t="str">
        <x:v>Comercial 1</x:v>
      </x:c>
      <x:c r="F2" s="198" t="str">
        <x:v>SaaS</x:v>
      </x:c>
      <x:c r="G2" s="198" t="str">
        <x:v>Servicios profesionales</x:v>
      </x:c>
      <x:c r="H2" s="198" t="str">
        <x:v>Cumplida</x:v>
      </x:c>
      <x:c r="I2" s="198" t="str">
        <x:v>Nuevo lead</x:v>
      </x:c>
      <x:c r="J2" s="198" t="str">
        <x:v>Nueva venta</x:v>
      </x:c>
      <x:c r="K2" s="176"/>
      <x:c r="L2" s="177"/>
      <x:c r="M2" s="177"/>
      <x:c r="N2" s="177"/>
      <x:c r="O2" s="177"/>
      <x:c r="P2" s="177"/>
      <x:c r="Q2" s="177"/>
      <x:c r="R2" s="177"/>
      <x:c r="S2" s="177"/>
      <x:c r="T2" s="177"/>
      <x:c r="U2" s="177"/>
      <x:c r="V2" s="177"/>
      <x:c r="W2" s="177"/>
      <x:c r="X2" s="177"/>
      <x:c r="Y2" s="177"/>
      <x:c r="Z2" s="177"/>
    </x:row>
    <x:row r="3">
      <x:c r="A3" s="198" t="str">
        <x:v>Febrero</x:v>
      </x:c>
      <x:c r="B3" s="198" t="str">
        <x:v>Facebook</x:v>
      </x:c>
      <x:c r="C3" s="198" t="str">
        <x:v>Media</x:v>
      </x:c>
      <x:c r="D3" s="198" t="str">
        <x:v>Ganado</x:v>
      </x:c>
      <x:c r="E3" s="198" t="str">
        <x:v>Comercial 2</x:v>
      </x:c>
      <x:c r="F3" s="198" t="str">
        <x:v>Software a medida</x:v>
      </x:c>
      <x:c r="G3" s="198" t="str">
        <x:v>Salud</x:v>
      </x:c>
      <x:c r="H3" s="198" t="str">
        <x:v>En riesgo</x:v>
      </x:c>
      <x:c r="I3" s="198" t="str">
        <x:v>Contactado</x:v>
      </x:c>
      <x:c r="J3" s="198" t="str">
        <x:v>Renovación</x:v>
      </x:c>
      <x:c r="K3" s="176"/>
      <x:c r="L3" s="177"/>
      <x:c r="M3" s="177"/>
      <x:c r="N3" s="177"/>
      <x:c r="O3" s="177"/>
      <x:c r="P3" s="177"/>
      <x:c r="Q3" s="177"/>
      <x:c r="R3" s="177"/>
      <x:c r="S3" s="177"/>
      <x:c r="T3" s="177"/>
      <x:c r="U3" s="177"/>
      <x:c r="V3" s="177"/>
      <x:c r="W3" s="177"/>
      <x:c r="X3" s="177"/>
      <x:c r="Y3" s="177"/>
      <x:c r="Z3" s="177"/>
    </x:row>
    <x:row r="4">
      <x:c r="A4" s="198" t="str">
        <x:v>Marzo</x:v>
      </x:c>
      <x:c r="B4" s="198" t="str">
        <x:v>Instagram</x:v>
      </x:c>
      <x:c r="C4" s="198" t="str">
        <x:v>Baja</x:v>
      </x:c>
      <x:c r="D4" s="198" t="str">
        <x:v>Perdido</x:v>
      </x:c>
      <x:c r="E4" s="198" t="str">
        <x:v>Dirección Comercial</x:v>
      </x:c>
      <x:c r="F4" s="198" t="str">
        <x:v>App móvil</x:v>
      </x:c>
      <x:c r="G4" s="198" t="str">
        <x:v>Educación</x:v>
      </x:c>
      <x:c r="H4" s="198" t="str">
        <x:v>Crítica</x:v>
      </x:c>
      <x:c r="I4" s="198" t="str">
        <x:v>Calificado</x:v>
      </x:c>
      <x:c r="J4" s="198" t="str">
        <x:v>Upsell</x:v>
      </x:c>
      <x:c r="K4" s="176"/>
      <x:c r="L4" s="177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>
      <x:c r="A5" s="198" t="str">
        <x:v>Abril</x:v>
      </x:c>
      <x:c r="B5" s="198" t="str">
        <x:v>LinkedIn</x:v>
      </x:c>
      <x:c r="C5" s="176"/>
      <x:c r="D5" s="198" t="str">
        <x:v>Pausado</x:v>
      </x:c>
      <x:c r="E5" s="198" t="str">
        <x:v>Atención al Cliente</x:v>
      </x:c>
      <x:c r="F5" s="198" t="str">
        <x:v>Página web</x:v>
      </x:c>
      <x:c r="G5" s="198" t="str">
        <x:v>Retail</x:v>
      </x:c>
      <x:c r="H5" s="176"/>
      <x:c r="I5" s="198" t="str">
        <x:v>Propuesta enviada</x:v>
      </x:c>
      <x:c r="J5" s="198" t="str">
        <x:v>Cross-sell</x:v>
      </x:c>
      <x:c r="K5" s="176"/>
      <x:c r="L5" s="177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>
      <x:c r="A6" s="198" t="str">
        <x:v>Mayo</x:v>
      </x:c>
      <x:c r="B6" s="198" t="str">
        <x:v>WhatsApp</x:v>
      </x:c>
      <x:c r="C6" s="176"/>
      <x:c r="D6" s="176"/>
      <x:c r="E6" s="198" t="str">
        <x:v>Aliado externo</x:v>
      </x:c>
      <x:c r="F6" s="198" t="str">
        <x:v>Automatización</x:v>
      </x:c>
      <x:c r="G6" s="198" t="str">
        <x:v>Agroindustria</x:v>
      </x:c>
      <x:c r="H6" s="176"/>
      <x:c r="I6" s="198" t="str">
        <x:v>Negociación</x:v>
      </x:c>
      <x:c r="J6" s="198" t="str">
        <x:v>Proyecto especial</x:v>
      </x:c>
      <x:c r="K6" s="176"/>
      <x:c r="L6" s="177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>
      <x:c r="A7" s="198" t="str">
        <x:v>Junio</x:v>
      </x:c>
      <x:c r="B7" s="198" t="str">
        <x:v>Sitio web</x:v>
      </x:c>
      <x:c r="C7" s="176"/>
      <x:c r="D7" s="176"/>
      <x:c r="E7" s="176"/>
      <x:c r="F7" s="198" t="str">
        <x:v>Consultoría</x:v>
      </x:c>
      <x:c r="G7" s="198" t="str">
        <x:v>Industrial</x:v>
      </x:c>
      <x:c r="H7" s="176"/>
      <x:c r="I7" s="198" t="str">
        <x:v>Ganado</x:v>
      </x:c>
      <x:c r="J7" s="176"/>
      <x:c r="K7" s="176"/>
      <x:c r="L7" s="177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>
      <x:c r="A8" s="198" t="str">
        <x:v>Julio</x:v>
      </x:c>
      <x:c r="B8" s="198" t="str">
        <x:v>Email</x:v>
      </x:c>
      <x:c r="C8" s="176"/>
      <x:c r="D8" s="176"/>
      <x:c r="E8" s="176"/>
      <x:c r="F8" s="198" t="str">
        <x:v>Soporte mensual</x:v>
      </x:c>
      <x:c r="G8" s="198" t="str">
        <x:v>Alimentos</x:v>
      </x:c>
      <x:c r="H8" s="176"/>
      <x:c r="I8" s="198" t="str">
        <x:v>Perdido</x:v>
      </x:c>
      <x:c r="J8" s="176"/>
      <x:c r="K8" s="176"/>
      <x:c r="L8" s="177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>
      <x:c r="A9" s="198" t="str">
        <x:v>Agosto</x:v>
      </x:c>
      <x:c r="B9" s="198" t="str">
        <x:v>Evento</x:v>
      </x:c>
      <x:c r="C9" s="176"/>
      <x:c r="D9" s="176"/>
      <x:c r="E9" s="176"/>
      <x:c r="F9" s="176"/>
      <x:c r="G9" s="198" t="str">
        <x:v>Tecnología</x:v>
      </x:c>
      <x:c r="H9" s="176"/>
      <x:c r="I9" s="176"/>
      <x:c r="J9" s="176"/>
      <x:c r="K9" s="176"/>
      <x:c r="L9" s="177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>
      <x:c r="A10" s="198" t="str">
        <x:v>Septiembre</x:v>
      </x:c>
      <x:c r="B10" s="198" t="str">
        <x:v>Prospección directa</x:v>
      </x:c>
      <x:c r="C10" s="176"/>
      <x:c r="D10" s="176"/>
      <x:c r="E10" s="176"/>
      <x:c r="F10" s="176"/>
      <x:c r="G10" s="176"/>
      <x:c r="H10" s="176"/>
      <x:c r="I10" s="176"/>
      <x:c r="J10" s="176"/>
      <x:c r="K10" s="176"/>
      <x:c r="L10" s="177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>
      <x:c r="A11" s="198" t="str">
        <x:v>Octubre</x:v>
      </x:c>
      <x:c r="B11" s="176"/>
      <x:c r="C11" s="176"/>
      <x:c r="D11" s="176"/>
      <x:c r="E11" s="176"/>
      <x:c r="F11" s="176"/>
      <x:c r="G11" s="176"/>
      <x:c r="H11" s="176"/>
      <x:c r="I11" s="176"/>
      <x:c r="J11" s="176"/>
      <x:c r="K11" s="176"/>
      <x:c r="L11" s="177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>
      <x:c r="A12" s="198" t="str">
        <x:v>Noviembre</x:v>
      </x:c>
      <x:c r="B12" s="176"/>
      <x:c r="C12" s="176"/>
      <x:c r="D12" s="176"/>
      <x:c r="E12" s="176"/>
      <x:c r="F12" s="176"/>
      <x:c r="G12" s="176"/>
      <x:c r="H12" s="176"/>
      <x:c r="I12" s="176"/>
      <x:c r="J12" s="176"/>
      <x:c r="K12" s="176"/>
      <x:c r="L12" s="177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>
      <x:c r="A13" s="198" t="str">
        <x:v>Diciembre</x:v>
      </x:c>
      <x:c r="B13" s="176"/>
      <x:c r="C13" s="176"/>
      <x:c r="D13" s="176"/>
      <x:c r="E13" s="176"/>
      <x:c r="F13" s="176"/>
      <x:c r="G13" s="176"/>
      <x:c r="H13" s="176"/>
      <x:c r="I13" s="176"/>
      <x:c r="J13" s="176"/>
      <x:c r="K13" s="176"/>
      <x:c r="L13" s="177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>
      <x:c r="A14" s="176"/>
      <x:c r="B14" s="176"/>
      <x:c r="C14" s="176"/>
      <x:c r="D14" s="176"/>
      <x:c r="E14" s="176"/>
      <x:c r="F14" s="176"/>
      <x:c r="G14" s="176"/>
      <x:c r="H14" s="176"/>
      <x:c r="I14" s="176"/>
      <x:c r="J14" s="176"/>
      <x:c r="K14" s="176"/>
      <x:c r="L14" s="177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>
      <x:c r="A15" s="176"/>
      <x:c r="B15" s="176"/>
      <x:c r="C15" s="176"/>
      <x:c r="D15" s="176"/>
      <x:c r="E15" s="176"/>
      <x:c r="F15" s="176"/>
      <x:c r="G15" s="176"/>
      <x:c r="H15" s="176"/>
      <x:c r="I15" s="176"/>
      <x:c r="J15" s="176"/>
      <x:c r="K15" s="176"/>
      <x:c r="L15" s="177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>
      <x:c r="A16" s="176"/>
      <x:c r="B16" s="176"/>
      <x:c r="C16" s="176"/>
      <x:c r="D16" s="176"/>
      <x:c r="E16" s="176"/>
      <x:c r="F16" s="176"/>
      <x:c r="G16" s="176"/>
      <x:c r="H16" s="176"/>
      <x:c r="I16" s="176"/>
      <x:c r="J16" s="176"/>
      <x:c r="K16" s="176"/>
      <x:c r="L16" s="177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>
      <x:c r="A17" s="176"/>
      <x:c r="B17" s="176"/>
      <x:c r="C17" s="176"/>
      <x:c r="D17" s="176"/>
      <x:c r="E17" s="176"/>
      <x:c r="F17" s="176"/>
      <x:c r="G17" s="176"/>
      <x:c r="H17" s="176"/>
      <x:c r="I17" s="176"/>
      <x:c r="J17" s="176"/>
      <x:c r="K17" s="176"/>
      <x:c r="L17" s="177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>
      <x:c r="A18" s="176"/>
      <x:c r="B18" s="176"/>
      <x:c r="C18" s="176"/>
      <x:c r="D18" s="176"/>
      <x:c r="E18" s="176"/>
      <x:c r="F18" s="176"/>
      <x:c r="G18" s="176"/>
      <x:c r="H18" s="176"/>
      <x:c r="I18" s="176"/>
      <x:c r="J18" s="176"/>
      <x:c r="K18" s="176"/>
      <x:c r="L18" s="177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>
      <x:c r="A19" s="176"/>
      <x:c r="B19" s="176"/>
      <x:c r="C19" s="176"/>
      <x:c r="D19" s="176"/>
      <x:c r="E19" s="176"/>
      <x:c r="F19" s="176"/>
      <x:c r="G19" s="176"/>
      <x:c r="H19" s="176"/>
      <x:c r="I19" s="176"/>
      <x:c r="J19" s="176"/>
      <x:c r="K19" s="176"/>
      <x:c r="L19" s="177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>
      <x:c r="A20" s="176"/>
      <x:c r="B20" s="176"/>
      <x:c r="C20" s="176"/>
      <x:c r="D20" s="176"/>
      <x:c r="E20" s="176"/>
      <x:c r="F20" s="176"/>
      <x:c r="G20" s="176"/>
      <x:c r="H20" s="176"/>
      <x:c r="I20" s="176"/>
      <x:c r="J20" s="176"/>
      <x:c r="K20" s="176"/>
      <x:c r="L20" s="177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>
      <x:c r="A21" s="176"/>
      <x:c r="B21" s="176"/>
      <x:c r="C21" s="176"/>
      <x:c r="D21" s="176"/>
      <x:c r="E21" s="176"/>
      <x:c r="F21" s="176"/>
      <x:c r="G21" s="176"/>
      <x:c r="H21" s="176"/>
      <x:c r="I21" s="176"/>
      <x:c r="J21" s="176"/>
      <x:c r="K21" s="176"/>
      <x:c r="L21" s="177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>
      <x:c r="A22" s="176"/>
      <x:c r="B22" s="176"/>
      <x:c r="C22" s="176"/>
      <x:c r="D22" s="176"/>
      <x:c r="E22" s="176"/>
      <x:c r="F22" s="176"/>
      <x:c r="G22" s="176"/>
      <x:c r="H22" s="176"/>
      <x:c r="I22" s="176"/>
      <x:c r="J22" s="176"/>
      <x:c r="K22" s="176"/>
      <x:c r="L22" s="177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>
      <x:c r="A23" s="176"/>
      <x:c r="B23" s="176"/>
      <x:c r="C23" s="176"/>
      <x:c r="D23" s="176"/>
      <x:c r="E23" s="176"/>
      <x:c r="F23" s="176"/>
      <x:c r="G23" s="176"/>
      <x:c r="H23" s="176"/>
      <x:c r="I23" s="176"/>
      <x:c r="J23" s="176"/>
      <x:c r="K23" s="176"/>
      <x:c r="L23" s="177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7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7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>
      <x:c r="A26" s="176"/>
      <x:c r="B26" s="176"/>
      <x:c r="C26" s="176"/>
      <x:c r="D26" s="176"/>
      <x:c r="E26" s="176"/>
      <x:c r="F26" s="176"/>
      <x:c r="G26" s="176"/>
      <x:c r="H26" s="176"/>
      <x:c r="I26" s="176"/>
      <x:c r="J26" s="176"/>
      <x:c r="K26" s="176"/>
      <x:c r="L26" s="177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>
      <x:c r="A27" s="176"/>
      <x:c r="B27" s="176"/>
      <x:c r="C27" s="176"/>
      <x:c r="D27" s="176"/>
      <x:c r="E27" s="176"/>
      <x:c r="F27" s="176"/>
      <x:c r="G27" s="176"/>
      <x:c r="H27" s="176"/>
      <x:c r="I27" s="176"/>
      <x:c r="J27" s="176"/>
      <x:c r="K27" s="176"/>
      <x:c r="L27" s="177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>
      <x:c r="A28" s="176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7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>
      <x:c r="A29" s="176"/>
      <x:c r="B29" s="176"/>
      <x:c r="C29" s="176"/>
      <x:c r="D29" s="176"/>
      <x:c r="E29" s="176"/>
      <x:c r="F29" s="176"/>
      <x:c r="G29" s="176"/>
      <x:c r="H29" s="176"/>
      <x:c r="I29" s="176"/>
      <x:c r="J29" s="176"/>
      <x:c r="K29" s="176"/>
      <x:c r="L29" s="177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>
      <x:c r="A30" s="176"/>
      <x:c r="B30" s="176"/>
      <x:c r="C30" s="176"/>
      <x:c r="D30" s="176"/>
      <x:c r="E30" s="176"/>
      <x:c r="F30" s="176"/>
      <x:c r="G30" s="176"/>
      <x:c r="H30" s="176"/>
      <x:c r="I30" s="176"/>
      <x:c r="J30" s="176"/>
      <x:c r="K30" s="176"/>
      <x:c r="L30" s="177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>
      <x:c r="A31" s="176"/>
      <x:c r="B31" s="176"/>
      <x:c r="C31" s="176"/>
      <x:c r="D31" s="176"/>
      <x:c r="E31" s="176"/>
      <x:c r="F31" s="176"/>
      <x:c r="G31" s="176"/>
      <x:c r="H31" s="176"/>
      <x:c r="I31" s="176"/>
      <x:c r="J31" s="176"/>
      <x:c r="K31" s="176"/>
      <x:c r="L31" s="177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>
      <x:c r="A32" s="176"/>
      <x:c r="B32" s="176"/>
      <x:c r="C32" s="176"/>
      <x:c r="D32" s="176"/>
      <x:c r="E32" s="176"/>
      <x:c r="F32" s="176"/>
      <x:c r="G32" s="176"/>
      <x:c r="H32" s="176"/>
      <x:c r="I32" s="176"/>
      <x:c r="J32" s="176"/>
      <x:c r="K32" s="176"/>
      <x:c r="L32" s="177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>
      <x:c r="A33" s="176"/>
      <x:c r="B33" s="176"/>
      <x:c r="C33" s="176"/>
      <x:c r="D33" s="176"/>
      <x:c r="E33" s="176"/>
      <x:c r="F33" s="176"/>
      <x:c r="G33" s="176"/>
      <x:c r="H33" s="176"/>
      <x:c r="I33" s="176"/>
      <x:c r="J33" s="176"/>
      <x:c r="K33" s="176"/>
      <x:c r="L33" s="177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>
      <x:c r="A34" s="176"/>
      <x:c r="B34" s="176"/>
      <x:c r="C34" s="176"/>
      <x:c r="D34" s="176"/>
      <x:c r="E34" s="176"/>
      <x:c r="F34" s="176"/>
      <x:c r="G34" s="176"/>
      <x:c r="H34" s="176"/>
      <x:c r="I34" s="176"/>
      <x:c r="J34" s="176"/>
      <x:c r="K34" s="176"/>
      <x:c r="L34" s="177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>
      <x:c r="A35" s="176"/>
      <x:c r="B35" s="176"/>
      <x:c r="C35" s="176"/>
      <x:c r="D35" s="176"/>
      <x:c r="E35" s="176"/>
      <x:c r="F35" s="176"/>
      <x:c r="G35" s="176"/>
      <x:c r="H35" s="176"/>
      <x:c r="I35" s="176"/>
      <x:c r="J35" s="176"/>
      <x:c r="K35" s="176"/>
      <x:c r="L35" s="177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>
      <x:c r="A36" s="176"/>
      <x:c r="B36" s="176"/>
      <x:c r="C36" s="176"/>
      <x:c r="D36" s="176"/>
      <x:c r="E36" s="176"/>
      <x:c r="F36" s="176"/>
      <x:c r="G36" s="176"/>
      <x:c r="H36" s="176"/>
      <x:c r="I36" s="176"/>
      <x:c r="J36" s="176"/>
      <x:c r="K36" s="176"/>
      <x:c r="L36" s="177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6"/>
      <x:c r="K37" s="176"/>
      <x:c r="L37" s="177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>
      <x:c r="A38" s="176"/>
      <x:c r="B38" s="176"/>
      <x:c r="C38" s="176"/>
      <x:c r="D38" s="176"/>
      <x:c r="E38" s="176"/>
      <x:c r="F38" s="176"/>
      <x:c r="G38" s="176"/>
      <x:c r="H38" s="176"/>
      <x:c r="I38" s="176"/>
      <x:c r="J38" s="176"/>
      <x:c r="K38" s="176"/>
      <x:c r="L38" s="177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>
      <x:c r="A39" s="176"/>
      <x:c r="B39" s="176"/>
      <x:c r="C39" s="176"/>
      <x:c r="D39" s="176"/>
      <x:c r="E39" s="176"/>
      <x:c r="F39" s="176"/>
      <x:c r="G39" s="176"/>
      <x:c r="H39" s="176"/>
      <x:c r="I39" s="176"/>
      <x:c r="J39" s="176"/>
      <x:c r="K39" s="176"/>
      <x:c r="L39" s="177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>
      <x:c r="A40" s="176"/>
      <x:c r="B40" s="176"/>
      <x:c r="C40" s="176"/>
      <x:c r="D40" s="176"/>
      <x:c r="E40" s="176"/>
      <x:c r="F40" s="176"/>
      <x:c r="G40" s="176"/>
      <x:c r="H40" s="176"/>
      <x:c r="I40" s="176"/>
      <x:c r="J40" s="176"/>
      <x:c r="K40" s="176"/>
      <x:c r="L40" s="177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>
      <x:c r="A41" s="176"/>
      <x:c r="B41" s="176"/>
      <x:c r="C41" s="176"/>
      <x:c r="D41" s="176"/>
      <x:c r="E41" s="176"/>
      <x:c r="F41" s="176"/>
      <x:c r="G41" s="176"/>
      <x:c r="H41" s="176"/>
      <x:c r="I41" s="176"/>
      <x:c r="J41" s="176"/>
      <x:c r="K41" s="176"/>
      <x:c r="L41" s="177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>
      <x:c r="A42" s="176"/>
      <x:c r="B42" s="176"/>
      <x:c r="C42" s="176"/>
      <x:c r="D42" s="176"/>
      <x:c r="E42" s="176"/>
      <x:c r="F42" s="176"/>
      <x:c r="G42" s="176"/>
      <x:c r="H42" s="176"/>
      <x:c r="I42" s="176"/>
      <x:c r="J42" s="176"/>
      <x:c r="K42" s="176"/>
      <x:c r="L42" s="177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>
      <x:c r="A43" s="176"/>
      <x:c r="B43" s="176"/>
      <x:c r="C43" s="176"/>
      <x:c r="D43" s="176"/>
      <x:c r="E43" s="176"/>
      <x:c r="F43" s="176"/>
      <x:c r="G43" s="176"/>
      <x:c r="H43" s="176"/>
      <x:c r="I43" s="176"/>
      <x:c r="J43" s="176"/>
      <x:c r="K43" s="176"/>
      <x:c r="L43" s="177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>
      <x:c r="A44" s="176"/>
      <x:c r="B44" s="176"/>
      <x:c r="C44" s="176"/>
      <x:c r="D44" s="176"/>
      <x:c r="E44" s="176"/>
      <x:c r="F44" s="176"/>
      <x:c r="G44" s="176"/>
      <x:c r="H44" s="176"/>
      <x:c r="I44" s="176"/>
      <x:c r="J44" s="176"/>
      <x:c r="K44" s="176"/>
      <x:c r="L44" s="177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>
      <x:c r="A45" s="176"/>
      <x:c r="B45" s="176"/>
      <x:c r="C45" s="176"/>
      <x:c r="D45" s="176"/>
      <x:c r="E45" s="176"/>
      <x:c r="F45" s="176"/>
      <x:c r="G45" s="176"/>
      <x:c r="H45" s="176"/>
      <x:c r="I45" s="176"/>
      <x:c r="J45" s="176"/>
      <x:c r="K45" s="176"/>
      <x:c r="L45" s="177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>
      <x:c r="A46" s="176"/>
      <x:c r="B46" s="176"/>
      <x:c r="C46" s="176"/>
      <x:c r="D46" s="176"/>
      <x:c r="E46" s="176"/>
      <x:c r="F46" s="176"/>
      <x:c r="G46" s="176"/>
      <x:c r="H46" s="176"/>
      <x:c r="I46" s="176"/>
      <x:c r="J46" s="176"/>
      <x:c r="K46" s="176"/>
      <x:c r="L46" s="177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>
      <x:c r="A47" s="176"/>
      <x:c r="B47" s="176"/>
      <x:c r="C47" s="176"/>
      <x:c r="D47" s="176"/>
      <x:c r="E47" s="176"/>
      <x:c r="F47" s="176"/>
      <x:c r="G47" s="176"/>
      <x:c r="H47" s="176"/>
      <x:c r="I47" s="176"/>
      <x:c r="J47" s="176"/>
      <x:c r="K47" s="176"/>
      <x:c r="L47" s="177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>
      <x:c r="A48" s="176"/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7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7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>
      <x:c r="A50" s="176"/>
      <x:c r="B50" s="176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7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>
      <x:c r="A51" s="176"/>
      <x:c r="B51" s="176"/>
      <x:c r="C51" s="176"/>
      <x:c r="D51" s="176"/>
      <x:c r="E51" s="176"/>
      <x:c r="F51" s="176"/>
      <x:c r="G51" s="176"/>
      <x:c r="H51" s="176"/>
      <x:c r="I51" s="176"/>
      <x:c r="J51" s="176"/>
      <x:c r="K51" s="176"/>
      <x:c r="L51" s="177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>
      <x:c r="A52" s="176"/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7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>
      <x:c r="A53" s="176"/>
      <x:c r="B53" s="176"/>
      <x:c r="C53" s="176"/>
      <x:c r="D53" s="176"/>
      <x:c r="E53" s="176"/>
      <x:c r="F53" s="176"/>
      <x:c r="G53" s="176"/>
      <x:c r="H53" s="176"/>
      <x:c r="I53" s="176"/>
      <x:c r="J53" s="176"/>
      <x:c r="K53" s="176"/>
      <x:c r="L53" s="177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7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7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7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7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7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7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7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7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7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7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7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7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7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7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7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7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7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7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7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7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7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7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7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7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7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7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7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>
      <x:c r="A81" s="177"/>
      <x:c r="B81" s="177"/>
      <x:c r="C81" s="177"/>
      <x:c r="D81" s="177"/>
      <x:c r="E81" s="177"/>
      <x:c r="F81" s="177"/>
      <x:c r="G81" s="177"/>
      <x:c r="H81" s="177"/>
      <x:c r="I81" s="177"/>
      <x:c r="J81" s="177"/>
      <x:c r="K81" s="177"/>
      <x:c r="L81" s="177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>
      <x:c r="A82" s="177"/>
      <x:c r="B82" s="177"/>
      <x:c r="C82" s="177"/>
      <x:c r="D82" s="177"/>
      <x:c r="E82" s="177"/>
      <x:c r="F82" s="177"/>
      <x:c r="G82" s="177"/>
      <x:c r="H82" s="177"/>
      <x:c r="I82" s="177"/>
      <x:c r="J82" s="177"/>
      <x:c r="K82" s="177"/>
      <x:c r="L82" s="177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>
      <x:c r="A83" s="177"/>
      <x:c r="B83" s="177"/>
      <x:c r="C83" s="177"/>
      <x:c r="D83" s="177"/>
      <x:c r="E83" s="177"/>
      <x:c r="F83" s="177"/>
      <x:c r="G83" s="177"/>
      <x:c r="H83" s="177"/>
      <x:c r="I83" s="177"/>
      <x:c r="J83" s="177"/>
      <x:c r="K83" s="177"/>
      <x:c r="L83" s="177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>
      <x:c r="A84" s="177"/>
      <x:c r="B84" s="177"/>
      <x:c r="C84" s="177"/>
      <x:c r="D84" s="177"/>
      <x:c r="E84" s="177"/>
      <x:c r="F84" s="177"/>
      <x:c r="G84" s="177"/>
      <x:c r="H84" s="177"/>
      <x:c r="I84" s="177"/>
      <x:c r="J84" s="177"/>
      <x:c r="K84" s="177"/>
      <x:c r="L84" s="177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>
      <x:c r="A85" s="177"/>
      <x:c r="B85" s="177"/>
      <x:c r="C85" s="177"/>
      <x:c r="D85" s="177"/>
      <x:c r="E85" s="177"/>
      <x:c r="F85" s="177"/>
      <x:c r="G85" s="177"/>
      <x:c r="H85" s="177"/>
      <x:c r="I85" s="177"/>
      <x:c r="J85" s="177"/>
      <x:c r="K85" s="177"/>
      <x:c r="L85" s="177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>
      <x:c r="A86" s="177"/>
      <x:c r="B86" s="177"/>
      <x:c r="C86" s="177"/>
      <x:c r="D86" s="177"/>
      <x:c r="E86" s="177"/>
      <x:c r="F86" s="177"/>
      <x:c r="G86" s="177"/>
      <x:c r="H86" s="177"/>
      <x:c r="I86" s="177"/>
      <x:c r="J86" s="177"/>
      <x:c r="K86" s="177"/>
      <x:c r="L86" s="177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>
      <x:c r="A87" s="177"/>
      <x:c r="B87" s="177"/>
      <x:c r="C87" s="177"/>
      <x:c r="D87" s="177"/>
      <x:c r="E87" s="177"/>
      <x:c r="F87" s="177"/>
      <x:c r="G87" s="177"/>
      <x:c r="H87" s="177"/>
      <x:c r="I87" s="177"/>
      <x:c r="J87" s="177"/>
      <x:c r="K87" s="177"/>
      <x:c r="L87" s="177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>
      <x:c r="A88" s="177"/>
      <x:c r="B88" s="177"/>
      <x:c r="C88" s="177"/>
      <x:c r="D88" s="177"/>
      <x:c r="E88" s="177"/>
      <x:c r="F88" s="177"/>
      <x:c r="G88" s="177"/>
      <x:c r="H88" s="177"/>
      <x:c r="I88" s="177"/>
      <x:c r="J88" s="177"/>
      <x:c r="K88" s="177"/>
      <x:c r="L88" s="177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>
      <x:c r="A89" s="177"/>
      <x:c r="B89" s="177"/>
      <x:c r="C89" s="177"/>
      <x:c r="D89" s="177"/>
      <x:c r="E89" s="177"/>
      <x:c r="F89" s="177"/>
      <x:c r="G89" s="177"/>
      <x:c r="H89" s="177"/>
      <x:c r="I89" s="177"/>
      <x:c r="J89" s="177"/>
      <x:c r="K89" s="177"/>
      <x:c r="L89" s="177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>
      <x:c r="A90" s="177"/>
      <x:c r="B90" s="177"/>
      <x:c r="C90" s="177"/>
      <x:c r="D90" s="177"/>
      <x:c r="E90" s="177"/>
      <x:c r="F90" s="177"/>
      <x:c r="G90" s="177"/>
      <x:c r="H90" s="177"/>
      <x:c r="I90" s="177"/>
      <x:c r="J90" s="177"/>
      <x:c r="K90" s="177"/>
      <x:c r="L90" s="177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>
      <x:c r="A91" s="177"/>
      <x:c r="B91" s="177"/>
      <x:c r="C91" s="177"/>
      <x:c r="D91" s="177"/>
      <x:c r="E91" s="177"/>
      <x:c r="F91" s="177"/>
      <x:c r="G91" s="177"/>
      <x:c r="H91" s="177"/>
      <x:c r="I91" s="177"/>
      <x:c r="J91" s="177"/>
      <x:c r="K91" s="177"/>
      <x:c r="L91" s="177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>
      <x:c r="A92" s="177"/>
      <x:c r="B92" s="177"/>
      <x:c r="C92" s="177"/>
      <x:c r="D92" s="177"/>
      <x:c r="E92" s="177"/>
      <x:c r="F92" s="177"/>
      <x:c r="G92" s="177"/>
      <x:c r="H92" s="177"/>
      <x:c r="I92" s="177"/>
      <x:c r="J92" s="177"/>
      <x:c r="K92" s="177"/>
      <x:c r="L92" s="177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>
      <x:c r="A93" s="177"/>
      <x:c r="B93" s="177"/>
      <x:c r="C93" s="177"/>
      <x:c r="D93" s="177"/>
      <x:c r="E93" s="177"/>
      <x:c r="F93" s="177"/>
      <x:c r="G93" s="177"/>
      <x:c r="H93" s="177"/>
      <x:c r="I93" s="177"/>
      <x:c r="J93" s="177"/>
      <x:c r="K93" s="177"/>
      <x:c r="L93" s="177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>
      <x:c r="A94" s="177"/>
      <x:c r="B94" s="177"/>
      <x:c r="C94" s="177"/>
      <x:c r="D94" s="177"/>
      <x:c r="E94" s="177"/>
      <x:c r="F94" s="177"/>
      <x:c r="G94" s="177"/>
      <x:c r="H94" s="177"/>
      <x:c r="I94" s="177"/>
      <x:c r="J94" s="177"/>
      <x:c r="K94" s="177"/>
      <x:c r="L94" s="177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>
      <x:c r="A95" s="177"/>
      <x:c r="B95" s="177"/>
      <x:c r="C95" s="177"/>
      <x:c r="D95" s="177"/>
      <x:c r="E95" s="177"/>
      <x:c r="F95" s="177"/>
      <x:c r="G95" s="177"/>
      <x:c r="H95" s="177"/>
      <x:c r="I95" s="177"/>
      <x:c r="J95" s="177"/>
      <x:c r="K95" s="177"/>
      <x:c r="L95" s="177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>
      <x:c r="A96" s="177"/>
      <x:c r="B96" s="177"/>
      <x:c r="C96" s="177"/>
      <x:c r="D96" s="177"/>
      <x:c r="E96" s="177"/>
      <x:c r="F96" s="177"/>
      <x:c r="G96" s="177"/>
      <x:c r="H96" s="177"/>
      <x:c r="I96" s="177"/>
      <x:c r="J96" s="177"/>
      <x:c r="K96" s="177"/>
      <x:c r="L96" s="177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>
      <x:c r="A97" s="177"/>
      <x:c r="B97" s="177"/>
      <x:c r="C97" s="177"/>
      <x:c r="D97" s="177"/>
      <x:c r="E97" s="177"/>
      <x:c r="F97" s="177"/>
      <x:c r="G97" s="177"/>
      <x:c r="H97" s="177"/>
      <x:c r="I97" s="177"/>
      <x:c r="J97" s="177"/>
      <x:c r="K97" s="177"/>
      <x:c r="L97" s="177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>
      <x:c r="A98" s="177"/>
      <x:c r="B98" s="177"/>
      <x:c r="C98" s="177"/>
      <x:c r="D98" s="177"/>
      <x:c r="E98" s="177"/>
      <x:c r="F98" s="177"/>
      <x:c r="G98" s="177"/>
      <x:c r="H98" s="177"/>
      <x:c r="I98" s="177"/>
      <x:c r="J98" s="177"/>
      <x:c r="K98" s="177"/>
      <x:c r="L98" s="177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>
      <x:c r="A99" s="177"/>
      <x:c r="B99" s="177"/>
      <x:c r="C99" s="177"/>
      <x:c r="D99" s="177"/>
      <x:c r="E99" s="177"/>
      <x:c r="F99" s="177"/>
      <x:c r="G99" s="177"/>
      <x:c r="H99" s="177"/>
      <x:c r="I99" s="177"/>
      <x:c r="J99" s="177"/>
      <x:c r="K99" s="177"/>
      <x:c r="L99" s="177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>
      <x:c r="A100" s="177"/>
      <x:c r="B100" s="177"/>
      <x:c r="C100" s="177"/>
      <x:c r="D100" s="177"/>
      <x:c r="E100" s="177"/>
      <x:c r="F100" s="177"/>
      <x:c r="G100" s="177"/>
      <x:c r="H100" s="177"/>
      <x:c r="I100" s="177"/>
      <x:c r="J100" s="177"/>
      <x:c r="K100" s="177"/>
      <x:c r="L100" s="177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>
      <x:c r="A101" s="177"/>
      <x:c r="B101" s="177"/>
      <x:c r="C101" s="177"/>
      <x:c r="D101" s="177"/>
      <x:c r="E101" s="177"/>
      <x:c r="F101" s="177"/>
      <x:c r="G101" s="177"/>
      <x:c r="H101" s="177"/>
      <x:c r="I101" s="177"/>
      <x:c r="J101" s="177"/>
      <x:c r="K101" s="177"/>
      <x:c r="L101" s="177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>
      <x:c r="A102" s="177"/>
      <x:c r="B102" s="177"/>
      <x:c r="C102" s="177"/>
      <x:c r="D102" s="177"/>
      <x:c r="E102" s="177"/>
      <x:c r="F102" s="177"/>
      <x:c r="G102" s="177"/>
      <x:c r="H102" s="177"/>
      <x:c r="I102" s="177"/>
      <x:c r="J102" s="177"/>
      <x:c r="K102" s="177"/>
      <x:c r="L102" s="177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>
      <x:c r="A103" s="177"/>
      <x:c r="B103" s="177"/>
      <x:c r="C103" s="177"/>
      <x:c r="D103" s="177"/>
      <x:c r="E103" s="177"/>
      <x:c r="F103" s="177"/>
      <x:c r="G103" s="177"/>
      <x:c r="H103" s="177"/>
      <x:c r="I103" s="177"/>
      <x:c r="J103" s="177"/>
      <x:c r="K103" s="177"/>
      <x:c r="L103" s="177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>
      <x:c r="A104" s="177"/>
      <x:c r="B104" s="177"/>
      <x:c r="C104" s="177"/>
      <x:c r="D104" s="177"/>
      <x:c r="E104" s="177"/>
      <x:c r="F104" s="177"/>
      <x:c r="G104" s="177"/>
      <x:c r="H104" s="177"/>
      <x:c r="I104" s="177"/>
      <x:c r="J104" s="177"/>
      <x:c r="K104" s="177"/>
      <x:c r="L104" s="177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>
      <x:c r="A105" s="177"/>
      <x:c r="B105" s="177"/>
      <x:c r="C105" s="177"/>
      <x:c r="D105" s="177"/>
      <x:c r="E105" s="177"/>
      <x:c r="F105" s="177"/>
      <x:c r="G105" s="177"/>
      <x:c r="H105" s="177"/>
      <x:c r="I105" s="177"/>
      <x:c r="J105" s="177"/>
      <x:c r="K105" s="177"/>
      <x:c r="L105" s="177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>
      <x:c r="A106" s="177"/>
      <x:c r="B106" s="177"/>
      <x:c r="C106" s="177"/>
      <x:c r="D106" s="177"/>
      <x:c r="E106" s="177"/>
      <x:c r="F106" s="177"/>
      <x:c r="G106" s="177"/>
      <x:c r="H106" s="177"/>
      <x:c r="I106" s="177"/>
      <x:c r="J106" s="177"/>
      <x:c r="K106" s="177"/>
      <x:c r="L106" s="177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>
      <x:c r="A107" s="177"/>
      <x:c r="B107" s="177"/>
      <x:c r="C107" s="177"/>
      <x:c r="D107" s="177"/>
      <x:c r="E107" s="177"/>
      <x:c r="F107" s="177"/>
      <x:c r="G107" s="177"/>
      <x:c r="H107" s="177"/>
      <x:c r="I107" s="177"/>
      <x:c r="J107" s="177"/>
      <x:c r="K107" s="177"/>
      <x:c r="L107" s="177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>
      <x:c r="A108" s="177"/>
      <x:c r="B108" s="177"/>
      <x:c r="C108" s="177"/>
      <x:c r="D108" s="177"/>
      <x:c r="E108" s="177"/>
      <x:c r="F108" s="177"/>
      <x:c r="G108" s="177"/>
      <x:c r="H108" s="177"/>
      <x:c r="I108" s="177"/>
      <x:c r="J108" s="177"/>
      <x:c r="K108" s="177"/>
      <x:c r="L108" s="177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>
      <x:c r="A109" s="177"/>
      <x:c r="B109" s="177"/>
      <x:c r="C109" s="177"/>
      <x:c r="D109" s="177"/>
      <x:c r="E109" s="177"/>
      <x:c r="F109" s="177"/>
      <x:c r="G109" s="177"/>
      <x:c r="H109" s="177"/>
      <x:c r="I109" s="177"/>
      <x:c r="J109" s="177"/>
      <x:c r="K109" s="177"/>
      <x:c r="L109" s="177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>
      <x:c r="A110" s="177"/>
      <x:c r="B110" s="177"/>
      <x:c r="C110" s="177"/>
      <x:c r="D110" s="177"/>
      <x:c r="E110" s="177"/>
      <x:c r="F110" s="177"/>
      <x:c r="G110" s="177"/>
      <x:c r="H110" s="177"/>
      <x:c r="I110" s="177"/>
      <x:c r="J110" s="177"/>
      <x:c r="K110" s="177"/>
      <x:c r="L110" s="177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>
      <x:c r="A111" s="177"/>
      <x:c r="B111" s="177"/>
      <x:c r="C111" s="177"/>
      <x:c r="D111" s="177"/>
      <x:c r="E111" s="177"/>
      <x:c r="F111" s="177"/>
      <x:c r="G111" s="177"/>
      <x:c r="H111" s="177"/>
      <x:c r="I111" s="177"/>
      <x:c r="J111" s="177"/>
      <x:c r="K111" s="177"/>
      <x:c r="L111" s="177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>
      <x:c r="A112" s="177"/>
      <x:c r="B112" s="177"/>
      <x:c r="C112" s="177"/>
      <x:c r="D112" s="177"/>
      <x:c r="E112" s="177"/>
      <x:c r="F112" s="177"/>
      <x:c r="G112" s="177"/>
      <x:c r="H112" s="177"/>
      <x:c r="I112" s="177"/>
      <x:c r="J112" s="177"/>
      <x:c r="K112" s="177"/>
      <x:c r="L112" s="177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>
      <x:c r="A113" s="177"/>
      <x:c r="B113" s="177"/>
      <x:c r="C113" s="177"/>
      <x:c r="D113" s="177"/>
      <x:c r="E113" s="177"/>
      <x:c r="F113" s="177"/>
      <x:c r="G113" s="177"/>
      <x:c r="H113" s="177"/>
      <x:c r="I113" s="177"/>
      <x:c r="J113" s="177"/>
      <x:c r="K113" s="177"/>
      <x:c r="L113" s="177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>
      <x:c r="A114" s="177"/>
      <x:c r="B114" s="177"/>
      <x:c r="C114" s="177"/>
      <x:c r="D114" s="177"/>
      <x:c r="E114" s="177"/>
      <x:c r="F114" s="177"/>
      <x:c r="G114" s="177"/>
      <x:c r="H114" s="177"/>
      <x:c r="I114" s="177"/>
      <x:c r="J114" s="177"/>
      <x:c r="K114" s="177"/>
      <x:c r="L114" s="177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>
      <x:c r="A115" s="177"/>
      <x:c r="B115" s="177"/>
      <x:c r="C115" s="177"/>
      <x:c r="D115" s="177"/>
      <x:c r="E115" s="177"/>
      <x:c r="F115" s="177"/>
      <x:c r="G115" s="177"/>
      <x:c r="H115" s="177"/>
      <x:c r="I115" s="177"/>
      <x:c r="J115" s="177"/>
      <x:c r="K115" s="177"/>
      <x:c r="L115" s="177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>
      <x:c r="A116" s="177"/>
      <x:c r="B116" s="177"/>
      <x:c r="C116" s="177"/>
      <x:c r="D116" s="177"/>
      <x:c r="E116" s="177"/>
      <x:c r="F116" s="177"/>
      <x:c r="G116" s="177"/>
      <x:c r="H116" s="177"/>
      <x:c r="I116" s="177"/>
      <x:c r="J116" s="177"/>
      <x:c r="K116" s="177"/>
      <x:c r="L116" s="177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>
      <x:c r="A117" s="177"/>
      <x:c r="B117" s="177"/>
      <x:c r="C117" s="177"/>
      <x:c r="D117" s="177"/>
      <x:c r="E117" s="177"/>
      <x:c r="F117" s="177"/>
      <x:c r="G117" s="177"/>
      <x:c r="H117" s="177"/>
      <x:c r="I117" s="177"/>
      <x:c r="J117" s="177"/>
      <x:c r="K117" s="177"/>
      <x:c r="L117" s="177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>
      <x:c r="A118" s="177"/>
      <x:c r="B118" s="177"/>
      <x:c r="C118" s="177"/>
      <x:c r="D118" s="177"/>
      <x:c r="E118" s="177"/>
      <x:c r="F118" s="177"/>
      <x:c r="G118" s="177"/>
      <x:c r="H118" s="177"/>
      <x:c r="I118" s="177"/>
      <x:c r="J118" s="177"/>
      <x:c r="K118" s="177"/>
      <x:c r="L118" s="177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>
      <x:c r="A119" s="177"/>
      <x:c r="B119" s="177"/>
      <x:c r="C119" s="177"/>
      <x:c r="D119" s="177"/>
      <x:c r="E119" s="177"/>
      <x:c r="F119" s="177"/>
      <x:c r="G119" s="177"/>
      <x:c r="H119" s="177"/>
      <x:c r="I119" s="177"/>
      <x:c r="J119" s="177"/>
      <x:c r="K119" s="177"/>
      <x:c r="L119" s="177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>
      <x:c r="A120" s="177"/>
      <x:c r="B120" s="177"/>
      <x:c r="C120" s="177"/>
      <x:c r="D120" s="177"/>
      <x:c r="E120" s="177"/>
      <x:c r="F120" s="177"/>
      <x:c r="G120" s="177"/>
      <x:c r="H120" s="177"/>
      <x:c r="I120" s="177"/>
      <x:c r="J120" s="177"/>
      <x:c r="K120" s="177"/>
      <x:c r="L120" s="177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</x:sheetData>
  <x:pageMargins left="0.7" right="0.7" top="0.75" bottom="0.75" header="0.3" footer="0.3"/>
</x:worksheet>
</file>