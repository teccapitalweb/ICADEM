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0789c4cb9f46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Portada" sheetId="1" r:id="Rdfcdbcd29b9f45de"/>
    <x:sheet xmlns:r="http://schemas.openxmlformats.org/officeDocument/2006/relationships" name="01 Guia" sheetId="2" r:id="Rc184f89bf7424f2d"/>
    <x:sheet xmlns:r="http://schemas.openxmlformats.org/officeDocument/2006/relationships" name="02 Configuracion" sheetId="3" r:id="Rb86d92d58b0e4675"/>
    <x:sheet xmlns:r="http://schemas.openxmlformats.org/officeDocument/2006/relationships" name="03 Diagnostico" sheetId="4" r:id="Rb41940efbe8d40a6"/>
    <x:sheet xmlns:r="http://schemas.openxmlformats.org/officeDocument/2006/relationships" name="04 Matriz FODA" sheetId="5" r:id="R212a04f03d644899"/>
    <x:sheet xmlns:r="http://schemas.openxmlformats.org/officeDocument/2006/relationships" name="05 Estrategias" sheetId="6" r:id="R6dd55e18ccba403d"/>
    <x:sheet xmlns:r="http://schemas.openxmlformats.org/officeDocument/2006/relationships" name="06 Plan Accion" sheetId="7" r:id="R1a6c0c859d85479a"/>
    <x:sheet xmlns:r="http://schemas.openxmlformats.org/officeDocument/2006/relationships" name="07 Dashboard" sheetId="8" r:id="Rebf4e395ff9c4c3a"/>
    <x:sheet xmlns:r="http://schemas.openxmlformats.org/officeDocument/2006/relationships" name="08 Catalogos" sheetId="9" r:id="R0db90165a4da40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dd/mm/yyyy"/>
    <x:numFmt numFmtId="202" formatCode="0%"/>
    <x:numFmt numFmtId="203" formatCode="$#,##0"/>
    <x:numFmt numFmtId="204" formatCode="0.0"/>
  </x:numFmts>
  <x:fonts count="17">
    <x:font>
      <x:sz val="11"/>
      <x:name val="Carlito"/>
    </x:font>
    <x:font>
      <x:b/>
      <x:sz val="18"/>
      <x:color rgb="FFFFFF"/>
      <x:name val="Carlito"/>
    </x:font>
    <x:font>
      <x:sz val="10"/>
      <x:color rgb="E5E7EB"/>
      <x:name val="Carlito"/>
    </x:font>
    <x:font>
      <x:b/>
      <x:sz val="10"/>
      <x:color rgb="FFFFFF"/>
      <x:name val="Carlito"/>
    </x:font>
    <x:font>
      <x:sz val="10"/>
      <x:color rgb="1F2937"/>
      <x:name val="Carlito"/>
    </x:font>
    <x:font>
      <x:b/>
      <x:sz val="24"/>
      <x:color rgb="FFFFFF"/>
      <x:name val="Carlito"/>
    </x:font>
    <x:font>
      <x:sz val="12"/>
      <x:color rgb="E5E7EB"/>
      <x:name val="Carlito"/>
    </x:font>
    <x:font>
      <x:b/>
      <x:sz val="11"/>
      <x:color rgb="0B1F3A"/>
      <x:name val="Carlito"/>
    </x:font>
    <x:font>
      <x:b/>
      <x:sz val="12"/>
      <x:color rgb="0B1F3A"/>
      <x:name val="Carlito"/>
    </x:font>
    <x:font>
      <x:b/>
      <x:sz val="10"/>
      <x:color rgb="0B1F3A"/>
      <x:name val="Carlito"/>
    </x:font>
    <x:font>
      <x:sz val="11"/>
      <x:color rgb="1F2937"/>
      <x:name val="Carlito"/>
    </x:font>
    <x:font>
      <x:b/>
      <x:sz val="11"/>
      <x:color rgb="FFFFFF"/>
      <x:name val="Carlito"/>
    </x:font>
    <x:font>
      <x:b/>
      <x:sz val="10"/>
      <x:color rgb="1F2937"/>
      <x:name val="Carlito"/>
    </x:font>
    <x:font>
      <x:b/>
      <x:sz val="12"/>
      <x:color rgb="FFFFFF"/>
      <x:name val="Carlito"/>
    </x:font>
    <x:font>
      <x:b/>
      <x:sz val="20"/>
      <x:color rgb="0B1F3A"/>
      <x:name val="Carlito"/>
    </x:font>
    <x:font>
      <x:sz val="9"/>
      <x:color rgb="64748B"/>
      <x:name val="Carlito"/>
    </x:font>
    <x:font>
      <x:sz val="11"/>
      <x:color rgb="0B1F3A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0B1F3A"/>
      </x:patternFill>
    </x:fill>
    <x:fill>
      <x:patternFill patternType="solid">
        <x:fgColor rgb="17365D"/>
      </x:patternFill>
    </x:fill>
    <x:fill>
      <x:patternFill patternType="solid">
        <x:fgColor rgb="FFFFFF"/>
      </x:patternFill>
    </x:fill>
    <x:fill>
      <x:patternFill patternType="solid">
        <x:fgColor rgb="F9E8A7"/>
      </x:patternFill>
    </x:fill>
    <x:fill>
      <x:patternFill patternType="solid">
        <x:fgColor rgb="F1F5F9"/>
      </x:patternFill>
    </x:fill>
    <x:fill>
      <x:patternFill patternType="solid">
        <x:fgColor rgb="D4AF37"/>
      </x:patternFill>
    </x:fill>
    <x:fill>
      <x:patternFill patternType="solid">
        <x:fgColor rgb="DCFCE7"/>
      </x:patternFill>
    </x:fill>
    <x:fill>
      <x:patternFill patternType="solid">
        <x:fgColor rgb="DBEAFE"/>
      </x:patternFill>
    </x:fill>
    <x:fill>
      <x:patternFill patternType="solid">
        <x:fgColor rgb="FEF3C7"/>
      </x:patternFill>
    </x:fill>
    <x:fill>
      <x:patternFill patternType="solid">
        <x:fgColor rgb="FEE2E2"/>
      </x:patternFill>
    </x:fill>
  </x:fills>
  <x:borders count="4">
    <x:border/>
    <x:border/>
    <x:border>
      <x:left>
        <x:color rgb="CBD5E1"/>
      </x:left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right>
        <x:color rgb="CBD5E1"/>
      </x:right>
      <x:top>
        <x:color rgb="CBD5E1"/>
      </x:top>
      <x:bottom>
        <x:color rgb="CBD5E1"/>
      </x:bottom>
    </x:border>
  </x:borders>
  <x:cellStyleXfs count="1">
    <x:xf numFmtId="0" fontId="0" fillId="0" borderId="0"/>
  </x:cellStyleXfs>
  <x:cellXfs count="1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6" fillId="3" borderId="1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8" fillId="7" borderId="0" xfId="0" applyNumberFormat="1" applyFont="1" applyFill="1" applyBorder="1"/>
    <x:xf numFmtId="0" fontId="8" fillId="7" borderId="1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8" fillId="7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9" fillId="5" borderId="2" xfId="0" applyNumberFormat="1" applyFont="1" applyFill="1" applyBorder="1" applyAlignment="1">
      <x:alignment vertical="center" wrapText="1"/>
    </x:xf>
    <x:xf numFmtId="0" fontId="9" fillId="5" borderId="3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9" fillId="6" borderId="2" xfId="0" applyNumberFormat="1" applyFont="1" applyFill="1" applyBorder="1" applyAlignment="1">
      <x:alignment vertical="center" wrapText="1"/>
    </x:xf>
    <x:xf numFmtId="0" fontId="9" fillId="6" borderId="3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/>
    <x:xf numFmtId="0" fontId="10" fillId="4" borderId="1" xfId="0" applyNumberFormat="1" applyFont="1" applyFill="1" applyBorder="1"/>
    <x:xf numFmtId="0" fontId="10" fillId="4" borderId="0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horizontal="center" wrapText="1"/>
    </x:xf>
    <x:xf numFmtId="0" fontId="10" fillId="4" borderId="1" xfId="0" applyNumberFormat="1" applyFont="1" applyFill="1" applyBorder="1" applyAlignment="1">
      <x:alignment horizontal="center" wrapText="1"/>
    </x:xf>
    <x:xf numFmtId="0" fontId="10" fillId="4" borderId="0" xfId="0" applyNumberFormat="1" applyFont="1" applyFill="1" applyBorder="1" applyAlignment="1">
      <x:alignment horizontal="center" vertical="center" wrapText="1"/>
    </x:xf>
    <x:xf numFmtId="0" fontId="10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11" fillId="3" borderId="0" xfId="0" applyNumberFormat="1" applyFont="1" applyFill="1" applyBorder="1"/>
    <x:xf numFmtId="0" fontId="11" fillId="3" borderId="1" xfId="0" applyNumberFormat="1" applyFont="1" applyFill="1" applyBorder="1"/>
    <x:xf numFmtId="0" fontId="11" fillId="3" borderId="0" xfId="0" applyNumberFormat="1" applyFont="1" applyFill="1" applyBorder="1" applyAlignment="1">
      <x:alignment horizontal="center"/>
    </x:xf>
    <x:xf numFmtId="0" fontId="11" fillId="3" borderId="1" xfId="0" applyNumberFormat="1" applyFont="1" applyFill="1" applyBorder="1" applyAlignment="1">
      <x:alignment horizontal="center"/>
    </x:xf>
    <x:xf numFmtId="0" fontId="12" fillId="4" borderId="2" xfId="0" applyNumberFormat="1" applyFont="1" applyFill="1" applyBorder="1" applyAlignment="1">
      <x:alignment vertical="center" wrapText="1"/>
    </x:xf>
    <x:xf numFmtId="0" fontId="12" fillId="4" borderId="3" xfId="0" applyNumberFormat="1" applyFont="1" applyFill="1" applyBorder="1" applyAlignment="1">
      <x:alignment vertical="center" wrapText="1"/>
    </x:xf>
    <x:xf numFmtId="200" fontId="12" fillId="4" borderId="2" xfId="0" applyNumberFormat="1" applyFont="1" applyFill="1" applyBorder="1" applyAlignment="1">
      <x:alignment vertical="center" wrapText="1"/>
    </x:xf>
    <x:xf numFmtId="200" fontId="12" fillId="4" borderId="3" xfId="0" applyNumberFormat="1" applyFont="1" applyFill="1" applyBorder="1" applyAlignment="1">
      <x:alignment vertical="center" wrapText="1"/>
    </x:xf>
    <x:xf numFmtId="201" fontId="12" fillId="4" borderId="2" xfId="0" applyNumberFormat="1" applyFont="1" applyFill="1" applyBorder="1" applyAlignment="1">
      <x:alignment vertical="center" wrapText="1"/>
    </x:xf>
    <x:xf numFmtId="201" fontId="12" fillId="4" borderId="3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horizontal="center" vertical="center" wrapText="1"/>
    </x:xf>
    <x:xf numFmtId="0" fontId="13" fillId="3" borderId="0" xfId="0" applyNumberFormat="1" applyFont="1" applyFill="1" applyBorder="1"/>
    <x:xf numFmtId="0" fontId="13" fillId="3" borderId="1" xfId="0" applyNumberFormat="1" applyFont="1" applyFill="1" applyBorder="1"/>
    <x:xf numFmtId="0" fontId="13" fillId="3" borderId="0" xfId="0" applyNumberFormat="1" applyFont="1" applyFill="1" applyBorder="1" applyAlignment="1">
      <x:alignment horizontal="center"/>
    </x:xf>
    <x:xf numFmtId="0" fontId="13" fillId="3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4" fillId="8" borderId="0" xfId="0" applyNumberFormat="1" applyFont="1" applyFill="1" applyBorder="1"/>
    <x:xf numFmtId="0" fontId="4" fillId="8" borderId="1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4" fillId="8" borderId="2" xfId="0" applyNumberFormat="1" applyFont="1" applyFill="1" applyBorder="1" applyAlignment="1">
      <x:alignment vertical="center" wrapText="1"/>
    </x:xf>
    <x:xf numFmtId="0" fontId="4" fillId="8" borderId="3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4" fillId="9" borderId="0" xfId="0" applyNumberFormat="1" applyFont="1" applyFill="1" applyBorder="1"/>
    <x:xf numFmtId="0" fontId="4" fillId="9" borderId="1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1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vertical="center" wrapText="1"/>
    </x:xf>
    <x:xf numFmtId="0" fontId="4" fillId="9" borderId="1" xfId="0" applyNumberFormat="1" applyFont="1" applyFill="1" applyBorder="1" applyAlignment="1">
      <x:alignment vertical="center" wrapText="1"/>
    </x:xf>
    <x:xf numFmtId="0" fontId="4" fillId="9" borderId="2" xfId="0" applyNumberFormat="1" applyFont="1" applyFill="1" applyBorder="1" applyAlignment="1">
      <x:alignment vertical="center" wrapText="1"/>
    </x:xf>
    <x:xf numFmtId="0" fontId="4" fillId="9" borderId="3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0" fillId="10" borderId="1" xfId="0" applyNumberFormat="1" applyFont="1" applyFill="1" applyBorder="1"/>
    <x:xf numFmtId="0" fontId="4" fillId="10" borderId="0" xfId="0" applyNumberFormat="1" applyFont="1" applyFill="1" applyBorder="1"/>
    <x:xf numFmtId="0" fontId="4" fillId="10" borderId="1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4" fillId="10" borderId="1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vertical="center" wrapText="1"/>
    </x:xf>
    <x:xf numFmtId="0" fontId="4" fillId="10" borderId="1" xfId="0" applyNumberFormat="1" applyFont="1" applyFill="1" applyBorder="1" applyAlignment="1">
      <x:alignment vertical="center" wrapText="1"/>
    </x:xf>
    <x:xf numFmtId="0" fontId="4" fillId="10" borderId="2" xfId="0" applyNumberFormat="1" applyFont="1" applyFill="1" applyBorder="1" applyAlignment="1">
      <x:alignment vertical="center" wrapText="1"/>
    </x:xf>
    <x:xf numFmtId="0" fontId="4" fillId="10" borderId="3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0" fillId="11" borderId="1" xfId="0" applyNumberFormat="1" applyFont="1" applyFill="1" applyBorder="1"/>
    <x:xf numFmtId="0" fontId="4" fillId="11" borderId="0" xfId="0" applyNumberFormat="1" applyFont="1" applyFill="1" applyBorder="1"/>
    <x:xf numFmtId="0" fontId="4" fillId="11" borderId="1" xfId="0" applyNumberFormat="1" applyFont="1" applyFill="1" applyBorder="1"/>
    <x:xf numFmtId="0" fontId="4" fillId="11" borderId="0" xfId="0" applyNumberFormat="1" applyFont="1" applyFill="1" applyBorder="1" applyAlignment="1">
      <x:alignment wrapText="1"/>
    </x:xf>
    <x:xf numFmtId="0" fontId="4" fillId="11" borderId="1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vertical="center" wrapText="1"/>
    </x:xf>
    <x:xf numFmtId="0" fontId="4" fillId="11" borderId="1" xfId="0" applyNumberFormat="1" applyFont="1" applyFill="1" applyBorder="1" applyAlignment="1">
      <x:alignment vertical="center" wrapText="1"/>
    </x:xf>
    <x:xf numFmtId="0" fontId="4" fillId="11" borderId="2" xfId="0" applyNumberFormat="1" applyFont="1" applyFill="1" applyBorder="1" applyAlignment="1">
      <x:alignment vertical="center" wrapText="1"/>
    </x:xf>
    <x:xf numFmtId="0" fontId="4" fillId="11" borderId="3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7" fillId="7" borderId="1" xfId="0" applyNumberFormat="1" applyFont="1" applyFill="1" applyBorder="1" applyAlignment="1">
      <x:alignment horizontal="center"/>
    </x:xf>
    <x:xf numFmtId="201" fontId="4" fillId="4" borderId="2" xfId="0" applyNumberFormat="1" applyFont="1" applyFill="1" applyBorder="1" applyAlignment="1">
      <x:alignment vertical="center" wrapText="1"/>
    </x:xf>
    <x:xf numFmtId="201" fontId="4" fillId="4" borderId="3" xfId="0" applyNumberFormat="1" applyFont="1" applyFill="1" applyBorder="1" applyAlignment="1">
      <x:alignment vertical="center" wrapText="1"/>
    </x:xf>
    <x:xf numFmtId="202" fontId="4" fillId="4" borderId="2" xfId="0" applyNumberFormat="1" applyFont="1" applyFill="1" applyBorder="1" applyAlignment="1">
      <x:alignment vertical="center" wrapText="1"/>
    </x:xf>
    <x:xf numFmtId="202" fontId="4" fillId="4" borderId="3" xfId="0" applyNumberFormat="1" applyFont="1" applyFill="1" applyBorder="1" applyAlignment="1">
      <x:alignment vertical="center" wrapText="1"/>
    </x:xf>
    <x:xf numFmtId="203" fontId="4" fillId="4" borderId="2" xfId="0" applyNumberFormat="1" applyFont="1" applyFill="1" applyBorder="1" applyAlignment="1">
      <x:alignment vertical="center" wrapText="1"/>
    </x:xf>
    <x:xf numFmtId="203" fontId="4" fillId="6" borderId="2" xfId="0" applyNumberFormat="1" applyFont="1" applyFill="1" applyBorder="1" applyAlignment="1">
      <x:alignment vertical="center" wrapText="1"/>
    </x:xf>
    <x:xf numFmtId="203" fontId="4" fillId="4" borderId="3" xfId="0" applyNumberFormat="1" applyFont="1" applyFill="1" applyBorder="1" applyAlignment="1">
      <x:alignment vertical="center" wrapText="1"/>
    </x:xf>
    <x:xf numFmtId="203" fontId="4" fillId="6" borderId="3" xfId="0" applyNumberFormat="1" applyFont="1" applyFill="1" applyBorder="1" applyAlignment="1">
      <x:alignment vertical="center" wrapText="1"/>
    </x:xf>
    <x:xf numFmtId="0" fontId="14" fillId="4" borderId="0" xfId="0" applyNumberFormat="1" applyFont="1" applyFill="1" applyBorder="1"/>
    <x:xf numFmtId="0" fontId="14" fillId="4" borderId="1" xfId="0" applyNumberFormat="1" applyFont="1" applyFill="1" applyBorder="1"/>
    <x:xf numFmtId="0" fontId="14" fillId="4" borderId="0" xfId="0" applyNumberFormat="1" applyFont="1" applyFill="1" applyBorder="1" applyAlignment="1">
      <x:alignment horizontal="center"/>
    </x:xf>
    <x:xf numFmtId="0" fontId="14" fillId="4" borderId="1" xfId="0" applyNumberFormat="1" applyFont="1" applyFill="1" applyBorder="1" applyAlignment="1">
      <x:alignment horizontal="center"/>
    </x:xf>
    <x:xf numFmtId="0" fontId="14" fillId="4" borderId="0" xfId="0" applyNumberFormat="1" applyFont="1" applyFill="1" applyBorder="1" applyAlignment="1">
      <x:alignment horizontal="center" vertical="center"/>
    </x:xf>
    <x:xf numFmtId="0" fontId="14" fillId="4" borderId="1" xfId="0" applyNumberFormat="1" applyFont="1" applyFill="1" applyBorder="1" applyAlignment="1">
      <x:alignment horizontal="center" vertical="center"/>
    </x:xf>
    <x:xf numFmtId="0" fontId="15" fillId="6" borderId="0" xfId="0" applyNumberFormat="1" applyFont="1" applyFill="1" applyBorder="1"/>
    <x:xf numFmtId="0" fontId="15" fillId="6" borderId="1" xfId="0" applyNumberFormat="1" applyFont="1" applyFill="1" applyBorder="1"/>
    <x:xf numFmtId="0" fontId="15" fillId="6" borderId="0" xfId="0" applyNumberFormat="1" applyFont="1" applyFill="1" applyBorder="1" applyAlignment="1">
      <x:alignment horizontal="center"/>
    </x:xf>
    <x:xf numFmtId="0" fontId="15" fillId="6" borderId="1" xfId="0" applyNumberFormat="1" applyFont="1" applyFill="1" applyBorder="1" applyAlignment="1">
      <x:alignment horizontal="center"/>
    </x:xf>
    <x:xf numFmtId="202" fontId="14" fillId="4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14" fillId="4" borderId="1" xfId="0" applyNumberFormat="1" applyFont="1" applyFill="1" applyBorder="1" applyAlignment="1">
      <x:alignment horizontal="center" vertical="center"/>
    </x:xf>
    <x:xf numFmtId="202" fontId="0" fillId="0" borderId="1" xfId="0" applyNumberFormat="1" applyFont="1" applyFill="1" applyBorder="1"/>
    <x:xf numFmtId="204" fontId="4" fillId="4" borderId="2" xfId="0" applyNumberFormat="1" applyFont="1" applyFill="1" applyBorder="1" applyAlignment="1">
      <x:alignment vertical="center" wrapText="1"/>
    </x:xf>
    <x:xf numFmtId="204" fontId="4" fillId="4" borderId="3" xfId="0" applyNumberFormat="1" applyFont="1" applyFill="1" applyBorder="1" applyAlignment="1">
      <x:alignment vertical="center" wrapText="1"/>
    </x:xf>
    <x:xf numFmtId="0" fontId="16" fillId="4" borderId="0" xfId="0" applyNumberFormat="1" applyFont="1" applyFill="1" applyBorder="1"/>
    <x:xf numFmtId="0" fontId="16" fillId="4" borderId="1" xfId="0" applyNumberFormat="1" applyFont="1" applyFill="1" applyBorder="1"/>
    <x:xf numFmtId="0" fontId="16" fillId="4" borderId="0" xfId="0" applyNumberFormat="1" applyFont="1" applyFill="1" applyBorder="1" applyAlignment="1">
      <x:alignment wrapText="1"/>
    </x:xf>
    <x:xf numFmtId="0" fontId="16" fillId="4" borderId="1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vertical="center" wrapText="1"/>
    </x:xf>
    <x:xf numFmtId="0" fontId="10" fillId="4" borderId="1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9"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fb3f3c9a3040b2" /><Relationship Type="http://schemas.openxmlformats.org/officeDocument/2006/relationships/theme" Target="/xl/theme/theme1.xml" Id="R09b2f95602184ca9" /><Relationship Type="http://schemas.openxmlformats.org/officeDocument/2006/relationships/sharedStrings" Target="/xl/sharedStrings.xml" Id="R0e362c121ec8465b" /><Relationship Type="http://schemas.openxmlformats.org/officeDocument/2006/relationships/worksheet" Target="/xl/worksheets/sheet1.xml" Id="Rdfcdbcd29b9f45de" /><Relationship Type="http://schemas.openxmlformats.org/officeDocument/2006/relationships/worksheet" Target="/xl/worksheets/sheet2.xml" Id="Rc184f89bf7424f2d" /><Relationship Type="http://schemas.openxmlformats.org/officeDocument/2006/relationships/worksheet" Target="/xl/worksheets/sheet3.xml" Id="Rb86d92d58b0e4675" /><Relationship Type="http://schemas.openxmlformats.org/officeDocument/2006/relationships/worksheet" Target="/xl/worksheets/sheet4.xml" Id="Rb41940efbe8d40a6" /><Relationship Type="http://schemas.openxmlformats.org/officeDocument/2006/relationships/worksheet" Target="/xl/worksheets/sheet5.xml" Id="R212a04f03d644899" /><Relationship Type="http://schemas.openxmlformats.org/officeDocument/2006/relationships/worksheet" Target="/xl/worksheets/sheet6.xml" Id="R6dd55e18ccba403d" /><Relationship Type="http://schemas.openxmlformats.org/officeDocument/2006/relationships/worksheet" Target="/xl/worksheets/sheet7.xml" Id="R1a6c0c859d85479a" /><Relationship Type="http://schemas.openxmlformats.org/officeDocument/2006/relationships/worksheet" Target="/xl/worksheets/sheet8.xml" Id="Rebf4e395ff9c4c3a" /><Relationship Type="http://schemas.openxmlformats.org/officeDocument/2006/relationships/worksheet" Target="/xl/worksheets/sheet9.xml" Id="R0db90165a4da40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56" customHeight="1">
      <x:c r="A1" s="42" t="str">
        <x:v>ANALISIS FODA ESTRATEGICO</x:v>
      </x:c>
    </x:row>
    <x:row r="4" ht="40" customHeight="1">
      <x:c r="A4" s="50" t="str">
        <x:v>Plantilla premium editable para diagnosticar tu negocio, cruzar estrategias y convertir hallazgos en un plan de accion medible.</x:v>
      </x:c>
    </x:row>
    <x:row r="7">
      <x:c r="B7" s="56" t="str">
        <x:v>RECURSO PREMIUM ICADEM</x:v>
      </x:c>
      <x:c r="F7" s="62" t="str">
        <x:v>Editable | Profesional | Listo para empresas</x:v>
      </x:c>
    </x:row>
    <x:row r="10">
      <x:c r="B10" s="68" t="str">
        <x:v>ORDEN RECOMENDADO DE USO</x:v>
      </x:c>
    </x:row>
    <x:row r="11">
      <x:c r="B11" s="72" t="n">
        <x:v>1</x:v>
      </x:c>
      <x:c r="C11" s="76" t="str">
        <x:v>Configurar</x:v>
      </x:c>
      <x:c r="D11" s="36" t="str">
        <x:v>Llena los datos generales de la empresa y el objetivo estrategico.</x:v>
      </x:c>
    </x:row>
    <x:row r="12">
      <x:c r="B12" s="72" t="n">
        <x:v>2</x:v>
      </x:c>
      <x:c r="C12" s="76" t="str">
        <x:v>Diagnosticar</x:v>
      </x:c>
      <x:c r="D12" s="36" t="str">
        <x:v>Registra factores internos y externos con impacto y urgencia.</x:v>
      </x:c>
    </x:row>
    <x:row r="13">
      <x:c r="B13" s="72" t="n">
        <x:v>3</x:v>
      </x:c>
      <x:c r="C13" s="76" t="str">
        <x:v>Ordenar</x:v>
      </x:c>
      <x:c r="D13" s="36" t="str">
        <x:v>Resume los factores mas importantes en la matriz FODA editable.</x:v>
      </x:c>
    </x:row>
    <x:row r="14">
      <x:c r="B14" s="72" t="n">
        <x:v>4</x:v>
      </x:c>
      <x:c r="C14" s="76" t="str">
        <x:v>Diseñar estrategia</x:v>
      </x:c>
      <x:c r="D14" s="36" t="str">
        <x:v>Cruza FO, DO, FA y DA para generar acciones estrategicas.</x:v>
      </x:c>
    </x:row>
    <x:row r="15">
      <x:c r="B15" s="72" t="n">
        <x:v>5</x:v>
      </x:c>
      <x:c r="C15" s="76" t="str">
        <x:v>Ejecutar</x:v>
      </x:c>
      <x:c r="D15" s="36" t="str">
        <x:v>Asigna responsables, fechas, presupuesto y seguimiento.</x:v>
      </x:c>
    </x:row>
    <x:row r="16">
      <x:c r="B16" s="72" t="n">
        <x:v>6</x:v>
      </x:c>
      <x:c r="C16" s="76" t="str">
        <x:v>Analizar</x:v>
      </x:c>
      <x:c r="D16" s="36" t="str">
        <x:v>Revisa el dashboard para detectar prioridades, avances y alertas.</x:v>
      </x:c>
    </x:row>
    <x:row r="18">
      <x:c r="B18" s="84" t="str">
        <x:v>Diseñada para material de curso, consultoria o uso interno: el usuario puede editar textos, agregar factores, priorizar iniciativas y presentar resultados ejecutivos.</x:v>
      </x:c>
    </x:row>
  </x:sheetData>
  <x:mergeCells>
    <x:mergeCell ref="A1:J3"/>
    <x:mergeCell ref="A4:J5"/>
    <x:mergeCell ref="B7:D7"/>
    <x:mergeCell ref="F7:I7"/>
    <x:mergeCell ref="B10:I10"/>
    <x:mergeCell ref="B18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38" hidden="0" customWidth="1"/>
    <x:col min="4" max="4" width="38" hidden="0" customWidth="1"/>
    <x:col min="5" max="5" width="2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2" customHeight="1">
      <x:c r="A1" s="8" t="str">
        <x:v>Guia de uso</x:v>
      </x:c>
    </x:row>
    <x:row r="2" ht="24" customHeight="1">
      <x:c r="A2" s="18" t="str">
        <x:v>Pasos claros para que cualquier usuario pueda completar la herramienta sin ser experto en Excel.</x:v>
      </x:c>
    </x:row>
    <x:row r="5" ht="28" customHeight="1">
      <x:c r="B5" s="26" t="str">
        <x:v>Paso</x:v>
      </x:c>
      <x:c r="C5" s="26" t="str">
        <x:v>Hoja</x:v>
      </x:c>
      <x:c r="D5" s="26" t="str">
        <x:v>Que llenar</x:v>
      </x:c>
      <x:c r="E5" s="26" t="str">
        <x:v>Resultado</x:v>
      </x:c>
      <x:c r="F5" s="26" t="str">
        <x:v>Consejo</x:v>
      </x:c>
    </x:row>
    <x:row r="6" ht="46" customHeight="1">
      <x:c r="B6" s="86" t="n">
        <x:v>1</x:v>
      </x:c>
      <x:c r="C6" s="36" t="str">
        <x:v>02 Configuracion</x:v>
      </x:c>
      <x:c r="D6" s="36" t="str">
        <x:v>Empresa, responsable, periodo y objetivo estrategico.</x:v>
      </x:c>
      <x:c r="E6" s="36" t="str">
        <x:v>Contexto claro del diagnostico.</x:v>
      </x:c>
      <x:c r="F6" s="36" t="str">
        <x:v>Empieza siempre por aqui.</x:v>
      </x:c>
    </x:row>
    <x:row r="7" ht="46" customHeight="1">
      <x:c r="B7" s="86" t="n">
        <x:v>2</x:v>
      </x:c>
      <x:c r="C7" s="36" t="str">
        <x:v>03 Diagnostico</x:v>
      </x:c>
      <x:c r="D7" s="36" t="str">
        <x:v>Factores FODA, impacto, urgencia, evidencia y responsable.</x:v>
      </x:c>
      <x:c r="E7" s="36" t="str">
        <x:v>Puntaje y prioridad automatica.</x:v>
      </x:c>
      <x:c r="F7" s="36" t="str">
        <x:v>Agrega datos o evidencia cuando sea posible.</x:v>
      </x:c>
    </x:row>
    <x:row r="8" ht="46" customHeight="1">
      <x:c r="B8" s="86" t="n">
        <x:v>3</x:v>
      </x:c>
      <x:c r="C8" s="36" t="str">
        <x:v>04 Matriz FODA</x:v>
      </x:c>
      <x:c r="D8" s="36" t="str">
        <x:v>Cuadrantes editables con los factores mas relevantes.</x:v>
      </x:c>
      <x:c r="E8" s="36" t="str">
        <x:v>Resumen ejecutivo presentable.</x:v>
      </x:c>
      <x:c r="F8" s="36" t="str">
        <x:v>No satures: prioriza lo mas importante.</x:v>
      </x:c>
    </x:row>
    <x:row r="9" ht="46" customHeight="1">
      <x:c r="B9" s="86" t="n">
        <x:v>4</x:v>
      </x:c>
      <x:c r="C9" s="36" t="str">
        <x:v>05 Estrategias</x:v>
      </x:c>
      <x:c r="D9" s="36" t="str">
        <x:v>Estrategias FO, DO, FA y DA con impacto y esfuerzo.</x:v>
      </x:c>
      <x:c r="E9" s="36" t="str">
        <x:v>Score de prioridad automatico.</x:v>
      </x:c>
      <x:c r="F9" s="36" t="str">
        <x:v>Elige estrategias realistas.</x:v>
      </x:c>
    </x:row>
    <x:row r="10" ht="46" customHeight="1">
      <x:c r="B10" s="86" t="n">
        <x:v>5</x:v>
      </x:c>
      <x:c r="C10" s="36" t="str">
        <x:v>06 Plan Accion</x:v>
      </x:c>
      <x:c r="D10" s="36" t="str">
        <x:v>Acciones, fechas, responsable, presupuesto y avance.</x:v>
      </x:c>
      <x:c r="E10" s="36" t="str">
        <x:v>Alertas de seguimiento.</x:v>
      </x:c>
      <x:c r="F10" s="36" t="str">
        <x:v>Revisalo semanalmente.</x:v>
      </x:c>
    </x:row>
    <x:row r="11" ht="46" customHeight="1">
      <x:c r="B11" s="86" t="n">
        <x:v>6</x:v>
      </x:c>
      <x:c r="C11" s="36" t="str">
        <x:v>07 Dashboard</x:v>
      </x:c>
      <x:c r="D11" s="36" t="str">
        <x:v>No requiere captura directa.</x:v>
      </x:c>
      <x:c r="E11" s="36" t="str">
        <x:v>KPIs y lectura ejecutiva automatica.</x:v>
      </x:c>
      <x:c r="F11" s="36" t="str">
        <x:v>Usalo para juntas o reportes.</x:v>
      </x:c>
    </x:row>
    <x:row r="14">
      <x:c r="B14" s="90" t="str">
        <x:v>REGLAS DE EDICION</x:v>
      </x:c>
    </x:row>
    <x:row r="15">
      <x:c r="B15" s="76" t="str">
        <x:v>Campos editables</x:v>
      </x:c>
      <x:c r="C15" s="36" t="str">
        <x:v>Puedes modificar datos, textos y registros en las hojas de captura.</x:v>
      </x:c>
    </x:row>
    <x:row r="16">
      <x:c r="B16" s="76" t="str">
        <x:v>Formulas</x:v>
      </x:c>
      <x:c r="C16" s="36" t="str">
        <x:v>Evita borrar columnas calculadas como puntaje, prioridad, variacion o alerta.</x:v>
      </x:c>
    </x:row>
    <x:row r="17">
      <x:c r="B17" s="76" t="str">
        <x:v>Listas desplegables</x:v>
      </x:c>
      <x:c r="C17" s="36" t="str">
        <x:v>Usa los menus para mantener datos ordenados y faciles de analizar.</x:v>
      </x:c>
    </x:row>
    <x:row r="18">
      <x:c r="B18" s="76" t="str">
        <x:v>Uso profesional</x:v>
      </x:c>
      <x:c r="C18" s="36" t="str">
        <x:v>La matriz y el dashboard sirven como material de presentacion ejecutiva.</x:v>
      </x:c>
    </x:row>
  </x:sheetData>
  <x:mergeCells>
    <x:mergeCell ref="A1:K1"/>
    <x:mergeCell ref="A2:K2"/>
    <x:mergeCell ref="B14:F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28" hidden="0" customWidth="1"/>
    <x:col min="3" max="3" width="34" hidden="0" customWidth="1"/>
    <x:col min="4" max="4" width="4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2" customHeight="1">
      <x:c r="A1" s="8" t="str">
        <x:v>Configuracion del analisis</x:v>
      </x:c>
    </x:row>
    <x:row r="2" ht="24" customHeight="1">
      <x:c r="A2" s="18" t="str">
        <x:v>Personaliza los datos generales de la empresa y el enfoque estrategico.</x:v>
      </x:c>
    </x:row>
    <x:row r="5" ht="28" customHeight="1">
      <x:c r="B5" s="26" t="str">
        <x:v>Campo</x:v>
      </x:c>
      <x:c r="C5" s="26" t="str">
        <x:v>Dato editable</x:v>
      </x:c>
      <x:c r="D5" s="26" t="str">
        <x:v>Descripcion</x:v>
      </x:c>
    </x:row>
    <x:row r="6">
      <x:c r="B6" s="76" t="str">
        <x:v>Empresa / Proyecto</x:v>
      </x:c>
      <x:c r="C6" s="92" t="str">
        <x:v>ICADEM / Mi Empresa</x:v>
      </x:c>
      <x:c r="D6" s="36" t="str">
        <x:v>Nombre comercial, proyecto o unidad de negocio.</x:v>
      </x:c>
    </x:row>
    <x:row r="7">
      <x:c r="B7" s="76" t="str">
        <x:v>Responsable del analisis</x:v>
      </x:c>
      <x:c r="C7" s="92" t="str">
        <x:v>Nombre del responsable</x:v>
      </x:c>
      <x:c r="D7" s="36" t="str">
        <x:v>Persona encargada de actualizar y presentar el FODA.</x:v>
      </x:c>
    </x:row>
    <x:row r="8">
      <x:c r="B8" s="76" t="str">
        <x:v>Año de analisis</x:v>
      </x:c>
      <x:c r="C8" s="94" t="n">
        <x:v>2026</x:v>
      </x:c>
      <x:c r="D8" s="36" t="str">
        <x:v>Periodo principal que se evaluara.</x:v>
      </x:c>
    </x:row>
    <x:row r="9">
      <x:c r="B9" s="76" t="str">
        <x:v>Unidad de negocio</x:v>
      </x:c>
      <x:c r="C9" s="92" t="str">
        <x:v>General</x:v>
      </x:c>
      <x:c r="D9" s="36" t="str">
        <x:v>Area, sucursal, proyecto o linea de negocio.</x:v>
      </x:c>
    </x:row>
    <x:row r="10">
      <x:c r="B10" s="76" t="str">
        <x:v>Objetivo estrategico</x:v>
      </x:c>
      <x:c r="C10" s="92" t="str">
        <x:v>Mejorar crecimiento, rentabilidad y eficiencia operativa.</x:v>
      </x:c>
      <x:c r="D10" s="36" t="str">
        <x:v>Enfoque del diagnostico estrategico.</x:v>
      </x:c>
    </x:row>
    <x:row r="11">
      <x:c r="B11" s="76" t="str">
        <x:v>Fecha de actualizacion</x:v>
      </x:c>
      <x:c r="C11" s="96" t="n">
        <x:v>46153</x:v>
      </x:c>
      <x:c r="D11" s="36" t="str">
        <x:v>Ultima fecha de revision.</x:v>
      </x:c>
    </x:row>
    <x:row r="14" ht="28" customHeight="1">
      <x:c r="B14" s="26" t="str">
        <x:v>Criterio</x:v>
      </x:c>
      <x:c r="C14" s="26" t="str">
        <x:v>Escala</x:v>
      </x:c>
      <x:c r="D14" s="26" t="str">
        <x:v>Uso</x:v>
      </x:c>
    </x:row>
    <x:row r="15">
      <x:c r="B15" s="76" t="str">
        <x:v>Impacto</x:v>
      </x:c>
      <x:c r="C15" s="36" t="str">
        <x:v>1 bajo a 5 muy alto</x:v>
      </x:c>
      <x:c r="D15" s="36" t="str">
        <x:v>Cuanto afecta o beneficia el factor al negocio.</x:v>
      </x:c>
    </x:row>
    <x:row r="16">
      <x:c r="B16" s="76" t="str">
        <x:v>Urgencia / Probabilidad</x:v>
      </x:c>
      <x:c r="C16" s="36" t="str">
        <x:v>1 baja a 5 muy alta</x:v>
      </x:c>
      <x:c r="D16" s="36" t="str">
        <x:v>Que tan pronto o probable es que ocurra.</x:v>
      </x:c>
    </x:row>
    <x:row r="17">
      <x:c r="B17" s="76" t="str">
        <x:v>Puntaje</x:v>
      </x:c>
      <x:c r="C17" s="36" t="str">
        <x:v>Impacto x Urgencia</x:v>
      </x:c>
      <x:c r="D17" s="36" t="str">
        <x:v>Base para definir prioridad automatica.</x:v>
      </x:c>
    </x:row>
    <x:row r="18">
      <x:c r="B18" s="76" t="str">
        <x:v>Prioridad</x:v>
      </x:c>
      <x:c r="C18" s="36" t="str">
        <x:v>Alta / Media / Baja</x:v>
      </x:c>
      <x:c r="D18" s="36" t="str">
        <x:v>Alta desde 16 puntos, media desde 9.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8" hidden="0" customWidth="1"/>
    <x:col min="4" max="4" width="42" hidden="0" customWidth="1"/>
    <x:col min="5" max="5" width="12" hidden="0" customWidth="1"/>
    <x:col min="6" max="6" width="14" hidden="0" customWidth="1"/>
    <x:col min="7" max="7" width="12" hidden="0" customWidth="1"/>
    <x:col min="8" max="8" width="12" hidden="0" customWidth="1"/>
    <x:col min="9" max="9" width="28" hidden="0" customWidth="1"/>
    <x:col min="10" max="10" width="18" hidden="0" customWidth="1"/>
    <x:col min="11" max="11" width="34" hidden="0" customWidth="1"/>
    <x:col min="12" max="12" width="16" hidden="0" customWidth="1"/>
  </x:cols>
  <x:sheetData>
    <x:row r="1" ht="32" customHeight="1">
      <x:c r="A1" s="8" t="str">
        <x:v>Diagnostico FODA</x:v>
      </x:c>
    </x:row>
    <x:row r="2" ht="24" customHeight="1">
      <x:c r="A2" s="18" t="str">
        <x:v>Registra factores internos y externos. Puntaje y prioridad se calculan automaticamente.</x:v>
      </x:c>
    </x:row>
    <x:row r="5" ht="28" customHeight="1">
      <x:c r="A5" s="26" t="str">
        <x:v>ID</x:v>
      </x:c>
      <x:c r="B5" s="26" t="str">
        <x:v>Factor</x:v>
      </x:c>
      <x:c r="C5" s="26" t="str">
        <x:v>Cuadrante</x:v>
      </x:c>
      <x:c r="D5" s="26" t="str">
        <x:v>Descripcion / Contexto</x:v>
      </x:c>
      <x:c r="E5" s="26" t="str">
        <x:v>Impacto</x:v>
      </x:c>
      <x:c r="F5" s="26" t="str">
        <x:v>Urgencia</x:v>
      </x:c>
      <x:c r="G5" s="26" t="str">
        <x:v>Puntaje</x:v>
      </x:c>
      <x:c r="H5" s="26" t="str">
        <x:v>Prioridad</x:v>
      </x:c>
      <x:c r="I5" s="26" t="str">
        <x:v>Evidencia</x:v>
      </x:c>
      <x:c r="J5" s="26" t="str">
        <x:v>Responsable</x:v>
      </x:c>
      <x:c r="K5" s="26" t="str">
        <x:v>Accion sugerida</x:v>
      </x:c>
      <x:c r="L5" s="26" t="str">
        <x:v>Estado</x:v>
      </x:c>
    </x:row>
    <x:row r="6" ht="34" customHeight="1">
      <x:c r="A6" s="74" t="str">
        <x:f>IF(B6="","",LEFT(C6,1)&amp;"-"&amp;TEXT(COUNTIF($C$6:C6,C6),"000"))</x:f>
        <x:v>F-001</x:v>
      </x:c>
      <x:c r="B6" s="36" t="str">
        <x:v>Marca con buena reputacion</x:v>
      </x:c>
      <x:c r="C6" s="36" t="str">
        <x:v>Fortaleza</x:v>
      </x:c>
      <x:c r="D6" s="36" t="str">
        <x:v>Clientes actuales reconocen la calidad del servicio y recomiendan la marca.</x:v>
      </x:c>
      <x:c r="E6" s="86" t="n">
        <x:v>5</x:v>
      </x:c>
      <x:c r="F6" s="86" t="n">
        <x:v>4</x:v>
      </x:c>
      <x:c r="G6" s="98" t="n">
        <x:f>IF(OR(E6="",F6=""),"",E6*F6)</x:f>
        <x:v>20</x:v>
      </x:c>
      <x:c r="H6" s="74" t="str">
        <x:f>IF(G6="","",IF(G6&gt;=16,"Alta",IF(G6&gt;=9,"Media","Baja")))</x:f>
        <x:v>Alta</x:v>
      </x:c>
      <x:c r="I6" s="36" t="str">
        <x:v>Resenas, testimonios y referidos</x:v>
      </x:c>
      <x:c r="J6" s="36" t="str">
        <x:v>Direccion</x:v>
      </x:c>
      <x:c r="K6" s="36" t="str">
        <x:v>Usar reputacion como argumento comercial.</x:v>
      </x:c>
      <x:c r="L6" s="36" t="str">
        <x:v>Validado</x:v>
      </x:c>
    </x:row>
    <x:row r="7" ht="34" customHeight="1">
      <x:c r="A7" s="74" t="str">
        <x:f>IF(B7="","",LEFT(C7,1)&amp;"-"&amp;TEXT(COUNTIF($C$6:C7,C7),"000"))</x:f>
        <x:v>O-001</x:v>
      </x:c>
      <x:c r="B7" s="36" t="str">
        <x:v>Mayor demanda de herramientas digitales</x:v>
      </x:c>
      <x:c r="C7" s="36" t="str">
        <x:v>Oportunidad</x:v>
      </x:c>
      <x:c r="D7" s="36" t="str">
        <x:v>Empresas buscan automatizar reportes, ventas y procesos administrativos.</x:v>
      </x:c>
      <x:c r="E7" s="86" t="n">
        <x:v>5</x:v>
      </x:c>
      <x:c r="F7" s="86" t="n">
        <x:v>5</x:v>
      </x:c>
      <x:c r="G7" s="98" t="n">
        <x:f>IF(OR(E7="",F7=""),"",E7*F7)</x:f>
        <x:v>25</x:v>
      </x:c>
      <x:c r="H7" s="74" t="str">
        <x:f>IF(G7="","",IF(G7&gt;=16,"Alta",IF(G7&gt;=9,"Media","Baja")))</x:f>
        <x:v>Alta</x:v>
      </x:c>
      <x:c r="I7" s="36" t="str">
        <x:v>Solicitudes de clientes y mercado</x:v>
      </x:c>
      <x:c r="J7" s="36" t="str">
        <x:v>Ventas</x:v>
      </x:c>
      <x:c r="K7" s="36" t="str">
        <x:v>Crear paquetes de servicios digitales.</x:v>
      </x:c>
      <x:c r="L7" s="36" t="str">
        <x:v>Validado</x:v>
      </x:c>
    </x:row>
    <x:row r="8" ht="34" customHeight="1">
      <x:c r="A8" s="74" t="str">
        <x:f>IF(B8="","",LEFT(C8,1)&amp;"-"&amp;TEXT(COUNTIF($C$6:C8,C8),"000"))</x:f>
        <x:v>D-001</x:v>
      </x:c>
      <x:c r="B8" s="36" t="str">
        <x:v>Seguimiento comercial irregular</x:v>
      </x:c>
      <x:c r="C8" s="36" t="str">
        <x:v>Debilidad</x:v>
      </x:c>
      <x:c r="D8" s="36" t="str">
        <x:v>No todas las oportunidades tienen seguimiento documentado.</x:v>
      </x:c>
      <x:c r="E8" s="86" t="n">
        <x:v>4</x:v>
      </x:c>
      <x:c r="F8" s="86" t="n">
        <x:v>4</x:v>
      </x:c>
      <x:c r="G8" s="98" t="n">
        <x:f>IF(OR(E8="",F8=""),"",E8*F8)</x:f>
        <x:v>16</x:v>
      </x:c>
      <x:c r="H8" s="74" t="str">
        <x:f>IF(G8="","",IF(G8&gt;=16,"Alta",IF(G8&gt;=9,"Media","Baja")))</x:f>
        <x:v>Alta</x:v>
      </x:c>
      <x:c r="I8" s="36" t="str">
        <x:v>CRM incompleto o falta de recordatorios</x:v>
      </x:c>
      <x:c r="J8" s="36" t="str">
        <x:v>Ventas</x:v>
      </x:c>
      <x:c r="K8" s="36" t="str">
        <x:v>Implementar pipeline semanal.</x:v>
      </x:c>
      <x:c r="L8" s="36" t="str">
        <x:v>En analisis</x:v>
      </x:c>
    </x:row>
    <x:row r="9" ht="34" customHeight="1">
      <x:c r="A9" s="74" t="str">
        <x:f>IF(B9="","",LEFT(C9,1)&amp;"-"&amp;TEXT(COUNTIF($C$6:C9,C9),"000"))</x:f>
        <x:v>A-001</x:v>
      </x:c>
      <x:c r="B9" s="36" t="str">
        <x:v>Competencia con precios bajos</x:v>
      </x:c>
      <x:c r="C9" s="36" t="str">
        <x:v>Amenaza</x:v>
      </x:c>
      <x:c r="D9" s="36" t="str">
        <x:v>Proveedores compiten por precio aunque con menor personalizacion.</x:v>
      </x:c>
      <x:c r="E9" s="86" t="n">
        <x:v>4</x:v>
      </x:c>
      <x:c r="F9" s="86" t="n">
        <x:v>3</x:v>
      </x:c>
      <x:c r="G9" s="98" t="n">
        <x:f>IF(OR(E9="",F9=""),"",E9*F9)</x:f>
        <x:v>12</x:v>
      </x:c>
      <x:c r="H9" s="74" t="str">
        <x:f>IF(G9="","",IF(G9&gt;=16,"Alta",IF(G9&gt;=9,"Media","Baja")))</x:f>
        <x:v>Media</x:v>
      </x:c>
      <x:c r="I9" s="36" t="str">
        <x:v>Cotizaciones de mercado</x:v>
      </x:c>
      <x:c r="J9" s="36" t="str">
        <x:v>Direccion</x:v>
      </x:c>
      <x:c r="K9" s="36" t="str">
        <x:v>Diferenciar por valor, soporte y resultados.</x:v>
      </x:c>
      <x:c r="L9" s="36" t="str">
        <x:v>Detectado</x:v>
      </x:c>
    </x:row>
    <x:row r="10" ht="34" customHeight="1">
      <x:c r="A10" s="74" t="str">
        <x:f>IF(B10="","",LEFT(C10,1)&amp;"-"&amp;TEXT(COUNTIF($C$6:C10,C10),"000"))</x:f>
      </x:c>
      <x:c r="B10" s="36"/>
      <x:c r="C10" s="36"/>
      <x:c r="D10" s="36"/>
      <x:c r="E10" s="86"/>
      <x:c r="F10" s="86"/>
      <x:c r="G10" s="98" t="str">
        <x:f>IF(OR(E10="",F10=""),"",E10*F10)</x:f>
      </x:c>
      <x:c r="H10" s="74" t="str">
        <x:f>IF(G10="","",IF(G10&gt;=16,"Alta",IF(G10&gt;=9,"Media","Baja")))</x:f>
      </x:c>
      <x:c r="I10" s="36"/>
      <x:c r="J10" s="36"/>
      <x:c r="K10" s="36"/>
      <x:c r="L10" s="36"/>
    </x:row>
    <x:row r="11" ht="34" customHeight="1">
      <x:c r="A11" s="74" t="str">
        <x:f>IF(B11="","",LEFT(C11,1)&amp;"-"&amp;TEXT(COUNTIF($C$6:C11,C11),"000"))</x:f>
      </x:c>
      <x:c r="B11" s="36"/>
      <x:c r="C11" s="36"/>
      <x:c r="D11" s="36"/>
      <x:c r="E11" s="86"/>
      <x:c r="F11" s="86"/>
      <x:c r="G11" s="98" t="str">
        <x:f>IF(OR(E11="",F11=""),"",E11*F11)</x:f>
      </x:c>
      <x:c r="H11" s="74" t="str">
        <x:f>IF(G11="","",IF(G11&gt;=16,"Alta",IF(G11&gt;=9,"Media","Baja")))</x:f>
      </x:c>
      <x:c r="I11" s="36"/>
      <x:c r="J11" s="36"/>
      <x:c r="K11" s="36"/>
      <x:c r="L11" s="36"/>
    </x:row>
    <x:row r="12" ht="34" customHeight="1">
      <x:c r="A12" s="74" t="str">
        <x:f>IF(B12="","",LEFT(C12,1)&amp;"-"&amp;TEXT(COUNTIF($C$6:C12,C12),"000"))</x:f>
      </x:c>
      <x:c r="B12" s="36"/>
      <x:c r="C12" s="36"/>
      <x:c r="D12" s="36"/>
      <x:c r="E12" s="86"/>
      <x:c r="F12" s="86"/>
      <x:c r="G12" s="98" t="str">
        <x:f>IF(OR(E12="",F12=""),"",E12*F12)</x:f>
      </x:c>
      <x:c r="H12" s="74" t="str">
        <x:f>IF(G12="","",IF(G12&gt;=16,"Alta",IF(G12&gt;=9,"Media","Baja")))</x:f>
      </x:c>
      <x:c r="I12" s="36"/>
      <x:c r="J12" s="36"/>
      <x:c r="K12" s="36"/>
      <x:c r="L12" s="36"/>
    </x:row>
    <x:row r="13" ht="34" customHeight="1">
      <x:c r="A13" s="74" t="str">
        <x:f>IF(B13="","",LEFT(C13,1)&amp;"-"&amp;TEXT(COUNTIF($C$6:C13,C13),"000"))</x:f>
      </x:c>
      <x:c r="B13" s="36"/>
      <x:c r="C13" s="36"/>
      <x:c r="D13" s="36"/>
      <x:c r="E13" s="86"/>
      <x:c r="F13" s="86"/>
      <x:c r="G13" s="98" t="str">
        <x:f>IF(OR(E13="",F13=""),"",E13*F13)</x:f>
      </x:c>
      <x:c r="H13" s="74" t="str">
        <x:f>IF(G13="","",IF(G13&gt;=16,"Alta",IF(G13&gt;=9,"Media","Baja")))</x:f>
      </x:c>
      <x:c r="I13" s="36"/>
      <x:c r="J13" s="36"/>
      <x:c r="K13" s="36"/>
      <x:c r="L13" s="36"/>
    </x:row>
    <x:row r="14" ht="34" customHeight="1">
      <x:c r="A14" s="74" t="str">
        <x:f>IF(B14="","",LEFT(C14,1)&amp;"-"&amp;TEXT(COUNTIF($C$6:C14,C14),"000"))</x:f>
      </x:c>
      <x:c r="B14" s="36"/>
      <x:c r="C14" s="36"/>
      <x:c r="D14" s="36"/>
      <x:c r="E14" s="86"/>
      <x:c r="F14" s="86"/>
      <x:c r="G14" s="98" t="str">
        <x:f>IF(OR(E14="",F14=""),"",E14*F14)</x:f>
      </x:c>
      <x:c r="H14" s="74" t="str">
        <x:f>IF(G14="","",IF(G14&gt;=16,"Alta",IF(G14&gt;=9,"Media","Baja")))</x:f>
      </x:c>
      <x:c r="I14" s="36"/>
      <x:c r="J14" s="36"/>
      <x:c r="K14" s="36"/>
      <x:c r="L14" s="36"/>
    </x:row>
    <x:row r="15" ht="34" customHeight="1">
      <x:c r="A15" s="74" t="str">
        <x:f>IF(B15="","",LEFT(C15,1)&amp;"-"&amp;TEXT(COUNTIF($C$6:C15,C15),"000"))</x:f>
      </x:c>
      <x:c r="B15" s="36"/>
      <x:c r="C15" s="36"/>
      <x:c r="D15" s="36"/>
      <x:c r="E15" s="86"/>
      <x:c r="F15" s="86"/>
      <x:c r="G15" s="98" t="str">
        <x:f>IF(OR(E15="",F15=""),"",E15*F15)</x:f>
      </x:c>
      <x:c r="H15" s="74" t="str">
        <x:f>IF(G15="","",IF(G15&gt;=16,"Alta",IF(G15&gt;=9,"Media","Baja")))</x:f>
      </x:c>
      <x:c r="I15" s="36"/>
      <x:c r="J15" s="36"/>
      <x:c r="K15" s="36"/>
      <x:c r="L15" s="36"/>
    </x:row>
    <x:row r="16" ht="34" customHeight="1">
      <x:c r="A16" s="74" t="str">
        <x:f>IF(B16="","",LEFT(C16,1)&amp;"-"&amp;TEXT(COUNTIF($C$6:C16,C16),"000"))</x:f>
      </x:c>
      <x:c r="B16" s="36"/>
      <x:c r="C16" s="36"/>
      <x:c r="D16" s="36"/>
      <x:c r="E16" s="86"/>
      <x:c r="F16" s="86"/>
      <x:c r="G16" s="98" t="str">
        <x:f>IF(OR(E16="",F16=""),"",E16*F16)</x:f>
      </x:c>
      <x:c r="H16" s="74" t="str">
        <x:f>IF(G16="","",IF(G16&gt;=16,"Alta",IF(G16&gt;=9,"Media","Baja")))</x:f>
      </x:c>
      <x:c r="I16" s="36"/>
      <x:c r="J16" s="36"/>
      <x:c r="K16" s="36"/>
      <x:c r="L16" s="36"/>
    </x:row>
    <x:row r="17" ht="34" customHeight="1">
      <x:c r="A17" s="74" t="str">
        <x:f>IF(B17="","",LEFT(C17,1)&amp;"-"&amp;TEXT(COUNTIF($C$6:C17,C17),"000"))</x:f>
      </x:c>
      <x:c r="B17" s="36"/>
      <x:c r="C17" s="36"/>
      <x:c r="D17" s="36"/>
      <x:c r="E17" s="86"/>
      <x:c r="F17" s="86"/>
      <x:c r="G17" s="98" t="str">
        <x:f>IF(OR(E17="",F17=""),"",E17*F17)</x:f>
      </x:c>
      <x:c r="H17" s="74" t="str">
        <x:f>IF(G17="","",IF(G17&gt;=16,"Alta",IF(G17&gt;=9,"Media","Baja")))</x:f>
      </x:c>
      <x:c r="I17" s="36"/>
      <x:c r="J17" s="36"/>
      <x:c r="K17" s="36"/>
      <x:c r="L17" s="36"/>
    </x:row>
    <x:row r="18" ht="34" customHeight="1">
      <x:c r="A18" s="74" t="str">
        <x:f>IF(B18="","",LEFT(C18,1)&amp;"-"&amp;TEXT(COUNTIF($C$6:C18,C18),"000"))</x:f>
      </x:c>
      <x:c r="B18" s="36"/>
      <x:c r="C18" s="36"/>
      <x:c r="D18" s="36"/>
      <x:c r="E18" s="86"/>
      <x:c r="F18" s="86"/>
      <x:c r="G18" s="98" t="str">
        <x:f>IF(OR(E18="",F18=""),"",E18*F18)</x:f>
      </x:c>
      <x:c r="H18" s="74" t="str">
        <x:f>IF(G18="","",IF(G18&gt;=16,"Alta",IF(G18&gt;=9,"Media","Baja")))</x:f>
      </x:c>
      <x:c r="I18" s="36"/>
      <x:c r="J18" s="36"/>
      <x:c r="K18" s="36"/>
      <x:c r="L18" s="36"/>
    </x:row>
    <x:row r="19" ht="34" customHeight="1">
      <x:c r="A19" s="74" t="str">
        <x:f>IF(B19="","",LEFT(C19,1)&amp;"-"&amp;TEXT(COUNTIF($C$6:C19,C19),"000"))</x:f>
      </x:c>
      <x:c r="B19" s="36"/>
      <x:c r="C19" s="36"/>
      <x:c r="D19" s="36"/>
      <x:c r="E19" s="86"/>
      <x:c r="F19" s="86"/>
      <x:c r="G19" s="98" t="str">
        <x:f>IF(OR(E19="",F19=""),"",E19*F19)</x:f>
      </x:c>
      <x:c r="H19" s="74" t="str">
        <x:f>IF(G19="","",IF(G19&gt;=16,"Alta",IF(G19&gt;=9,"Media","Baja")))</x:f>
      </x:c>
      <x:c r="I19" s="36"/>
      <x:c r="J19" s="36"/>
      <x:c r="K19" s="36"/>
      <x:c r="L19" s="36"/>
    </x:row>
    <x:row r="20" ht="34" customHeight="1">
      <x:c r="A20" s="74" t="str">
        <x:f>IF(B20="","",LEFT(C20,1)&amp;"-"&amp;TEXT(COUNTIF($C$6:C20,C20),"000"))</x:f>
      </x:c>
      <x:c r="B20" s="36"/>
      <x:c r="C20" s="36"/>
      <x:c r="D20" s="36"/>
      <x:c r="E20" s="86"/>
      <x:c r="F20" s="86"/>
      <x:c r="G20" s="98" t="str">
        <x:f>IF(OR(E20="",F20=""),"",E20*F20)</x:f>
      </x:c>
      <x:c r="H20" s="74" t="str">
        <x:f>IF(G20="","",IF(G20&gt;=16,"Alta",IF(G20&gt;=9,"Media","Baja")))</x:f>
      </x:c>
      <x:c r="I20" s="36"/>
      <x:c r="J20" s="36"/>
      <x:c r="K20" s="36"/>
      <x:c r="L20" s="36"/>
    </x:row>
    <x:row r="21" ht="34" customHeight="1">
      <x:c r="A21" s="74" t="str">
        <x:f>IF(B21="","",LEFT(C21,1)&amp;"-"&amp;TEXT(COUNTIF($C$6:C21,C21),"000"))</x:f>
      </x:c>
      <x:c r="B21" s="36"/>
      <x:c r="C21" s="36"/>
      <x:c r="D21" s="36"/>
      <x:c r="E21" s="86"/>
      <x:c r="F21" s="86"/>
      <x:c r="G21" s="98" t="str">
        <x:f>IF(OR(E21="",F21=""),"",E21*F21)</x:f>
      </x:c>
      <x:c r="H21" s="74" t="str">
        <x:f>IF(G21="","",IF(G21&gt;=16,"Alta",IF(G21&gt;=9,"Media","Baja")))</x:f>
      </x:c>
      <x:c r="I21" s="36"/>
      <x:c r="J21" s="36"/>
      <x:c r="K21" s="36"/>
      <x:c r="L21" s="36"/>
    </x:row>
    <x:row r="22" ht="34" customHeight="1">
      <x:c r="A22" s="74" t="str">
        <x:f>IF(B22="","",LEFT(C22,1)&amp;"-"&amp;TEXT(COUNTIF($C$6:C22,C22),"000"))</x:f>
      </x:c>
      <x:c r="B22" s="36"/>
      <x:c r="C22" s="36"/>
      <x:c r="D22" s="36"/>
      <x:c r="E22" s="86"/>
      <x:c r="F22" s="86"/>
      <x:c r="G22" s="98" t="str">
        <x:f>IF(OR(E22="",F22=""),"",E22*F22)</x:f>
      </x:c>
      <x:c r="H22" s="74" t="str">
        <x:f>IF(G22="","",IF(G22&gt;=16,"Alta",IF(G22&gt;=9,"Media","Baja")))</x:f>
      </x:c>
      <x:c r="I22" s="36"/>
      <x:c r="J22" s="36"/>
      <x:c r="K22" s="36"/>
      <x:c r="L22" s="36"/>
    </x:row>
    <x:row r="23" ht="34" customHeight="1">
      <x:c r="A23" s="74" t="str">
        <x:f>IF(B23="","",LEFT(C23,1)&amp;"-"&amp;TEXT(COUNTIF($C$6:C23,C23),"000"))</x:f>
      </x:c>
      <x:c r="B23" s="36"/>
      <x:c r="C23" s="36"/>
      <x:c r="D23" s="36"/>
      <x:c r="E23" s="86"/>
      <x:c r="F23" s="86"/>
      <x:c r="G23" s="98" t="str">
        <x:f>IF(OR(E23="",F23=""),"",E23*F23)</x:f>
      </x:c>
      <x:c r="H23" s="74" t="str">
        <x:f>IF(G23="","",IF(G23&gt;=16,"Alta",IF(G23&gt;=9,"Media","Baja")))</x:f>
      </x:c>
      <x:c r="I23" s="36"/>
      <x:c r="J23" s="36"/>
      <x:c r="K23" s="36"/>
      <x:c r="L23" s="36"/>
    </x:row>
    <x:row r="24" ht="34" customHeight="1">
      <x:c r="A24" s="74" t="str">
        <x:f>IF(B24="","",LEFT(C24,1)&amp;"-"&amp;TEXT(COUNTIF($C$6:C24,C24),"000"))</x:f>
      </x:c>
      <x:c r="B24" s="36"/>
      <x:c r="C24" s="36"/>
      <x:c r="D24" s="36"/>
      <x:c r="E24" s="86"/>
      <x:c r="F24" s="86"/>
      <x:c r="G24" s="98" t="str">
        <x:f>IF(OR(E24="",F24=""),"",E24*F24)</x:f>
      </x:c>
      <x:c r="H24" s="74" t="str">
        <x:f>IF(G24="","",IF(G24&gt;=16,"Alta",IF(G24&gt;=9,"Media","Baja")))</x:f>
      </x:c>
      <x:c r="I24" s="36"/>
      <x:c r="J24" s="36"/>
      <x:c r="K24" s="36"/>
      <x:c r="L24" s="36"/>
    </x:row>
    <x:row r="25" ht="34" customHeight="1">
      <x:c r="A25" s="74" t="str">
        <x:f>IF(B25="","",LEFT(C25,1)&amp;"-"&amp;TEXT(COUNTIF($C$6:C25,C25),"000"))</x:f>
      </x:c>
      <x:c r="B25" s="36"/>
      <x:c r="C25" s="36"/>
      <x:c r="D25" s="36"/>
      <x:c r="E25" s="86"/>
      <x:c r="F25" s="86"/>
      <x:c r="G25" s="98" t="str">
        <x:f>IF(OR(E25="",F25=""),"",E25*F25)</x:f>
      </x:c>
      <x:c r="H25" s="74" t="str">
        <x:f>IF(G25="","",IF(G25&gt;=16,"Alta",IF(G25&gt;=9,"Media","Baja")))</x:f>
      </x:c>
      <x:c r="I25" s="36"/>
      <x:c r="J25" s="36"/>
      <x:c r="K25" s="36"/>
      <x:c r="L25" s="36"/>
    </x:row>
    <x:row r="26" ht="34" customHeight="1">
      <x:c r="A26" s="74" t="str">
        <x:f>IF(B26="","",LEFT(C26,1)&amp;"-"&amp;TEXT(COUNTIF($C$6:C26,C26),"000"))</x:f>
      </x:c>
      <x:c r="B26" s="36"/>
      <x:c r="C26" s="36"/>
      <x:c r="D26" s="36"/>
      <x:c r="E26" s="86"/>
      <x:c r="F26" s="86"/>
      <x:c r="G26" s="98" t="str">
        <x:f>IF(OR(E26="",F26=""),"",E26*F26)</x:f>
      </x:c>
      <x:c r="H26" s="74" t="str">
        <x:f>IF(G26="","",IF(G26&gt;=16,"Alta",IF(G26&gt;=9,"Media","Baja")))</x:f>
      </x:c>
      <x:c r="I26" s="36"/>
      <x:c r="J26" s="36"/>
      <x:c r="K26" s="36"/>
      <x:c r="L26" s="36"/>
    </x:row>
    <x:row r="27" ht="34" customHeight="1">
      <x:c r="A27" s="74" t="str">
        <x:f>IF(B27="","",LEFT(C27,1)&amp;"-"&amp;TEXT(COUNTIF($C$6:C27,C27),"000"))</x:f>
      </x:c>
      <x:c r="B27" s="36"/>
      <x:c r="C27" s="36"/>
      <x:c r="D27" s="36"/>
      <x:c r="E27" s="86"/>
      <x:c r="F27" s="86"/>
      <x:c r="G27" s="98" t="str">
        <x:f>IF(OR(E27="",F27=""),"",E27*F27)</x:f>
      </x:c>
      <x:c r="H27" s="74" t="str">
        <x:f>IF(G27="","",IF(G27&gt;=16,"Alta",IF(G27&gt;=9,"Media","Baja")))</x:f>
      </x:c>
      <x:c r="I27" s="36"/>
      <x:c r="J27" s="36"/>
      <x:c r="K27" s="36"/>
      <x:c r="L27" s="36"/>
    </x:row>
    <x:row r="28" ht="34" customHeight="1">
      <x:c r="A28" s="74" t="str">
        <x:f>IF(B28="","",LEFT(C28,1)&amp;"-"&amp;TEXT(COUNTIF($C$6:C28,C28),"000"))</x:f>
      </x:c>
      <x:c r="B28" s="36"/>
      <x:c r="C28" s="36"/>
      <x:c r="D28" s="36"/>
      <x:c r="E28" s="86"/>
      <x:c r="F28" s="86"/>
      <x:c r="G28" s="98" t="str">
        <x:f>IF(OR(E28="",F28=""),"",E28*F28)</x:f>
      </x:c>
      <x:c r="H28" s="74" t="str">
        <x:f>IF(G28="","",IF(G28&gt;=16,"Alta",IF(G28&gt;=9,"Media","Baja")))</x:f>
      </x:c>
      <x:c r="I28" s="36"/>
      <x:c r="J28" s="36"/>
      <x:c r="K28" s="36"/>
      <x:c r="L28" s="36"/>
    </x:row>
    <x:row r="29" ht="34" customHeight="1">
      <x:c r="A29" s="74" t="str">
        <x:f>IF(B29="","",LEFT(C29,1)&amp;"-"&amp;TEXT(COUNTIF($C$6:C29,C29),"000"))</x:f>
      </x:c>
      <x:c r="B29" s="36"/>
      <x:c r="C29" s="36"/>
      <x:c r="D29" s="36"/>
      <x:c r="E29" s="86"/>
      <x:c r="F29" s="86"/>
      <x:c r="G29" s="98" t="str">
        <x:f>IF(OR(E29="",F29=""),"",E29*F29)</x:f>
      </x:c>
      <x:c r="H29" s="74" t="str">
        <x:f>IF(G29="","",IF(G29&gt;=16,"Alta",IF(G29&gt;=9,"Media","Baja")))</x:f>
      </x:c>
      <x:c r="I29" s="36"/>
      <x:c r="J29" s="36"/>
      <x:c r="K29" s="36"/>
      <x:c r="L29" s="36"/>
    </x:row>
    <x:row r="30" ht="34" customHeight="1">
      <x:c r="A30" s="74" t="str">
        <x:f>IF(B30="","",LEFT(C30,1)&amp;"-"&amp;TEXT(COUNTIF($C$6:C30,C30),"000"))</x:f>
      </x:c>
      <x:c r="B30" s="36"/>
      <x:c r="C30" s="36"/>
      <x:c r="D30" s="36"/>
      <x:c r="E30" s="86"/>
      <x:c r="F30" s="86"/>
      <x:c r="G30" s="98" t="str">
        <x:f>IF(OR(E30="",F30=""),"",E30*F30)</x:f>
      </x:c>
      <x:c r="H30" s="74" t="str">
        <x:f>IF(G30="","",IF(G30&gt;=16,"Alta",IF(G30&gt;=9,"Media","Baja")))</x:f>
      </x:c>
      <x:c r="I30" s="36"/>
      <x:c r="J30" s="36"/>
      <x:c r="K30" s="36"/>
      <x:c r="L30" s="36"/>
    </x:row>
    <x:row r="31" ht="34" customHeight="1">
      <x:c r="A31" s="74" t="str">
        <x:f>IF(B31="","",LEFT(C31,1)&amp;"-"&amp;TEXT(COUNTIF($C$6:C31,C31),"000"))</x:f>
      </x:c>
      <x:c r="B31" s="36"/>
      <x:c r="C31" s="36"/>
      <x:c r="D31" s="36"/>
      <x:c r="E31" s="86"/>
      <x:c r="F31" s="86"/>
      <x:c r="G31" s="98" t="str">
        <x:f>IF(OR(E31="",F31=""),"",E31*F31)</x:f>
      </x:c>
      <x:c r="H31" s="74" t="str">
        <x:f>IF(G31="","",IF(G31&gt;=16,"Alta",IF(G31&gt;=9,"Media","Baja")))</x:f>
      </x:c>
      <x:c r="I31" s="36"/>
      <x:c r="J31" s="36"/>
      <x:c r="K31" s="36"/>
      <x:c r="L31" s="36"/>
    </x:row>
    <x:row r="32" ht="34" customHeight="1">
      <x:c r="A32" s="74" t="str">
        <x:f>IF(B32="","",LEFT(C32,1)&amp;"-"&amp;TEXT(COUNTIF($C$6:C32,C32),"000"))</x:f>
      </x:c>
      <x:c r="B32" s="36"/>
      <x:c r="C32" s="36"/>
      <x:c r="D32" s="36"/>
      <x:c r="E32" s="86"/>
      <x:c r="F32" s="86"/>
      <x:c r="G32" s="98" t="str">
        <x:f>IF(OR(E32="",F32=""),"",E32*F32)</x:f>
      </x:c>
      <x:c r="H32" s="74" t="str">
        <x:f>IF(G32="","",IF(G32&gt;=16,"Alta",IF(G32&gt;=9,"Media","Baja")))</x:f>
      </x:c>
      <x:c r="I32" s="36"/>
      <x:c r="J32" s="36"/>
      <x:c r="K32" s="36"/>
      <x:c r="L32" s="36"/>
    </x:row>
    <x:row r="33" ht="34" customHeight="1">
      <x:c r="A33" s="74" t="str">
        <x:f>IF(B33="","",LEFT(C33,1)&amp;"-"&amp;TEXT(COUNTIF($C$6:C33,C33),"000"))</x:f>
      </x:c>
      <x:c r="B33" s="36"/>
      <x:c r="C33" s="36"/>
      <x:c r="D33" s="36"/>
      <x:c r="E33" s="86"/>
      <x:c r="F33" s="86"/>
      <x:c r="G33" s="98" t="str">
        <x:f>IF(OR(E33="",F33=""),"",E33*F33)</x:f>
      </x:c>
      <x:c r="H33" s="74" t="str">
        <x:f>IF(G33="","",IF(G33&gt;=16,"Alta",IF(G33&gt;=9,"Media","Baja")))</x:f>
      </x:c>
      <x:c r="I33" s="36"/>
      <x:c r="J33" s="36"/>
      <x:c r="K33" s="36"/>
      <x:c r="L33" s="36"/>
    </x:row>
    <x:row r="34" ht="34" customHeight="1">
      <x:c r="A34" s="74" t="str">
        <x:f>IF(B34="","",LEFT(C34,1)&amp;"-"&amp;TEXT(COUNTIF($C$6:C34,C34),"000"))</x:f>
      </x:c>
      <x:c r="B34" s="36"/>
      <x:c r="C34" s="36"/>
      <x:c r="D34" s="36"/>
      <x:c r="E34" s="86"/>
      <x:c r="F34" s="86"/>
      <x:c r="G34" s="98" t="str">
        <x:f>IF(OR(E34="",F34=""),"",E34*F34)</x:f>
      </x:c>
      <x:c r="H34" s="74" t="str">
        <x:f>IF(G34="","",IF(G34&gt;=16,"Alta",IF(G34&gt;=9,"Media","Baja")))</x:f>
      </x:c>
      <x:c r="I34" s="36"/>
      <x:c r="J34" s="36"/>
      <x:c r="K34" s="36"/>
      <x:c r="L34" s="36"/>
    </x:row>
    <x:row r="35" ht="34" customHeight="1">
      <x:c r="A35" s="74" t="str">
        <x:f>IF(B35="","",LEFT(C35,1)&amp;"-"&amp;TEXT(COUNTIF($C$6:C35,C35),"000"))</x:f>
      </x:c>
      <x:c r="B35" s="36"/>
      <x:c r="C35" s="36"/>
      <x:c r="D35" s="36"/>
      <x:c r="E35" s="86"/>
      <x:c r="F35" s="86"/>
      <x:c r="G35" s="98" t="str">
        <x:f>IF(OR(E35="",F35=""),"",E35*F35)</x:f>
      </x:c>
      <x:c r="H35" s="74" t="str">
        <x:f>IF(G35="","",IF(G35&gt;=16,"Alta",IF(G35&gt;=9,"Media","Baja")))</x:f>
      </x:c>
      <x:c r="I35" s="36"/>
      <x:c r="J35" s="36"/>
      <x:c r="K35" s="36"/>
      <x:c r="L35" s="36"/>
    </x:row>
    <x:row r="36" ht="34" customHeight="1">
      <x:c r="A36" s="74" t="str">
        <x:f>IF(B36="","",LEFT(C36,1)&amp;"-"&amp;TEXT(COUNTIF($C$6:C36,C36),"000"))</x:f>
      </x:c>
      <x:c r="B36" s="36"/>
      <x:c r="C36" s="36"/>
      <x:c r="D36" s="36"/>
      <x:c r="E36" s="86"/>
      <x:c r="F36" s="86"/>
      <x:c r="G36" s="98" t="str">
        <x:f>IF(OR(E36="",F36=""),"",E36*F36)</x:f>
      </x:c>
      <x:c r="H36" s="74" t="str">
        <x:f>IF(G36="","",IF(G36&gt;=16,"Alta",IF(G36&gt;=9,"Media","Baja")))</x:f>
      </x:c>
      <x:c r="I36" s="36"/>
      <x:c r="J36" s="36"/>
      <x:c r="K36" s="36"/>
      <x:c r="L36" s="36"/>
    </x:row>
    <x:row r="37" ht="34" customHeight="1">
      <x:c r="A37" s="74" t="str">
        <x:f>IF(B37="","",LEFT(C37,1)&amp;"-"&amp;TEXT(COUNTIF($C$6:C37,C37),"000"))</x:f>
      </x:c>
      <x:c r="B37" s="36"/>
      <x:c r="C37" s="36"/>
      <x:c r="D37" s="36"/>
      <x:c r="E37" s="86"/>
      <x:c r="F37" s="86"/>
      <x:c r="G37" s="98" t="str">
        <x:f>IF(OR(E37="",F37=""),"",E37*F37)</x:f>
      </x:c>
      <x:c r="H37" s="74" t="str">
        <x:f>IF(G37="","",IF(G37&gt;=16,"Alta",IF(G37&gt;=9,"Media","Baja")))</x:f>
      </x:c>
      <x:c r="I37" s="36"/>
      <x:c r="J37" s="36"/>
      <x:c r="K37" s="36"/>
      <x:c r="L37" s="36"/>
    </x:row>
    <x:row r="38" ht="34" customHeight="1">
      <x:c r="A38" s="74" t="str">
        <x:f>IF(B38="","",LEFT(C38,1)&amp;"-"&amp;TEXT(COUNTIF($C$6:C38,C38),"000"))</x:f>
      </x:c>
      <x:c r="B38" s="36"/>
      <x:c r="C38" s="36"/>
      <x:c r="D38" s="36"/>
      <x:c r="E38" s="86"/>
      <x:c r="F38" s="86"/>
      <x:c r="G38" s="98" t="str">
        <x:f>IF(OR(E38="",F38=""),"",E38*F38)</x:f>
      </x:c>
      <x:c r="H38" s="74" t="str">
        <x:f>IF(G38="","",IF(G38&gt;=16,"Alta",IF(G38&gt;=9,"Media","Baja")))</x:f>
      </x:c>
      <x:c r="I38" s="36"/>
      <x:c r="J38" s="36"/>
      <x:c r="K38" s="36"/>
      <x:c r="L38" s="36"/>
    </x:row>
    <x:row r="39" ht="34" customHeight="1">
      <x:c r="A39" s="74" t="str">
        <x:f>IF(B39="","",LEFT(C39,1)&amp;"-"&amp;TEXT(COUNTIF($C$6:C39,C39),"000"))</x:f>
      </x:c>
      <x:c r="B39" s="36"/>
      <x:c r="C39" s="36"/>
      <x:c r="D39" s="36"/>
      <x:c r="E39" s="86"/>
      <x:c r="F39" s="86"/>
      <x:c r="G39" s="98" t="str">
        <x:f>IF(OR(E39="",F39=""),"",E39*F39)</x:f>
      </x:c>
      <x:c r="H39" s="74" t="str">
        <x:f>IF(G39="","",IF(G39&gt;=16,"Alta",IF(G39&gt;=9,"Media","Baja")))</x:f>
      </x:c>
      <x:c r="I39" s="36"/>
      <x:c r="J39" s="36"/>
      <x:c r="K39" s="36"/>
      <x:c r="L39" s="36"/>
    </x:row>
    <x:row r="40" ht="34" customHeight="1">
      <x:c r="A40" s="74" t="str">
        <x:f>IF(B40="","",LEFT(C40,1)&amp;"-"&amp;TEXT(COUNTIF($C$6:C40,C40),"000"))</x:f>
      </x:c>
      <x:c r="B40" s="36"/>
      <x:c r="C40" s="36"/>
      <x:c r="D40" s="36"/>
      <x:c r="E40" s="86"/>
      <x:c r="F40" s="86"/>
      <x:c r="G40" s="98" t="str">
        <x:f>IF(OR(E40="",F40=""),"",E40*F40)</x:f>
      </x:c>
      <x:c r="H40" s="74" t="str">
        <x:f>IF(G40="","",IF(G40&gt;=16,"Alta",IF(G40&gt;=9,"Media","Baja")))</x:f>
      </x:c>
      <x:c r="I40" s="36"/>
      <x:c r="J40" s="36"/>
      <x:c r="K40" s="36"/>
      <x:c r="L40" s="36"/>
    </x:row>
    <x:row r="41" ht="34" customHeight="1">
      <x:c r="A41" s="74" t="str">
        <x:f>IF(B41="","",LEFT(C41,1)&amp;"-"&amp;TEXT(COUNTIF($C$6:C41,C41),"000"))</x:f>
      </x:c>
      <x:c r="B41" s="36"/>
      <x:c r="C41" s="36"/>
      <x:c r="D41" s="36"/>
      <x:c r="E41" s="86"/>
      <x:c r="F41" s="86"/>
      <x:c r="G41" s="98" t="str">
        <x:f>IF(OR(E41="",F41=""),"",E41*F41)</x:f>
      </x:c>
      <x:c r="H41" s="74" t="str">
        <x:f>IF(G41="","",IF(G41&gt;=16,"Alta",IF(G41&gt;=9,"Media","Baja")))</x:f>
      </x:c>
      <x:c r="I41" s="36"/>
      <x:c r="J41" s="36"/>
      <x:c r="K41" s="36"/>
      <x:c r="L41" s="36"/>
    </x:row>
    <x:row r="42" ht="34" customHeight="1">
      <x:c r="A42" s="74" t="str">
        <x:f>IF(B42="","",LEFT(C42,1)&amp;"-"&amp;TEXT(COUNTIF($C$6:C42,C42),"000"))</x:f>
      </x:c>
      <x:c r="B42" s="36"/>
      <x:c r="C42" s="36"/>
      <x:c r="D42" s="36"/>
      <x:c r="E42" s="86"/>
      <x:c r="F42" s="86"/>
      <x:c r="G42" s="98" t="str">
        <x:f>IF(OR(E42="",F42=""),"",E42*F42)</x:f>
      </x:c>
      <x:c r="H42" s="74" t="str">
        <x:f>IF(G42="","",IF(G42&gt;=16,"Alta",IF(G42&gt;=9,"Media","Baja")))</x:f>
      </x:c>
      <x:c r="I42" s="36"/>
      <x:c r="J42" s="36"/>
      <x:c r="K42" s="36"/>
      <x:c r="L42" s="36"/>
    </x:row>
    <x:row r="43" ht="34" customHeight="1">
      <x:c r="A43" s="74" t="str">
        <x:f>IF(B43="","",LEFT(C43,1)&amp;"-"&amp;TEXT(COUNTIF($C$6:C43,C43),"000"))</x:f>
      </x:c>
      <x:c r="B43" s="36"/>
      <x:c r="C43" s="36"/>
      <x:c r="D43" s="36"/>
      <x:c r="E43" s="86"/>
      <x:c r="F43" s="86"/>
      <x:c r="G43" s="98" t="str">
        <x:f>IF(OR(E43="",F43=""),"",E43*F43)</x:f>
      </x:c>
      <x:c r="H43" s="74" t="str">
        <x:f>IF(G43="","",IF(G43&gt;=16,"Alta",IF(G43&gt;=9,"Media","Baja")))</x:f>
      </x:c>
      <x:c r="I43" s="36"/>
      <x:c r="J43" s="36"/>
      <x:c r="K43" s="36"/>
      <x:c r="L43" s="36"/>
    </x:row>
    <x:row r="44" ht="34" customHeight="1">
      <x:c r="A44" s="74" t="str">
        <x:f>IF(B44="","",LEFT(C44,1)&amp;"-"&amp;TEXT(COUNTIF($C$6:C44,C44),"000"))</x:f>
      </x:c>
      <x:c r="B44" s="36"/>
      <x:c r="C44" s="36"/>
      <x:c r="D44" s="36"/>
      <x:c r="E44" s="86"/>
      <x:c r="F44" s="86"/>
      <x:c r="G44" s="98" t="str">
        <x:f>IF(OR(E44="",F44=""),"",E44*F44)</x:f>
      </x:c>
      <x:c r="H44" s="74" t="str">
        <x:f>IF(G44="","",IF(G44&gt;=16,"Alta",IF(G44&gt;=9,"Media","Baja")))</x:f>
      </x:c>
      <x:c r="I44" s="36"/>
      <x:c r="J44" s="36"/>
      <x:c r="K44" s="36"/>
      <x:c r="L44" s="36"/>
    </x:row>
    <x:row r="45" ht="34" customHeight="1">
      <x:c r="A45" s="74" t="str">
        <x:f>IF(B45="","",LEFT(C45,1)&amp;"-"&amp;TEXT(COUNTIF($C$6:C45,C45),"000"))</x:f>
      </x:c>
      <x:c r="B45" s="36"/>
      <x:c r="C45" s="36"/>
      <x:c r="D45" s="36"/>
      <x:c r="E45" s="86"/>
      <x:c r="F45" s="86"/>
      <x:c r="G45" s="98" t="str">
        <x:f>IF(OR(E45="",F45=""),"",E45*F45)</x:f>
      </x:c>
      <x:c r="H45" s="74" t="str">
        <x:f>IF(G45="","",IF(G45&gt;=16,"Alta",IF(G45&gt;=9,"Media","Baja")))</x:f>
      </x:c>
      <x:c r="I45" s="36"/>
      <x:c r="J45" s="36"/>
      <x:c r="K45" s="36"/>
      <x:c r="L45" s="36"/>
    </x:row>
    <x:row r="46" ht="34" customHeight="1">
      <x:c r="A46" s="74" t="str">
        <x:f>IF(B46="","",LEFT(C46,1)&amp;"-"&amp;TEXT(COUNTIF($C$6:C46,C46),"000"))</x:f>
      </x:c>
      <x:c r="B46" s="36"/>
      <x:c r="C46" s="36"/>
      <x:c r="D46" s="36"/>
      <x:c r="E46" s="86"/>
      <x:c r="F46" s="86"/>
      <x:c r="G46" s="98" t="str">
        <x:f>IF(OR(E46="",F46=""),"",E46*F46)</x:f>
      </x:c>
      <x:c r="H46" s="74" t="str">
        <x:f>IF(G46="","",IF(G46&gt;=16,"Alta",IF(G46&gt;=9,"Media","Baja")))</x:f>
      </x:c>
      <x:c r="I46" s="36"/>
      <x:c r="J46" s="36"/>
      <x:c r="K46" s="36"/>
      <x:c r="L46" s="36"/>
    </x:row>
    <x:row r="47" ht="34" customHeight="1">
      <x:c r="A47" s="74" t="str">
        <x:f>IF(B47="","",LEFT(C47,1)&amp;"-"&amp;TEXT(COUNTIF($C$6:C47,C47),"000"))</x:f>
      </x:c>
      <x:c r="B47" s="36"/>
      <x:c r="C47" s="36"/>
      <x:c r="D47" s="36"/>
      <x:c r="E47" s="86"/>
      <x:c r="F47" s="86"/>
      <x:c r="G47" s="98" t="str">
        <x:f>IF(OR(E47="",F47=""),"",E47*F47)</x:f>
      </x:c>
      <x:c r="H47" s="74" t="str">
        <x:f>IF(G47="","",IF(G47&gt;=16,"Alta",IF(G47&gt;=9,"Media","Baja")))</x:f>
      </x:c>
      <x:c r="I47" s="36"/>
      <x:c r="J47" s="36"/>
      <x:c r="K47" s="36"/>
      <x:c r="L47" s="36"/>
    </x:row>
    <x:row r="48" ht="34" customHeight="1">
      <x:c r="A48" s="74" t="str">
        <x:f>IF(B48="","",LEFT(C48,1)&amp;"-"&amp;TEXT(COUNTIF($C$6:C48,C48),"000"))</x:f>
      </x:c>
      <x:c r="B48" s="36"/>
      <x:c r="C48" s="36"/>
      <x:c r="D48" s="36"/>
      <x:c r="E48" s="86"/>
      <x:c r="F48" s="86"/>
      <x:c r="G48" s="98" t="str">
        <x:f>IF(OR(E48="",F48=""),"",E48*F48)</x:f>
      </x:c>
      <x:c r="H48" s="74" t="str">
        <x:f>IF(G48="","",IF(G48&gt;=16,"Alta",IF(G48&gt;=9,"Media","Baja")))</x:f>
      </x:c>
      <x:c r="I48" s="36"/>
      <x:c r="J48" s="36"/>
      <x:c r="K48" s="36"/>
      <x:c r="L48" s="36"/>
    </x:row>
    <x:row r="49" ht="34" customHeight="1">
      <x:c r="A49" s="74" t="str">
        <x:f>IF(B49="","",LEFT(C49,1)&amp;"-"&amp;TEXT(COUNTIF($C$6:C49,C49),"000"))</x:f>
      </x:c>
      <x:c r="B49" s="36"/>
      <x:c r="C49" s="36"/>
      <x:c r="D49" s="36"/>
      <x:c r="E49" s="86"/>
      <x:c r="F49" s="86"/>
      <x:c r="G49" s="98" t="str">
        <x:f>IF(OR(E49="",F49=""),"",E49*F49)</x:f>
      </x:c>
      <x:c r="H49" s="74" t="str">
        <x:f>IF(G49="","",IF(G49&gt;=16,"Alta",IF(G49&gt;=9,"Media","Baja")))</x:f>
      </x:c>
      <x:c r="I49" s="36"/>
      <x:c r="J49" s="36"/>
      <x:c r="K49" s="36"/>
      <x:c r="L49" s="36"/>
    </x:row>
    <x:row r="50" ht="34" customHeight="1">
      <x:c r="A50" s="74" t="str">
        <x:f>IF(B50="","",LEFT(C50,1)&amp;"-"&amp;TEXT(COUNTIF($C$6:C50,C50),"000"))</x:f>
      </x:c>
      <x:c r="B50" s="36"/>
      <x:c r="C50" s="36"/>
      <x:c r="D50" s="36"/>
      <x:c r="E50" s="86"/>
      <x:c r="F50" s="86"/>
      <x:c r="G50" s="98" t="str">
        <x:f>IF(OR(E50="",F50=""),"",E50*F50)</x:f>
      </x:c>
      <x:c r="H50" s="74" t="str">
        <x:f>IF(G50="","",IF(G50&gt;=16,"Alta",IF(G50&gt;=9,"Media","Baja")))</x:f>
      </x:c>
      <x:c r="I50" s="36"/>
      <x:c r="J50" s="36"/>
      <x:c r="K50" s="36"/>
      <x:c r="L50" s="36"/>
    </x:row>
    <x:row r="51" ht="34" customHeight="1">
      <x:c r="A51" s="74" t="str">
        <x:f>IF(B51="","",LEFT(C51,1)&amp;"-"&amp;TEXT(COUNTIF($C$6:C51,C51),"000"))</x:f>
      </x:c>
      <x:c r="B51" s="36"/>
      <x:c r="C51" s="36"/>
      <x:c r="D51" s="36"/>
      <x:c r="E51" s="86"/>
      <x:c r="F51" s="86"/>
      <x:c r="G51" s="98" t="str">
        <x:f>IF(OR(E51="",F51=""),"",E51*F51)</x:f>
      </x:c>
      <x:c r="H51" s="74" t="str">
        <x:f>IF(G51="","",IF(G51&gt;=16,"Alta",IF(G51&gt;=9,"Media","Baja")))</x:f>
      </x:c>
      <x:c r="I51" s="36"/>
      <x:c r="J51" s="36"/>
      <x:c r="K51" s="36"/>
      <x:c r="L51" s="36"/>
    </x:row>
    <x:row r="52" ht="34" customHeight="1">
      <x:c r="A52" s="74" t="str">
        <x:f>IF(B52="","",LEFT(C52,1)&amp;"-"&amp;TEXT(COUNTIF($C$6:C52,C52),"000"))</x:f>
      </x:c>
      <x:c r="B52" s="36"/>
      <x:c r="C52" s="36"/>
      <x:c r="D52" s="36"/>
      <x:c r="E52" s="86"/>
      <x:c r="F52" s="86"/>
      <x:c r="G52" s="98" t="str">
        <x:f>IF(OR(E52="",F52=""),"",E52*F52)</x:f>
      </x:c>
      <x:c r="H52" s="74" t="str">
        <x:f>IF(G52="","",IF(G52&gt;=16,"Alta",IF(G52&gt;=9,"Media","Baja")))</x:f>
      </x:c>
      <x:c r="I52" s="36"/>
      <x:c r="J52" s="36"/>
      <x:c r="K52" s="36"/>
      <x:c r="L52" s="36"/>
    </x:row>
    <x:row r="53" ht="34" customHeight="1">
      <x:c r="A53" s="74" t="str">
        <x:f>IF(B53="","",LEFT(C53,1)&amp;"-"&amp;TEXT(COUNTIF($C$6:C53,C53),"000"))</x:f>
      </x:c>
      <x:c r="B53" s="36"/>
      <x:c r="C53" s="36"/>
      <x:c r="D53" s="36"/>
      <x:c r="E53" s="86"/>
      <x:c r="F53" s="86"/>
      <x:c r="G53" s="98" t="str">
        <x:f>IF(OR(E53="",F53=""),"",E53*F53)</x:f>
      </x:c>
      <x:c r="H53" s="74" t="str">
        <x:f>IF(G53="","",IF(G53&gt;=16,"Alta",IF(G53&gt;=9,"Media","Baja")))</x:f>
      </x:c>
      <x:c r="I53" s="36"/>
      <x:c r="J53" s="36"/>
      <x:c r="K53" s="36"/>
      <x:c r="L53" s="36"/>
    </x:row>
    <x:row r="54" ht="34" customHeight="1">
      <x:c r="A54" s="74" t="str">
        <x:f>IF(B54="","",LEFT(C54,1)&amp;"-"&amp;TEXT(COUNTIF($C$6:C54,C54),"000"))</x:f>
      </x:c>
      <x:c r="B54" s="36"/>
      <x:c r="C54" s="36"/>
      <x:c r="D54" s="36"/>
      <x:c r="E54" s="86"/>
      <x:c r="F54" s="86"/>
      <x:c r="G54" s="98" t="str">
        <x:f>IF(OR(E54="",F54=""),"",E54*F54)</x:f>
      </x:c>
      <x:c r="H54" s="74" t="str">
        <x:f>IF(G54="","",IF(G54&gt;=16,"Alta",IF(G54&gt;=9,"Media","Baja")))</x:f>
      </x:c>
      <x:c r="I54" s="36"/>
      <x:c r="J54" s="36"/>
      <x:c r="K54" s="36"/>
      <x:c r="L54" s="36"/>
    </x:row>
    <x:row r="55" ht="34" customHeight="1">
      <x:c r="A55" s="74" t="str">
        <x:f>IF(B55="","",LEFT(C55,1)&amp;"-"&amp;TEXT(COUNTIF($C$6:C55,C55),"000"))</x:f>
      </x:c>
      <x:c r="B55" s="36"/>
      <x:c r="C55" s="36"/>
      <x:c r="D55" s="36"/>
      <x:c r="E55" s="86"/>
      <x:c r="F55" s="86"/>
      <x:c r="G55" s="98" t="str">
        <x:f>IF(OR(E55="",F55=""),"",E55*F55)</x:f>
      </x:c>
      <x:c r="H55" s="74" t="str">
        <x:f>IF(G55="","",IF(G55&gt;=16,"Alta",IF(G55&gt;=9,"Media","Baja")))</x:f>
      </x:c>
      <x:c r="I55" s="36"/>
      <x:c r="J55" s="36"/>
      <x:c r="K55" s="36"/>
      <x:c r="L55" s="36"/>
    </x:row>
    <x:row r="56" ht="34" customHeight="1">
      <x:c r="A56" s="74" t="str">
        <x:f>IF(B56="","",LEFT(C56,1)&amp;"-"&amp;TEXT(COUNTIF($C$6:C56,C56),"000"))</x:f>
      </x:c>
      <x:c r="B56" s="36"/>
      <x:c r="C56" s="36"/>
      <x:c r="D56" s="36"/>
      <x:c r="E56" s="86"/>
      <x:c r="F56" s="86"/>
      <x:c r="G56" s="98" t="str">
        <x:f>IF(OR(E56="",F56=""),"",E56*F56)</x:f>
      </x:c>
      <x:c r="H56" s="74" t="str">
        <x:f>IF(G56="","",IF(G56&gt;=16,"Alta",IF(G56&gt;=9,"Media","Baja")))</x:f>
      </x:c>
      <x:c r="I56" s="36"/>
      <x:c r="J56" s="36"/>
      <x:c r="K56" s="36"/>
      <x:c r="L56" s="36"/>
    </x:row>
    <x:row r="57" ht="34" customHeight="1">
      <x:c r="A57" s="74" t="str">
        <x:f>IF(B57="","",LEFT(C57,1)&amp;"-"&amp;TEXT(COUNTIF($C$6:C57,C57),"000"))</x:f>
      </x:c>
      <x:c r="B57" s="36"/>
      <x:c r="C57" s="36"/>
      <x:c r="D57" s="36"/>
      <x:c r="E57" s="86"/>
      <x:c r="F57" s="86"/>
      <x:c r="G57" s="98" t="str">
        <x:f>IF(OR(E57="",F57=""),"",E57*F57)</x:f>
      </x:c>
      <x:c r="H57" s="74" t="str">
        <x:f>IF(G57="","",IF(G57&gt;=16,"Alta",IF(G57&gt;=9,"Media","Baja")))</x:f>
      </x:c>
      <x:c r="I57" s="36"/>
      <x:c r="J57" s="36"/>
      <x:c r="K57" s="36"/>
      <x:c r="L57" s="36"/>
    </x:row>
    <x:row r="58" ht="34" customHeight="1">
      <x:c r="A58" s="74" t="str">
        <x:f>IF(B58="","",LEFT(C58,1)&amp;"-"&amp;TEXT(COUNTIF($C$6:C58,C58),"000"))</x:f>
      </x:c>
      <x:c r="B58" s="36"/>
      <x:c r="C58" s="36"/>
      <x:c r="D58" s="36"/>
      <x:c r="E58" s="86"/>
      <x:c r="F58" s="86"/>
      <x:c r="G58" s="98" t="str">
        <x:f>IF(OR(E58="",F58=""),"",E58*F58)</x:f>
      </x:c>
      <x:c r="H58" s="74" t="str">
        <x:f>IF(G58="","",IF(G58&gt;=16,"Alta",IF(G58&gt;=9,"Media","Baja")))</x:f>
      </x:c>
      <x:c r="I58" s="36"/>
      <x:c r="J58" s="36"/>
      <x:c r="K58" s="36"/>
      <x:c r="L58" s="36"/>
    </x:row>
    <x:row r="59" ht="34" customHeight="1">
      <x:c r="A59" s="74" t="str">
        <x:f>IF(B59="","",LEFT(C59,1)&amp;"-"&amp;TEXT(COUNTIF($C$6:C59,C59),"000"))</x:f>
      </x:c>
      <x:c r="B59" s="36"/>
      <x:c r="C59" s="36"/>
      <x:c r="D59" s="36"/>
      <x:c r="E59" s="86"/>
      <x:c r="F59" s="86"/>
      <x:c r="G59" s="98" t="str">
        <x:f>IF(OR(E59="",F59=""),"",E59*F59)</x:f>
      </x:c>
      <x:c r="H59" s="74" t="str">
        <x:f>IF(G59="","",IF(G59&gt;=16,"Alta",IF(G59&gt;=9,"Media","Baja")))</x:f>
      </x:c>
      <x:c r="I59" s="36"/>
      <x:c r="J59" s="36"/>
      <x:c r="K59" s="36"/>
      <x:c r="L59" s="36"/>
    </x:row>
    <x:row r="60" ht="34" customHeight="1">
      <x:c r="A60" s="74" t="str">
        <x:f>IF(B60="","",LEFT(C60,1)&amp;"-"&amp;TEXT(COUNTIF($C$6:C60,C60),"000"))</x:f>
      </x:c>
      <x:c r="B60" s="36"/>
      <x:c r="C60" s="36"/>
      <x:c r="D60" s="36"/>
      <x:c r="E60" s="86"/>
      <x:c r="F60" s="86"/>
      <x:c r="G60" s="98" t="str">
        <x:f>IF(OR(E60="",F60=""),"",E60*F60)</x:f>
      </x:c>
      <x:c r="H60" s="74" t="str">
        <x:f>IF(G60="","",IF(G60&gt;=16,"Alta",IF(G60&gt;=9,"Media","Baja")))</x:f>
      </x:c>
      <x:c r="I60" s="36"/>
      <x:c r="J60" s="36"/>
      <x:c r="K60" s="36"/>
      <x:c r="L60" s="36"/>
    </x:row>
    <x:row r="61" ht="34" customHeight="1">
      <x:c r="A61" s="74" t="str">
        <x:f>IF(B61="","",LEFT(C61,1)&amp;"-"&amp;TEXT(COUNTIF($C$6:C61,C61),"000"))</x:f>
      </x:c>
      <x:c r="B61" s="36"/>
      <x:c r="C61" s="36"/>
      <x:c r="D61" s="36"/>
      <x:c r="E61" s="86"/>
      <x:c r="F61" s="86"/>
      <x:c r="G61" s="98" t="str">
        <x:f>IF(OR(E61="",F61=""),"",E61*F61)</x:f>
      </x:c>
      <x:c r="H61" s="74" t="str">
        <x:f>IF(G61="","",IF(G61&gt;=16,"Alta",IF(G61&gt;=9,"Media","Baja")))</x:f>
      </x:c>
      <x:c r="I61" s="36"/>
      <x:c r="J61" s="36"/>
      <x:c r="K61" s="36"/>
      <x:c r="L61" s="36"/>
    </x:row>
    <x:row r="62" ht="34" customHeight="1">
      <x:c r="A62" s="74" t="str">
        <x:f>IF(B62="","",LEFT(C62,1)&amp;"-"&amp;TEXT(COUNTIF($C$6:C62,C62),"000"))</x:f>
      </x:c>
      <x:c r="B62" s="36"/>
      <x:c r="C62" s="36"/>
      <x:c r="D62" s="36"/>
      <x:c r="E62" s="86"/>
      <x:c r="F62" s="86"/>
      <x:c r="G62" s="98" t="str">
        <x:f>IF(OR(E62="",F62=""),"",E62*F62)</x:f>
      </x:c>
      <x:c r="H62" s="74" t="str">
        <x:f>IF(G62="","",IF(G62&gt;=16,"Alta",IF(G62&gt;=9,"Media","Baja")))</x:f>
      </x:c>
      <x:c r="I62" s="36"/>
      <x:c r="J62" s="36"/>
      <x:c r="K62" s="36"/>
      <x:c r="L62" s="36"/>
    </x:row>
    <x:row r="63" ht="34" customHeight="1">
      <x:c r="A63" s="74" t="str">
        <x:f>IF(B63="","",LEFT(C63,1)&amp;"-"&amp;TEXT(COUNTIF($C$6:C63,C63),"000"))</x:f>
      </x:c>
      <x:c r="B63" s="36"/>
      <x:c r="C63" s="36"/>
      <x:c r="D63" s="36"/>
      <x:c r="E63" s="86"/>
      <x:c r="F63" s="86"/>
      <x:c r="G63" s="98" t="str">
        <x:f>IF(OR(E63="",F63=""),"",E63*F63)</x:f>
      </x:c>
      <x:c r="H63" s="74" t="str">
        <x:f>IF(G63="","",IF(G63&gt;=16,"Alta",IF(G63&gt;=9,"Media","Baja")))</x:f>
      </x:c>
      <x:c r="I63" s="36"/>
      <x:c r="J63" s="36"/>
      <x:c r="K63" s="36"/>
      <x:c r="L63" s="36"/>
    </x:row>
    <x:row r="64" ht="34" customHeight="1">
      <x:c r="A64" s="74" t="str">
        <x:f>IF(B64="","",LEFT(C64,1)&amp;"-"&amp;TEXT(COUNTIF($C$6:C64,C64),"000"))</x:f>
      </x:c>
      <x:c r="B64" s="36"/>
      <x:c r="C64" s="36"/>
      <x:c r="D64" s="36"/>
      <x:c r="E64" s="86"/>
      <x:c r="F64" s="86"/>
      <x:c r="G64" s="98" t="str">
        <x:f>IF(OR(E64="",F64=""),"",E64*F64)</x:f>
      </x:c>
      <x:c r="H64" s="74" t="str">
        <x:f>IF(G64="","",IF(G64&gt;=16,"Alta",IF(G64&gt;=9,"Media","Baja")))</x:f>
      </x:c>
      <x:c r="I64" s="36"/>
      <x:c r="J64" s="36"/>
      <x:c r="K64" s="36"/>
      <x:c r="L64" s="36"/>
    </x:row>
    <x:row r="65" ht="34" customHeight="1">
      <x:c r="A65" s="74" t="str">
        <x:f>IF(B65="","",LEFT(C65,1)&amp;"-"&amp;TEXT(COUNTIF($C$6:C65,C65),"000"))</x:f>
      </x:c>
      <x:c r="B65" s="36"/>
      <x:c r="C65" s="36"/>
      <x:c r="D65" s="36"/>
      <x:c r="E65" s="86"/>
      <x:c r="F65" s="86"/>
      <x:c r="G65" s="98" t="str">
        <x:f>IF(OR(E65="",F65=""),"",E65*F65)</x:f>
      </x:c>
      <x:c r="H65" s="74" t="str">
        <x:f>IF(G65="","",IF(G65&gt;=16,"Alta",IF(G65&gt;=9,"Media","Baja")))</x:f>
      </x:c>
      <x:c r="I65" s="36"/>
      <x:c r="J65" s="36"/>
      <x:c r="K65" s="36"/>
      <x:c r="L65" s="36"/>
    </x:row>
    <x:row r="66" ht="34" customHeight="1">
      <x:c r="A66" s="74" t="str">
        <x:f>IF(B66="","",LEFT(C66,1)&amp;"-"&amp;TEXT(COUNTIF($C$6:C66,C66),"000"))</x:f>
      </x:c>
      <x:c r="B66" s="36"/>
      <x:c r="C66" s="36"/>
      <x:c r="D66" s="36"/>
      <x:c r="E66" s="86"/>
      <x:c r="F66" s="86"/>
      <x:c r="G66" s="98" t="str">
        <x:f>IF(OR(E66="",F66=""),"",E66*F66)</x:f>
      </x:c>
      <x:c r="H66" s="74" t="str">
        <x:f>IF(G66="","",IF(G66&gt;=16,"Alta",IF(G66&gt;=9,"Media","Baja")))</x:f>
      </x:c>
      <x:c r="I66" s="36"/>
      <x:c r="J66" s="36"/>
      <x:c r="K66" s="36"/>
      <x:c r="L66" s="36"/>
    </x:row>
    <x:row r="67" ht="34" customHeight="1">
      <x:c r="A67" s="74" t="str">
        <x:f>IF(B67="","",LEFT(C67,1)&amp;"-"&amp;TEXT(COUNTIF($C$6:C67,C67),"000"))</x:f>
      </x:c>
      <x:c r="B67" s="36"/>
      <x:c r="C67" s="36"/>
      <x:c r="D67" s="36"/>
      <x:c r="E67" s="86"/>
      <x:c r="F67" s="86"/>
      <x:c r="G67" s="98" t="str">
        <x:f>IF(OR(E67="",F67=""),"",E67*F67)</x:f>
      </x:c>
      <x:c r="H67" s="74" t="str">
        <x:f>IF(G67="","",IF(G67&gt;=16,"Alta",IF(G67&gt;=9,"Media","Baja")))</x:f>
      </x:c>
      <x:c r="I67" s="36"/>
      <x:c r="J67" s="36"/>
      <x:c r="K67" s="36"/>
      <x:c r="L67" s="36"/>
    </x:row>
    <x:row r="68" ht="34" customHeight="1">
      <x:c r="A68" s="74" t="str">
        <x:f>IF(B68="","",LEFT(C68,1)&amp;"-"&amp;TEXT(COUNTIF($C$6:C68,C68),"000"))</x:f>
      </x:c>
      <x:c r="B68" s="36"/>
      <x:c r="C68" s="36"/>
      <x:c r="D68" s="36"/>
      <x:c r="E68" s="86"/>
      <x:c r="F68" s="86"/>
      <x:c r="G68" s="98" t="str">
        <x:f>IF(OR(E68="",F68=""),"",E68*F68)</x:f>
      </x:c>
      <x:c r="H68" s="74" t="str">
        <x:f>IF(G68="","",IF(G68&gt;=16,"Alta",IF(G68&gt;=9,"Media","Baja")))</x:f>
      </x:c>
      <x:c r="I68" s="36"/>
      <x:c r="J68" s="36"/>
      <x:c r="K68" s="36"/>
      <x:c r="L68" s="36"/>
    </x:row>
    <x:row r="69" ht="34" customHeight="1">
      <x:c r="A69" s="74" t="str">
        <x:f>IF(B69="","",LEFT(C69,1)&amp;"-"&amp;TEXT(COUNTIF($C$6:C69,C69),"000"))</x:f>
      </x:c>
      <x:c r="B69" s="36"/>
      <x:c r="C69" s="36"/>
      <x:c r="D69" s="36"/>
      <x:c r="E69" s="86"/>
      <x:c r="F69" s="86"/>
      <x:c r="G69" s="98" t="str">
        <x:f>IF(OR(E69="",F69=""),"",E69*F69)</x:f>
      </x:c>
      <x:c r="H69" s="74" t="str">
        <x:f>IF(G69="","",IF(G69&gt;=16,"Alta",IF(G69&gt;=9,"Media","Baja")))</x:f>
      </x:c>
      <x:c r="I69" s="36"/>
      <x:c r="J69" s="36"/>
      <x:c r="K69" s="36"/>
      <x:c r="L69" s="36"/>
    </x:row>
    <x:row r="70" ht="34" customHeight="1">
      <x:c r="A70" s="74" t="str">
        <x:f>IF(B70="","",LEFT(C70,1)&amp;"-"&amp;TEXT(COUNTIF($C$6:C70,C70),"000"))</x:f>
      </x:c>
      <x:c r="B70" s="36"/>
      <x:c r="C70" s="36"/>
      <x:c r="D70" s="36"/>
      <x:c r="E70" s="86"/>
      <x:c r="F70" s="86"/>
      <x:c r="G70" s="98" t="str">
        <x:f>IF(OR(E70="",F70=""),"",E70*F70)</x:f>
      </x:c>
      <x:c r="H70" s="74" t="str">
        <x:f>IF(G70="","",IF(G70&gt;=16,"Alta",IF(G70&gt;=9,"Media","Baja")))</x:f>
      </x:c>
      <x:c r="I70" s="36"/>
      <x:c r="J70" s="36"/>
      <x:c r="K70" s="36"/>
      <x:c r="L70" s="36"/>
    </x:row>
    <x:row r="71" ht="34" customHeight="1">
      <x:c r="A71" s="74" t="str">
        <x:f>IF(B71="","",LEFT(C71,1)&amp;"-"&amp;TEXT(COUNTIF($C$6:C71,C71),"000"))</x:f>
      </x:c>
      <x:c r="B71" s="36"/>
      <x:c r="C71" s="36"/>
      <x:c r="D71" s="36"/>
      <x:c r="E71" s="86"/>
      <x:c r="F71" s="86"/>
      <x:c r="G71" s="98" t="str">
        <x:f>IF(OR(E71="",F71=""),"",E71*F71)</x:f>
      </x:c>
      <x:c r="H71" s="74" t="str">
        <x:f>IF(G71="","",IF(G71&gt;=16,"Alta",IF(G71&gt;=9,"Media","Baja")))</x:f>
      </x:c>
      <x:c r="I71" s="36"/>
      <x:c r="J71" s="36"/>
      <x:c r="K71" s="36"/>
      <x:c r="L71" s="36"/>
    </x:row>
    <x:row r="72" ht="34" customHeight="1">
      <x:c r="A72" s="74" t="str">
        <x:f>IF(B72="","",LEFT(C72,1)&amp;"-"&amp;TEXT(COUNTIF($C$6:C72,C72),"000"))</x:f>
      </x:c>
      <x:c r="B72" s="36"/>
      <x:c r="C72" s="36"/>
      <x:c r="D72" s="36"/>
      <x:c r="E72" s="86"/>
      <x:c r="F72" s="86"/>
      <x:c r="G72" s="98" t="str">
        <x:f>IF(OR(E72="",F72=""),"",E72*F72)</x:f>
      </x:c>
      <x:c r="H72" s="74" t="str">
        <x:f>IF(G72="","",IF(G72&gt;=16,"Alta",IF(G72&gt;=9,"Media","Baja")))</x:f>
      </x:c>
      <x:c r="I72" s="36"/>
      <x:c r="J72" s="36"/>
      <x:c r="K72" s="36"/>
      <x:c r="L72" s="36"/>
    </x:row>
    <x:row r="73" ht="34" customHeight="1">
      <x:c r="A73" s="74" t="str">
        <x:f>IF(B73="","",LEFT(C73,1)&amp;"-"&amp;TEXT(COUNTIF($C$6:C73,C73),"000"))</x:f>
      </x:c>
      <x:c r="B73" s="36"/>
      <x:c r="C73" s="36"/>
      <x:c r="D73" s="36"/>
      <x:c r="E73" s="86"/>
      <x:c r="F73" s="86"/>
      <x:c r="G73" s="98" t="str">
        <x:f>IF(OR(E73="",F73=""),"",E73*F73)</x:f>
      </x:c>
      <x:c r="H73" s="74" t="str">
        <x:f>IF(G73="","",IF(G73&gt;=16,"Alta",IF(G73&gt;=9,"Media","Baja")))</x:f>
      </x:c>
      <x:c r="I73" s="36"/>
      <x:c r="J73" s="36"/>
      <x:c r="K73" s="36"/>
      <x:c r="L73" s="36"/>
    </x:row>
    <x:row r="74" ht="34" customHeight="1">
      <x:c r="A74" s="74" t="str">
        <x:f>IF(B74="","",LEFT(C74,1)&amp;"-"&amp;TEXT(COUNTIF($C$6:C74,C74),"000"))</x:f>
      </x:c>
      <x:c r="B74" s="36"/>
      <x:c r="C74" s="36"/>
      <x:c r="D74" s="36"/>
      <x:c r="E74" s="86"/>
      <x:c r="F74" s="86"/>
      <x:c r="G74" s="98" t="str">
        <x:f>IF(OR(E74="",F74=""),"",E74*F74)</x:f>
      </x:c>
      <x:c r="H74" s="74" t="str">
        <x:f>IF(G74="","",IF(G74&gt;=16,"Alta",IF(G74&gt;=9,"Media","Baja")))</x:f>
      </x:c>
      <x:c r="I74" s="36"/>
      <x:c r="J74" s="36"/>
      <x:c r="K74" s="36"/>
      <x:c r="L74" s="36"/>
    </x:row>
    <x:row r="75" ht="34" customHeight="1">
      <x:c r="A75" s="74" t="str">
        <x:f>IF(B75="","",LEFT(C75,1)&amp;"-"&amp;TEXT(COUNTIF($C$6:C75,C75),"000"))</x:f>
      </x:c>
      <x:c r="B75" s="36"/>
      <x:c r="C75" s="36"/>
      <x:c r="D75" s="36"/>
      <x:c r="E75" s="86"/>
      <x:c r="F75" s="86"/>
      <x:c r="G75" s="98" t="str">
        <x:f>IF(OR(E75="",F75=""),"",E75*F75)</x:f>
      </x:c>
      <x:c r="H75" s="74" t="str">
        <x:f>IF(G75="","",IF(G75&gt;=16,"Alta",IF(G75&gt;=9,"Media","Baja")))</x:f>
      </x:c>
      <x:c r="I75" s="36"/>
      <x:c r="J75" s="36"/>
      <x:c r="K75" s="36"/>
      <x:c r="L75" s="36"/>
    </x:row>
    <x:row r="76" ht="34" customHeight="1">
      <x:c r="A76" s="74" t="str">
        <x:f>IF(B76="","",LEFT(C76,1)&amp;"-"&amp;TEXT(COUNTIF($C$6:C76,C76),"000"))</x:f>
      </x:c>
      <x:c r="B76" s="36"/>
      <x:c r="C76" s="36"/>
      <x:c r="D76" s="36"/>
      <x:c r="E76" s="86"/>
      <x:c r="F76" s="86"/>
      <x:c r="G76" s="98" t="str">
        <x:f>IF(OR(E76="",F76=""),"",E76*F76)</x:f>
      </x:c>
      <x:c r="H76" s="74" t="str">
        <x:f>IF(G76="","",IF(G76&gt;=16,"Alta",IF(G76&gt;=9,"Media","Baja")))</x:f>
      </x:c>
      <x:c r="I76" s="36"/>
      <x:c r="J76" s="36"/>
      <x:c r="K76" s="36"/>
      <x:c r="L76" s="36"/>
    </x:row>
    <x:row r="77" ht="34" customHeight="1">
      <x:c r="A77" s="74" t="str">
        <x:f>IF(B77="","",LEFT(C77,1)&amp;"-"&amp;TEXT(COUNTIF($C$6:C77,C77),"000"))</x:f>
      </x:c>
      <x:c r="B77" s="36"/>
      <x:c r="C77" s="36"/>
      <x:c r="D77" s="36"/>
      <x:c r="E77" s="86"/>
      <x:c r="F77" s="86"/>
      <x:c r="G77" s="98" t="str">
        <x:f>IF(OR(E77="",F77=""),"",E77*F77)</x:f>
      </x:c>
      <x:c r="H77" s="74" t="str">
        <x:f>IF(G77="","",IF(G77&gt;=16,"Alta",IF(G77&gt;=9,"Media","Baja")))</x:f>
      </x:c>
      <x:c r="I77" s="36"/>
      <x:c r="J77" s="36"/>
      <x:c r="K77" s="36"/>
      <x:c r="L77" s="36"/>
    </x:row>
    <x:row r="78" ht="34" customHeight="1">
      <x:c r="A78" s="74" t="str">
        <x:f>IF(B78="","",LEFT(C78,1)&amp;"-"&amp;TEXT(COUNTIF($C$6:C78,C78),"000"))</x:f>
      </x:c>
      <x:c r="B78" s="36"/>
      <x:c r="C78" s="36"/>
      <x:c r="D78" s="36"/>
      <x:c r="E78" s="86"/>
      <x:c r="F78" s="86"/>
      <x:c r="G78" s="98" t="str">
        <x:f>IF(OR(E78="",F78=""),"",E78*F78)</x:f>
      </x:c>
      <x:c r="H78" s="74" t="str">
        <x:f>IF(G78="","",IF(G78&gt;=16,"Alta",IF(G78&gt;=9,"Media","Baja")))</x:f>
      </x:c>
      <x:c r="I78" s="36"/>
      <x:c r="J78" s="36"/>
      <x:c r="K78" s="36"/>
      <x:c r="L78" s="36"/>
    </x:row>
    <x:row r="79" ht="34" customHeight="1">
      <x:c r="A79" s="74" t="str">
        <x:f>IF(B79="","",LEFT(C79,1)&amp;"-"&amp;TEXT(COUNTIF($C$6:C79,C79),"000"))</x:f>
      </x:c>
      <x:c r="B79" s="36"/>
      <x:c r="C79" s="36"/>
      <x:c r="D79" s="36"/>
      <x:c r="E79" s="86"/>
      <x:c r="F79" s="86"/>
      <x:c r="G79" s="98" t="str">
        <x:f>IF(OR(E79="",F79=""),"",E79*F79)</x:f>
      </x:c>
      <x:c r="H79" s="74" t="str">
        <x:f>IF(G79="","",IF(G79&gt;=16,"Alta",IF(G79&gt;=9,"Media","Baja")))</x:f>
      </x:c>
      <x:c r="I79" s="36"/>
      <x:c r="J79" s="36"/>
      <x:c r="K79" s="36"/>
      <x:c r="L79" s="36"/>
    </x:row>
    <x:row r="80" ht="34" customHeight="1">
      <x:c r="A80" s="74" t="str">
        <x:f>IF(B80="","",LEFT(C80,1)&amp;"-"&amp;TEXT(COUNTIF($C$6:C80,C80),"000"))</x:f>
      </x:c>
      <x:c r="B80" s="36"/>
      <x:c r="C80" s="36"/>
      <x:c r="D80" s="36"/>
      <x:c r="E80" s="86"/>
      <x:c r="F80" s="86"/>
      <x:c r="G80" s="98" t="str">
        <x:f>IF(OR(E80="",F80=""),"",E80*F80)</x:f>
      </x:c>
      <x:c r="H80" s="74" t="str">
        <x:f>IF(G80="","",IF(G80&gt;=16,"Alta",IF(G80&gt;=9,"Media","Baja")))</x:f>
      </x:c>
      <x:c r="I80" s="36"/>
      <x:c r="J80" s="36"/>
      <x:c r="K80" s="36"/>
      <x:c r="L80" s="36"/>
    </x:row>
    <x:row r="81" ht="34" customHeight="1">
      <x:c r="A81" s="74" t="str">
        <x:f>IF(B81="","",LEFT(C81,1)&amp;"-"&amp;TEXT(COUNTIF($C$6:C81,C81),"000"))</x:f>
      </x:c>
      <x:c r="B81" s="36"/>
      <x:c r="C81" s="36"/>
      <x:c r="D81" s="36"/>
      <x:c r="E81" s="86"/>
      <x:c r="F81" s="86"/>
      <x:c r="G81" s="98" t="str">
        <x:f>IF(OR(E81="",F81=""),"",E81*F81)</x:f>
      </x:c>
      <x:c r="H81" s="74" t="str">
        <x:f>IF(G81="","",IF(G81&gt;=16,"Alta",IF(G81&gt;=9,"Media","Baja")))</x:f>
      </x:c>
      <x:c r="I81" s="36"/>
      <x:c r="J81" s="36"/>
      <x:c r="K81" s="36"/>
      <x:c r="L81" s="36"/>
    </x:row>
    <x:row r="82" ht="34" customHeight="1">
      <x:c r="A82" s="74" t="str">
        <x:f>IF(B82="","",LEFT(C82,1)&amp;"-"&amp;TEXT(COUNTIF($C$6:C82,C82),"000"))</x:f>
      </x:c>
      <x:c r="B82" s="36"/>
      <x:c r="C82" s="36"/>
      <x:c r="D82" s="36"/>
      <x:c r="E82" s="86"/>
      <x:c r="F82" s="86"/>
      <x:c r="G82" s="98" t="str">
        <x:f>IF(OR(E82="",F82=""),"",E82*F82)</x:f>
      </x:c>
      <x:c r="H82" s="74" t="str">
        <x:f>IF(G82="","",IF(G82&gt;=16,"Alta",IF(G82&gt;=9,"Media","Baja")))</x:f>
      </x:c>
      <x:c r="I82" s="36"/>
      <x:c r="J82" s="36"/>
      <x:c r="K82" s="36"/>
      <x:c r="L82" s="36"/>
    </x:row>
    <x:row r="83" ht="34" customHeight="1">
      <x:c r="A83" s="74" t="str">
        <x:f>IF(B83="","",LEFT(C83,1)&amp;"-"&amp;TEXT(COUNTIF($C$6:C83,C83),"000"))</x:f>
      </x:c>
      <x:c r="B83" s="36"/>
      <x:c r="C83" s="36"/>
      <x:c r="D83" s="36"/>
      <x:c r="E83" s="86"/>
      <x:c r="F83" s="86"/>
      <x:c r="G83" s="98" t="str">
        <x:f>IF(OR(E83="",F83=""),"",E83*F83)</x:f>
      </x:c>
      <x:c r="H83" s="74" t="str">
        <x:f>IF(G83="","",IF(G83&gt;=16,"Alta",IF(G83&gt;=9,"Media","Baja")))</x:f>
      </x:c>
      <x:c r="I83" s="36"/>
      <x:c r="J83" s="36"/>
      <x:c r="K83" s="36"/>
      <x:c r="L83" s="36"/>
    </x:row>
    <x:row r="84" ht="34" customHeight="1">
      <x:c r="A84" s="74" t="str">
        <x:f>IF(B84="","",LEFT(C84,1)&amp;"-"&amp;TEXT(COUNTIF($C$6:C84,C84),"000"))</x:f>
      </x:c>
      <x:c r="B84" s="36"/>
      <x:c r="C84" s="36"/>
      <x:c r="D84" s="36"/>
      <x:c r="E84" s="86"/>
      <x:c r="F84" s="86"/>
      <x:c r="G84" s="98" t="str">
        <x:f>IF(OR(E84="",F84=""),"",E84*F84)</x:f>
      </x:c>
      <x:c r="H84" s="74" t="str">
        <x:f>IF(G84="","",IF(G84&gt;=16,"Alta",IF(G84&gt;=9,"Media","Baja")))</x:f>
      </x:c>
      <x:c r="I84" s="36"/>
      <x:c r="J84" s="36"/>
      <x:c r="K84" s="36"/>
      <x:c r="L84" s="36"/>
    </x:row>
    <x:row r="85" ht="34" customHeight="1">
      <x:c r="A85" s="74" t="str">
        <x:f>IF(B85="","",LEFT(C85,1)&amp;"-"&amp;TEXT(COUNTIF($C$6:C85,C85),"000"))</x:f>
      </x:c>
      <x:c r="B85" s="36"/>
      <x:c r="C85" s="36"/>
      <x:c r="D85" s="36"/>
      <x:c r="E85" s="86"/>
      <x:c r="F85" s="86"/>
      <x:c r="G85" s="98" t="str">
        <x:f>IF(OR(E85="",F85=""),"",E85*F85)</x:f>
      </x:c>
      <x:c r="H85" s="74" t="str">
        <x:f>IF(G85="","",IF(G85&gt;=16,"Alta",IF(G85&gt;=9,"Media","Baja")))</x:f>
      </x:c>
      <x:c r="I85" s="36"/>
      <x:c r="J85" s="36"/>
      <x:c r="K85" s="36"/>
      <x:c r="L85" s="36"/>
    </x:row>
    <x:row r="86" ht="34" customHeight="1">
      <x:c r="A86" s="74" t="str">
        <x:f>IF(B86="","",LEFT(C86,1)&amp;"-"&amp;TEXT(COUNTIF($C$6:C86,C86),"000"))</x:f>
      </x:c>
      <x:c r="B86" s="36"/>
      <x:c r="C86" s="36"/>
      <x:c r="D86" s="36"/>
      <x:c r="E86" s="86"/>
      <x:c r="F86" s="86"/>
      <x:c r="G86" s="98" t="str">
        <x:f>IF(OR(E86="",F86=""),"",E86*F86)</x:f>
      </x:c>
      <x:c r="H86" s="74" t="str">
        <x:f>IF(G86="","",IF(G86&gt;=16,"Alta",IF(G86&gt;=9,"Media","Baja")))</x:f>
      </x:c>
      <x:c r="I86" s="36"/>
      <x:c r="J86" s="36"/>
      <x:c r="K86" s="36"/>
      <x:c r="L86" s="36"/>
    </x:row>
    <x:row r="87" ht="34" customHeight="1">
      <x:c r="A87" s="74" t="str">
        <x:f>IF(B87="","",LEFT(C87,1)&amp;"-"&amp;TEXT(COUNTIF($C$6:C87,C87),"000"))</x:f>
      </x:c>
      <x:c r="B87" s="36"/>
      <x:c r="C87" s="36"/>
      <x:c r="D87" s="36"/>
      <x:c r="E87" s="86"/>
      <x:c r="F87" s="86"/>
      <x:c r="G87" s="98" t="str">
        <x:f>IF(OR(E87="",F87=""),"",E87*F87)</x:f>
      </x:c>
      <x:c r="H87" s="74" t="str">
        <x:f>IF(G87="","",IF(G87&gt;=16,"Alta",IF(G87&gt;=9,"Media","Baja")))</x:f>
      </x:c>
      <x:c r="I87" s="36"/>
      <x:c r="J87" s="36"/>
      <x:c r="K87" s="36"/>
      <x:c r="L87" s="36"/>
    </x:row>
    <x:row r="88" ht="34" customHeight="1">
      <x:c r="A88" s="74" t="str">
        <x:f>IF(B88="","",LEFT(C88,1)&amp;"-"&amp;TEXT(COUNTIF($C$6:C88,C88),"000"))</x:f>
      </x:c>
      <x:c r="B88" s="36"/>
      <x:c r="C88" s="36"/>
      <x:c r="D88" s="36"/>
      <x:c r="E88" s="86"/>
      <x:c r="F88" s="86"/>
      <x:c r="G88" s="98" t="str">
        <x:f>IF(OR(E88="",F88=""),"",E88*F88)</x:f>
      </x:c>
      <x:c r="H88" s="74" t="str">
        <x:f>IF(G88="","",IF(G88&gt;=16,"Alta",IF(G88&gt;=9,"Media","Baja")))</x:f>
      </x:c>
      <x:c r="I88" s="36"/>
      <x:c r="J88" s="36"/>
      <x:c r="K88" s="36"/>
      <x:c r="L88" s="36"/>
    </x:row>
    <x:row r="89" ht="34" customHeight="1">
      <x:c r="A89" s="74" t="str">
        <x:f>IF(B89="","",LEFT(C89,1)&amp;"-"&amp;TEXT(COUNTIF($C$6:C89,C89),"000"))</x:f>
      </x:c>
      <x:c r="B89" s="36"/>
      <x:c r="C89" s="36"/>
      <x:c r="D89" s="36"/>
      <x:c r="E89" s="86"/>
      <x:c r="F89" s="86"/>
      <x:c r="G89" s="98" t="str">
        <x:f>IF(OR(E89="",F89=""),"",E89*F89)</x:f>
      </x:c>
      <x:c r="H89" s="74" t="str">
        <x:f>IF(G89="","",IF(G89&gt;=16,"Alta",IF(G89&gt;=9,"Media","Baja")))</x:f>
      </x:c>
      <x:c r="I89" s="36"/>
      <x:c r="J89" s="36"/>
      <x:c r="K89" s="36"/>
      <x:c r="L89" s="36"/>
    </x:row>
    <x:row r="90" ht="34" customHeight="1">
      <x:c r="A90" s="74" t="str">
        <x:f>IF(B90="","",LEFT(C90,1)&amp;"-"&amp;TEXT(COUNTIF($C$6:C90,C90),"000"))</x:f>
      </x:c>
      <x:c r="B90" s="36"/>
      <x:c r="C90" s="36"/>
      <x:c r="D90" s="36"/>
      <x:c r="E90" s="86"/>
      <x:c r="F90" s="86"/>
      <x:c r="G90" s="98" t="str">
        <x:f>IF(OR(E90="",F90=""),"",E90*F90)</x:f>
      </x:c>
      <x:c r="H90" s="74" t="str">
        <x:f>IF(G90="","",IF(G90&gt;=16,"Alta",IF(G90&gt;=9,"Media","Baja")))</x:f>
      </x:c>
      <x:c r="I90" s="36"/>
      <x:c r="J90" s="36"/>
      <x:c r="K90" s="36"/>
      <x:c r="L90" s="36"/>
    </x:row>
    <x:row r="91" ht="34" customHeight="1">
      <x:c r="A91" s="74" t="str">
        <x:f>IF(B91="","",LEFT(C91,1)&amp;"-"&amp;TEXT(COUNTIF($C$6:C91,C91),"000"))</x:f>
      </x:c>
      <x:c r="B91" s="36"/>
      <x:c r="C91" s="36"/>
      <x:c r="D91" s="36"/>
      <x:c r="E91" s="86"/>
      <x:c r="F91" s="86"/>
      <x:c r="G91" s="98" t="str">
        <x:f>IF(OR(E91="",F91=""),"",E91*F91)</x:f>
      </x:c>
      <x:c r="H91" s="74" t="str">
        <x:f>IF(G91="","",IF(G91&gt;=16,"Alta",IF(G91&gt;=9,"Media","Baja")))</x:f>
      </x:c>
      <x:c r="I91" s="36"/>
      <x:c r="J91" s="36"/>
      <x:c r="K91" s="36"/>
      <x:c r="L91" s="36"/>
    </x:row>
    <x:row r="92" ht="34" customHeight="1">
      <x:c r="A92" s="74" t="str">
        <x:f>IF(B92="","",LEFT(C92,1)&amp;"-"&amp;TEXT(COUNTIF($C$6:C92,C92),"000"))</x:f>
      </x:c>
      <x:c r="B92" s="36"/>
      <x:c r="C92" s="36"/>
      <x:c r="D92" s="36"/>
      <x:c r="E92" s="86"/>
      <x:c r="F92" s="86"/>
      <x:c r="G92" s="98" t="str">
        <x:f>IF(OR(E92="",F92=""),"",E92*F92)</x:f>
      </x:c>
      <x:c r="H92" s="74" t="str">
        <x:f>IF(G92="","",IF(G92&gt;=16,"Alta",IF(G92&gt;=9,"Media","Baja")))</x:f>
      </x:c>
      <x:c r="I92" s="36"/>
      <x:c r="J92" s="36"/>
      <x:c r="K92" s="36"/>
      <x:c r="L92" s="36"/>
    </x:row>
    <x:row r="93" ht="34" customHeight="1">
      <x:c r="A93" s="74" t="str">
        <x:f>IF(B93="","",LEFT(C93,1)&amp;"-"&amp;TEXT(COUNTIF($C$6:C93,C93),"000"))</x:f>
      </x:c>
      <x:c r="B93" s="36"/>
      <x:c r="C93" s="36"/>
      <x:c r="D93" s="36"/>
      <x:c r="E93" s="86"/>
      <x:c r="F93" s="86"/>
      <x:c r="G93" s="98" t="str">
        <x:f>IF(OR(E93="",F93=""),"",E93*F93)</x:f>
      </x:c>
      <x:c r="H93" s="74" t="str">
        <x:f>IF(G93="","",IF(G93&gt;=16,"Alta",IF(G93&gt;=9,"Media","Baja")))</x:f>
      </x:c>
      <x:c r="I93" s="36"/>
      <x:c r="J93" s="36"/>
      <x:c r="K93" s="36"/>
      <x:c r="L93" s="36"/>
    </x:row>
    <x:row r="94" ht="34" customHeight="1">
      <x:c r="A94" s="74" t="str">
        <x:f>IF(B94="","",LEFT(C94,1)&amp;"-"&amp;TEXT(COUNTIF($C$6:C94,C94),"000"))</x:f>
      </x:c>
      <x:c r="B94" s="36"/>
      <x:c r="C94" s="36"/>
      <x:c r="D94" s="36"/>
      <x:c r="E94" s="86"/>
      <x:c r="F94" s="86"/>
      <x:c r="G94" s="98" t="str">
        <x:f>IF(OR(E94="",F94=""),"",E94*F94)</x:f>
      </x:c>
      <x:c r="H94" s="74" t="str">
        <x:f>IF(G94="","",IF(G94&gt;=16,"Alta",IF(G94&gt;=9,"Media","Baja")))</x:f>
      </x:c>
      <x:c r="I94" s="36"/>
      <x:c r="J94" s="36"/>
      <x:c r="K94" s="36"/>
      <x:c r="L94" s="36"/>
    </x:row>
    <x:row r="95" ht="34" customHeight="1">
      <x:c r="A95" s="74" t="str">
        <x:f>IF(B95="","",LEFT(C95,1)&amp;"-"&amp;TEXT(COUNTIF($C$6:C95,C95),"000"))</x:f>
      </x:c>
      <x:c r="B95" s="36"/>
      <x:c r="C95" s="36"/>
      <x:c r="D95" s="36"/>
      <x:c r="E95" s="86"/>
      <x:c r="F95" s="86"/>
      <x:c r="G95" s="98" t="str">
        <x:f>IF(OR(E95="",F95=""),"",E95*F95)</x:f>
      </x:c>
      <x:c r="H95" s="74" t="str">
        <x:f>IF(G95="","",IF(G95&gt;=16,"Alta",IF(G95&gt;=9,"Media","Baja")))</x:f>
      </x:c>
      <x:c r="I95" s="36"/>
      <x:c r="J95" s="36"/>
      <x:c r="K95" s="36"/>
      <x:c r="L95" s="36"/>
    </x:row>
    <x:row r="96" ht="34" customHeight="1">
      <x:c r="A96" s="74" t="str">
        <x:f>IF(B96="","",LEFT(C96,1)&amp;"-"&amp;TEXT(COUNTIF($C$6:C96,C96),"000"))</x:f>
      </x:c>
      <x:c r="B96" s="36"/>
      <x:c r="C96" s="36"/>
      <x:c r="D96" s="36"/>
      <x:c r="E96" s="86"/>
      <x:c r="F96" s="86"/>
      <x:c r="G96" s="98" t="str">
        <x:f>IF(OR(E96="",F96=""),"",E96*F96)</x:f>
      </x:c>
      <x:c r="H96" s="74" t="str">
        <x:f>IF(G96="","",IF(G96&gt;=16,"Alta",IF(G96&gt;=9,"Media","Baja")))</x:f>
      </x:c>
      <x:c r="I96" s="36"/>
      <x:c r="J96" s="36"/>
      <x:c r="K96" s="36"/>
      <x:c r="L96" s="36"/>
    </x:row>
    <x:row r="97" ht="34" customHeight="1">
      <x:c r="A97" s="74" t="str">
        <x:f>IF(B97="","",LEFT(C97,1)&amp;"-"&amp;TEXT(COUNTIF($C$6:C97,C97),"000"))</x:f>
      </x:c>
      <x:c r="B97" s="36"/>
      <x:c r="C97" s="36"/>
      <x:c r="D97" s="36"/>
      <x:c r="E97" s="86"/>
      <x:c r="F97" s="86"/>
      <x:c r="G97" s="98" t="str">
        <x:f>IF(OR(E97="",F97=""),"",E97*F97)</x:f>
      </x:c>
      <x:c r="H97" s="74" t="str">
        <x:f>IF(G97="","",IF(G97&gt;=16,"Alta",IF(G97&gt;=9,"Media","Baja")))</x:f>
      </x:c>
      <x:c r="I97" s="36"/>
      <x:c r="J97" s="36"/>
      <x:c r="K97" s="36"/>
      <x:c r="L97" s="36"/>
    </x:row>
    <x:row r="98" ht="34" customHeight="1">
      <x:c r="A98" s="74" t="str">
        <x:f>IF(B98="","",LEFT(C98,1)&amp;"-"&amp;TEXT(COUNTIF($C$6:C98,C98),"000"))</x:f>
      </x:c>
      <x:c r="B98" s="36"/>
      <x:c r="C98" s="36"/>
      <x:c r="D98" s="36"/>
      <x:c r="E98" s="86"/>
      <x:c r="F98" s="86"/>
      <x:c r="G98" s="98" t="str">
        <x:f>IF(OR(E98="",F98=""),"",E98*F98)</x:f>
      </x:c>
      <x:c r="H98" s="74" t="str">
        <x:f>IF(G98="","",IF(G98&gt;=16,"Alta",IF(G98&gt;=9,"Media","Baja")))</x:f>
      </x:c>
      <x:c r="I98" s="36"/>
      <x:c r="J98" s="36"/>
      <x:c r="K98" s="36"/>
      <x:c r="L98" s="36"/>
    </x:row>
    <x:row r="99" ht="34" customHeight="1">
      <x:c r="A99" s="74" t="str">
        <x:f>IF(B99="","",LEFT(C99,1)&amp;"-"&amp;TEXT(COUNTIF($C$6:C99,C99),"000"))</x:f>
      </x:c>
      <x:c r="B99" s="36"/>
      <x:c r="C99" s="36"/>
      <x:c r="D99" s="36"/>
      <x:c r="E99" s="86"/>
      <x:c r="F99" s="86"/>
      <x:c r="G99" s="98" t="str">
        <x:f>IF(OR(E99="",F99=""),"",E99*F99)</x:f>
      </x:c>
      <x:c r="H99" s="74" t="str">
        <x:f>IF(G99="","",IF(G99&gt;=16,"Alta",IF(G99&gt;=9,"Media","Baja")))</x:f>
      </x:c>
      <x:c r="I99" s="36"/>
      <x:c r="J99" s="36"/>
      <x:c r="K99" s="36"/>
      <x:c r="L99" s="36"/>
    </x:row>
    <x:row r="100" ht="34" customHeight="1">
      <x:c r="A100" s="74" t="str">
        <x:f>IF(B100="","",LEFT(C100,1)&amp;"-"&amp;TEXT(COUNTIF($C$6:C100,C100),"000"))</x:f>
      </x:c>
      <x:c r="B100" s="36"/>
      <x:c r="C100" s="36"/>
      <x:c r="D100" s="36"/>
      <x:c r="E100" s="86"/>
      <x:c r="F100" s="86"/>
      <x:c r="G100" s="98" t="str">
        <x:f>IF(OR(E100="",F100=""),"",E100*F100)</x:f>
      </x:c>
      <x:c r="H100" s="74" t="str">
        <x:f>IF(G100="","",IF(G100&gt;=16,"Alta",IF(G100&gt;=9,"Media","Baja")))</x:f>
      </x:c>
      <x:c r="I100" s="36"/>
      <x:c r="J100" s="36"/>
      <x:c r="K100" s="36"/>
      <x:c r="L100" s="36"/>
    </x:row>
    <x:row r="101" ht="34" customHeight="1">
      <x:c r="A101" s="74" t="str">
        <x:f>IF(B101="","",LEFT(C101,1)&amp;"-"&amp;TEXT(COUNTIF($C$6:C101,C101),"000"))</x:f>
      </x:c>
      <x:c r="B101" s="36"/>
      <x:c r="C101" s="36"/>
      <x:c r="D101" s="36"/>
      <x:c r="E101" s="86"/>
      <x:c r="F101" s="86"/>
      <x:c r="G101" s="98" t="str">
        <x:f>IF(OR(E101="",F101=""),"",E101*F101)</x:f>
      </x:c>
      <x:c r="H101" s="74" t="str">
        <x:f>IF(G101="","",IF(G101&gt;=16,"Alta",IF(G101&gt;=9,"Media","Baja")))</x:f>
      </x:c>
      <x:c r="I101" s="36"/>
      <x:c r="J101" s="36"/>
      <x:c r="K101" s="36"/>
      <x:c r="L101" s="36"/>
    </x:row>
    <x:row r="102" ht="34" customHeight="1">
      <x:c r="A102" s="74" t="str">
        <x:f>IF(B102="","",LEFT(C102,1)&amp;"-"&amp;TEXT(COUNTIF($C$6:C102,C102),"000"))</x:f>
      </x:c>
      <x:c r="B102" s="36"/>
      <x:c r="C102" s="36"/>
      <x:c r="D102" s="36"/>
      <x:c r="E102" s="86"/>
      <x:c r="F102" s="86"/>
      <x:c r="G102" s="98" t="str">
        <x:f>IF(OR(E102="",F102=""),"",E102*F102)</x:f>
      </x:c>
      <x:c r="H102" s="74" t="str">
        <x:f>IF(G102="","",IF(G102&gt;=16,"Alta",IF(G102&gt;=9,"Media","Baja")))</x:f>
      </x:c>
      <x:c r="I102" s="36"/>
      <x:c r="J102" s="36"/>
      <x:c r="K102" s="36"/>
      <x:c r="L102" s="36"/>
    </x:row>
    <x:row r="103" ht="34" customHeight="1">
      <x:c r="A103" s="74" t="str">
        <x:f>IF(B103="","",LEFT(C103,1)&amp;"-"&amp;TEXT(COUNTIF($C$6:C103,C103),"000"))</x:f>
      </x:c>
      <x:c r="B103" s="36"/>
      <x:c r="C103" s="36"/>
      <x:c r="D103" s="36"/>
      <x:c r="E103" s="86"/>
      <x:c r="F103" s="86"/>
      <x:c r="G103" s="98" t="str">
        <x:f>IF(OR(E103="",F103=""),"",E103*F103)</x:f>
      </x:c>
      <x:c r="H103" s="74" t="str">
        <x:f>IF(G103="","",IF(G103&gt;=16,"Alta",IF(G103&gt;=9,"Media","Baja")))</x:f>
      </x:c>
      <x:c r="I103" s="36"/>
      <x:c r="J103" s="36"/>
      <x:c r="K103" s="36"/>
      <x:c r="L103" s="36"/>
    </x:row>
    <x:row r="104" ht="34" customHeight="1">
      <x:c r="A104" s="74" t="str">
        <x:f>IF(B104="","",LEFT(C104,1)&amp;"-"&amp;TEXT(COUNTIF($C$6:C104,C104),"000"))</x:f>
      </x:c>
      <x:c r="B104" s="36"/>
      <x:c r="C104" s="36"/>
      <x:c r="D104" s="36"/>
      <x:c r="E104" s="86"/>
      <x:c r="F104" s="86"/>
      <x:c r="G104" s="98" t="str">
        <x:f>IF(OR(E104="",F104=""),"",E104*F104)</x:f>
      </x:c>
      <x:c r="H104" s="74" t="str">
        <x:f>IF(G104="","",IF(G104&gt;=16,"Alta",IF(G104&gt;=9,"Media","Baja")))</x:f>
      </x:c>
      <x:c r="I104" s="36"/>
      <x:c r="J104" s="36"/>
      <x:c r="K104" s="36"/>
      <x:c r="L104" s="36"/>
    </x:row>
    <x:row r="105" ht="34" customHeight="1">
      <x:c r="A105" s="74" t="str">
        <x:f>IF(B105="","",LEFT(C105,1)&amp;"-"&amp;TEXT(COUNTIF($C$6:C105,C105),"000"))</x:f>
      </x:c>
      <x:c r="B105" s="36"/>
      <x:c r="C105" s="36"/>
      <x:c r="D105" s="36"/>
      <x:c r="E105" s="86"/>
      <x:c r="F105" s="86"/>
      <x:c r="G105" s="98" t="str">
        <x:f>IF(OR(E105="",F105=""),"",E105*F105)</x:f>
      </x:c>
      <x:c r="H105" s="74" t="str">
        <x:f>IF(G105="","",IF(G105&gt;=16,"Alta",IF(G105&gt;=9,"Media","Baja")))</x:f>
      </x:c>
      <x:c r="I105" s="36"/>
      <x:c r="J105" s="36"/>
      <x:c r="K105" s="36"/>
      <x:c r="L105" s="36"/>
    </x:row>
  </x:sheetData>
  <x:mergeCells>
    <x:mergeCell ref="A1:L1"/>
    <x:mergeCell ref="A2:L2"/>
  </x:mergeCells>
  <x:conditionalFormatting sqref="H6:H105">
    <x:cfRule type="expression" dxfId="0" priority="1">
      <x:formula>H6="Alta"</x:formula>
    </x:cfRule>
    <x:cfRule type="expression" dxfId="1" priority="2">
      <x:formula>H6="Media"</x:formula>
    </x:cfRule>
    <x:cfRule type="expression" dxfId="2" priority="3">
      <x:formula>H6="Baja"</x:formula>
    </x:cfRule>
  </x:conditionalFormatting>
  <x:dataValidations count="4">
    <x:dataValidation type="list" sqref="C6:C105">
      <x:formula1>'08 Catalogos'!$A$5:$A$8</x:formula1>
    </x:dataValidation>
    <x:dataValidation type="list" sqref="E6:F105">
      <x:formula1>'08 Catalogos'!$F$5:$F$9</x:formula1>
    </x:dataValidation>
    <x:dataValidation type="list" sqref="J6:J105">
      <x:formula1>'08 Catalogos'!$G$5:$G$10</x:formula1>
    </x:dataValidation>
    <x:dataValidation type="list" sqref="L6:L105">
      <x:formula1>'08 Catalogos'!$C$5:$C$8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22" hidden="0" customWidth="1"/>
    <x:col min="3" max="3" width="32" hidden="0" customWidth="1"/>
    <x:col min="4" max="4" width="12" hidden="0" customWidth="1"/>
    <x:col min="5" max="5" width="10" hidden="0" customWidth="1"/>
    <x:col min="6" max="6" width="3" hidden="0" customWidth="1"/>
    <x:col min="7" max="7" width="22" hidden="0" customWidth="1"/>
    <x:col min="8" max="8" width="32" hidden="0" customWidth="1"/>
    <x:col min="9" max="9" width="12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32" customHeight="1">
      <x:c r="A1" s="8" t="str">
        <x:v>Matriz FODA estrategica</x:v>
      </x:c>
    </x:row>
    <x:row r="2" ht="24" customHeight="1">
      <x:c r="A2" s="18" t="str">
        <x:v>Cuadrantes editables para presentar los factores clave del negocio.</x:v>
      </x:c>
    </x:row>
    <x:row r="4" ht="26" customHeight="1">
      <x:c r="B4" s="102" t="str">
        <x:v>FORTALEZAS · Interno positivo</x:v>
      </x:c>
      <x:c r="G4" s="102" t="str">
        <x:v>OPORTUNIDADES · Externo positivo</x:v>
      </x:c>
    </x:row>
    <x:row r="5" ht="28" customHeight="1">
      <x:c r="B5" s="26" t="str">
        <x:v>Factor clave</x:v>
      </x:c>
      <x:c r="C5" s="26" t="str">
        <x:v>Descripcion breve</x:v>
      </x:c>
      <x:c r="D5" s="26" t="str">
        <x:v>Impacto</x:v>
      </x:c>
      <x:c r="E5" s="26" t="str">
        <x:v>Nota</x:v>
      </x:c>
      <x:c r="G5" s="26" t="str">
        <x:v>Factor clave</x:v>
      </x:c>
      <x:c r="H5" s="26" t="str">
        <x:v>Descripcion breve</x:v>
      </x:c>
      <x:c r="I5" s="26" t="str">
        <x:v>Impacto</x:v>
      </x:c>
      <x:c r="J5" s="26" t="str">
        <x:v>Nota</x:v>
      </x:c>
    </x:row>
    <x:row r="6" ht="32" customHeight="1">
      <x:c r="B6" s="112" t="str"/>
      <x:c r="C6" s="112" t="str"/>
      <x:c r="D6" s="112" t="str"/>
      <x:c r="E6" s="112" t="str"/>
      <x:c r="G6" s="122" t="str"/>
      <x:c r="H6" s="122" t="str"/>
      <x:c r="I6" s="122" t="str"/>
      <x:c r="J6" s="122" t="str"/>
    </x:row>
    <x:row r="7" ht="32" customHeight="1">
      <x:c r="B7" s="112" t="str"/>
      <x:c r="C7" s="112" t="str"/>
      <x:c r="D7" s="112" t="str"/>
      <x:c r="E7" s="112" t="str"/>
      <x:c r="G7" s="122" t="str"/>
      <x:c r="H7" s="122" t="str"/>
      <x:c r="I7" s="122" t="str"/>
      <x:c r="J7" s="122" t="str"/>
    </x:row>
    <x:row r="8" ht="32" customHeight="1">
      <x:c r="B8" s="112" t="str"/>
      <x:c r="C8" s="112" t="str"/>
      <x:c r="D8" s="112" t="str"/>
      <x:c r="E8" s="112" t="str"/>
      <x:c r="G8" s="122" t="str"/>
      <x:c r="H8" s="122" t="str"/>
      <x:c r="I8" s="122" t="str"/>
      <x:c r="J8" s="122" t="str"/>
    </x:row>
    <x:row r="9" ht="32" customHeight="1">
      <x:c r="B9" s="112" t="str"/>
      <x:c r="C9" s="112" t="str"/>
      <x:c r="D9" s="112" t="str"/>
      <x:c r="E9" s="112" t="str"/>
      <x:c r="G9" s="122" t="str"/>
      <x:c r="H9" s="122" t="str"/>
      <x:c r="I9" s="122" t="str"/>
      <x:c r="J9" s="122" t="str"/>
    </x:row>
    <x:row r="10" ht="32" customHeight="1">
      <x:c r="B10" s="112" t="str"/>
      <x:c r="C10" s="112" t="str"/>
      <x:c r="D10" s="112" t="str"/>
      <x:c r="E10" s="112" t="str"/>
      <x:c r="G10" s="122" t="str"/>
      <x:c r="H10" s="122" t="str"/>
      <x:c r="I10" s="122" t="str"/>
      <x:c r="J10" s="122" t="str"/>
    </x:row>
    <x:row r="11" ht="32" customHeight="1">
      <x:c r="B11" s="112" t="str"/>
      <x:c r="C11" s="112" t="str"/>
      <x:c r="D11" s="112" t="str"/>
      <x:c r="E11" s="112" t="str"/>
      <x:c r="G11" s="122" t="str"/>
      <x:c r="H11" s="122" t="str"/>
      <x:c r="I11" s="122" t="str"/>
      <x:c r="J11" s="122" t="str"/>
    </x:row>
    <x:row r="12" ht="32" customHeight="1">
      <x:c r="B12" s="112" t="str"/>
      <x:c r="C12" s="112" t="str"/>
      <x:c r="D12" s="112" t="str"/>
      <x:c r="E12" s="112" t="str"/>
      <x:c r="G12" s="122" t="str"/>
      <x:c r="H12" s="122" t="str"/>
      <x:c r="I12" s="122" t="str"/>
      <x:c r="J12" s="122" t="str"/>
    </x:row>
    <x:row r="13" ht="32" customHeight="1">
      <x:c r="B13" s="112" t="str"/>
      <x:c r="C13" s="112" t="str"/>
      <x:c r="D13" s="112" t="str"/>
      <x:c r="E13" s="112" t="str"/>
      <x:c r="G13" s="122" t="str"/>
      <x:c r="H13" s="122" t="str"/>
      <x:c r="I13" s="122" t="str"/>
      <x:c r="J13" s="122" t="str"/>
    </x:row>
    <x:row r="14" ht="32" customHeight="1">
      <x:c r="B14" s="112" t="str"/>
      <x:c r="C14" s="112" t="str"/>
      <x:c r="D14" s="112" t="str"/>
      <x:c r="E14" s="112" t="str"/>
      <x:c r="G14" s="122" t="str"/>
      <x:c r="H14" s="122" t="str"/>
      <x:c r="I14" s="122" t="str"/>
      <x:c r="J14" s="122" t="str"/>
    </x:row>
    <x:row r="18" ht="26" customHeight="1">
      <x:c r="B18" s="102" t="str">
        <x:v>DEBILIDADES · Interno negativo</x:v>
      </x:c>
      <x:c r="G18" s="102" t="str">
        <x:v>AMENAZAS · Externo negativo</x:v>
      </x:c>
    </x:row>
    <x:row r="19" ht="28" customHeight="1">
      <x:c r="B19" s="26" t="str">
        <x:v>Factor clave</x:v>
      </x:c>
      <x:c r="C19" s="26" t="str">
        <x:v>Descripcion breve</x:v>
      </x:c>
      <x:c r="D19" s="26" t="str">
        <x:v>Impacto</x:v>
      </x:c>
      <x:c r="E19" s="26" t="str">
        <x:v>Nota</x:v>
      </x:c>
      <x:c r="G19" s="26" t="str">
        <x:v>Factor clave</x:v>
      </x:c>
      <x:c r="H19" s="26" t="str">
        <x:v>Descripcion breve</x:v>
      </x:c>
      <x:c r="I19" s="26" t="str">
        <x:v>Impacto</x:v>
      </x:c>
      <x:c r="J19" s="26" t="str">
        <x:v>Nota</x:v>
      </x:c>
    </x:row>
    <x:row r="20" ht="32" customHeight="1">
      <x:c r="B20" s="132" t="str"/>
      <x:c r="C20" s="132" t="str"/>
      <x:c r="D20" s="132" t="str"/>
      <x:c r="E20" s="132" t="str"/>
      <x:c r="G20" s="142" t="str"/>
      <x:c r="H20" s="142" t="str"/>
      <x:c r="I20" s="142" t="str"/>
      <x:c r="J20" s="142" t="str"/>
    </x:row>
    <x:row r="21" ht="32" customHeight="1">
      <x:c r="B21" s="132" t="str"/>
      <x:c r="C21" s="132" t="str"/>
      <x:c r="D21" s="132" t="str"/>
      <x:c r="E21" s="132" t="str"/>
      <x:c r="G21" s="142" t="str"/>
      <x:c r="H21" s="142" t="str"/>
      <x:c r="I21" s="142" t="str"/>
      <x:c r="J21" s="142" t="str"/>
    </x:row>
    <x:row r="22" ht="32" customHeight="1">
      <x:c r="B22" s="132" t="str"/>
      <x:c r="C22" s="132" t="str"/>
      <x:c r="D22" s="132" t="str"/>
      <x:c r="E22" s="132" t="str"/>
      <x:c r="G22" s="142" t="str"/>
      <x:c r="H22" s="142" t="str"/>
      <x:c r="I22" s="142" t="str"/>
      <x:c r="J22" s="142" t="str"/>
    </x:row>
    <x:row r="23" ht="32" customHeight="1">
      <x:c r="B23" s="132" t="str"/>
      <x:c r="C23" s="132" t="str"/>
      <x:c r="D23" s="132" t="str"/>
      <x:c r="E23" s="132" t="str"/>
      <x:c r="G23" s="142" t="str"/>
      <x:c r="H23" s="142" t="str"/>
      <x:c r="I23" s="142" t="str"/>
      <x:c r="J23" s="142" t="str"/>
    </x:row>
    <x:row r="24" ht="32" customHeight="1">
      <x:c r="B24" s="132" t="str"/>
      <x:c r="C24" s="132" t="str"/>
      <x:c r="D24" s="132" t="str"/>
      <x:c r="E24" s="132" t="str"/>
      <x:c r="G24" s="142" t="str"/>
      <x:c r="H24" s="142" t="str"/>
      <x:c r="I24" s="142" t="str"/>
      <x:c r="J24" s="142" t="str"/>
    </x:row>
    <x:row r="25" ht="32" customHeight="1">
      <x:c r="B25" s="132" t="str"/>
      <x:c r="C25" s="132" t="str"/>
      <x:c r="D25" s="132" t="str"/>
      <x:c r="E25" s="132" t="str"/>
      <x:c r="G25" s="142" t="str"/>
      <x:c r="H25" s="142" t="str"/>
      <x:c r="I25" s="142" t="str"/>
      <x:c r="J25" s="142" t="str"/>
    </x:row>
    <x:row r="26" ht="32" customHeight="1">
      <x:c r="B26" s="132" t="str"/>
      <x:c r="C26" s="132" t="str"/>
      <x:c r="D26" s="132" t="str"/>
      <x:c r="E26" s="132" t="str"/>
      <x:c r="G26" s="142" t="str"/>
      <x:c r="H26" s="142" t="str"/>
      <x:c r="I26" s="142" t="str"/>
      <x:c r="J26" s="142" t="str"/>
    </x:row>
    <x:row r="27" ht="32" customHeight="1">
      <x:c r="B27" s="132" t="str"/>
      <x:c r="C27" s="132" t="str"/>
      <x:c r="D27" s="132" t="str"/>
      <x:c r="E27" s="132" t="str"/>
      <x:c r="G27" s="142" t="str"/>
      <x:c r="H27" s="142" t="str"/>
      <x:c r="I27" s="142" t="str"/>
      <x:c r="J27" s="142" t="str"/>
    </x:row>
    <x:row r="28" ht="32" customHeight="1">
      <x:c r="B28" s="132" t="str"/>
      <x:c r="C28" s="132" t="str"/>
      <x:c r="D28" s="132" t="str"/>
      <x:c r="E28" s="132" t="str"/>
      <x:c r="G28" s="142" t="str"/>
      <x:c r="H28" s="142" t="str"/>
      <x:c r="I28" s="142" t="str"/>
      <x:c r="J28" s="142" t="str"/>
    </x:row>
    <x:row r="32">
      <x:c r="B32" s="146" t="str">
        <x:v>RESUMEN AUTOMATICO DEL DIAGNOSTICO</x:v>
      </x:c>
    </x:row>
    <x:row r="34">
      <x:c r="B34" s="76" t="str">
        <x:v>Fortalezas</x:v>
      </x:c>
      <x:c r="C34" s="36" t="n">
        <x:f>COUNTIF('03 Diagnostico'!$C$6:$C$105,"Fortaleza")</x:f>
        <x:v>1</x:v>
      </x:c>
      <x:c r="D34" s="76" t="str">
        <x:v>Oportunidades</x:v>
      </x:c>
      <x:c r="E34" s="36" t="n">
        <x:f>COUNTIF('03 Diagnostico'!$C$6:$C$105,"Oportunidad")</x:f>
        <x:v>1</x:v>
      </x:c>
    </x:row>
    <x:row r="35">
      <x:c r="B35" s="76" t="str">
        <x:v>Debilidades</x:v>
      </x:c>
      <x:c r="C35" s="36" t="n">
        <x:f>COUNTIF('03 Diagnostico'!$C$6:$C$105,"Debilidad")</x:f>
        <x:v>1</x:v>
      </x:c>
      <x:c r="D35" s="76" t="str">
        <x:v>Amenazas</x:v>
      </x:c>
      <x:c r="E35" s="36" t="n">
        <x:f>COUNTIF('03 Diagnostico'!$C$6:$C$105,"Amenaza")</x:f>
        <x:v>1</x:v>
      </x:c>
    </x:row>
    <x:row r="36">
      <x:c r="B36" s="76" t="str">
        <x:v>Prioridad alta</x:v>
      </x:c>
      <x:c r="C36" s="36" t="n">
        <x:f>COUNTIF('03 Diagnostico'!$H$6:$H$105,"Alta")</x:f>
        <x:v>3</x:v>
      </x:c>
      <x:c r="D36" s="76" t="str">
        <x:v>Promedio puntaje</x:v>
      </x:c>
      <x:c r="E36" s="36" t="n">
        <x:f>IFERROR(AVERAGE('03 Diagnostico'!$G$6:$G$105),0)</x:f>
        <x:v>18.25</x:v>
      </x:c>
    </x:row>
  </x:sheetData>
  <x:mergeCells>
    <x:mergeCell ref="A1:L1"/>
    <x:mergeCell ref="A2:L2"/>
    <x:mergeCell ref="B4:E4"/>
    <x:mergeCell ref="G4:J4"/>
    <x:mergeCell ref="B18:E18"/>
    <x:mergeCell ref="G18:J18"/>
    <x:mergeCell ref="B32:J32"/>
  </x:mergeCells>
  <x:dataValidations count="4">
    <x:dataValidation type="list" sqref="D6:D14">
      <x:formula1>'08 Catalogos'!$F$5:$F$9</x:formula1>
    </x:dataValidation>
    <x:dataValidation type="list" sqref="I6:I14">
      <x:formula1>'08 Catalogos'!$F$5:$F$9</x:formula1>
    </x:dataValidation>
    <x:dataValidation type="list" sqref="D20:D28">
      <x:formula1>'08 Catalogos'!$F$5:$F$9</x:formula1>
    </x:dataValidation>
    <x:dataValidation type="list" sqref="I20:I28">
      <x:formula1>'08 Catalogos'!$F$5:$F$9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40" hidden="0" customWidth="1"/>
    <x:col min="4" max="4" width="26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8" hidden="0" customWidth="1"/>
    <x:col min="10" max="10" width="16" hidden="0" customWidth="1"/>
    <x:col min="11" max="11" width="26" hidden="0" customWidth="1"/>
    <x:col min="12" max="12" width="18" hidden="0" customWidth="1"/>
  </x:cols>
  <x:sheetData>
    <x:row r="1" ht="32" customHeight="1">
      <x:c r="A1" s="8" t="str">
        <x:v>Estrategias cruzadas FODA</x:v>
      </x:c>
    </x:row>
    <x:row r="2" ht="24" customHeight="1">
      <x:c r="A2" s="18" t="str">
        <x:v>Crea estrategias FO, DO, FA y DA. El score ayuda a priorizar por impacto y esfuerzo.</x:v>
      </x:c>
    </x:row>
    <x:row r="5" ht="28" customHeight="1">
      <x:c r="A5" s="26" t="str">
        <x:v>ID</x:v>
      </x:c>
      <x:c r="B5" s="26" t="str">
        <x:v>Tipo</x:v>
      </x:c>
      <x:c r="C5" s="26" t="str">
        <x:v>Estrategia</x:v>
      </x:c>
      <x:c r="D5" s="26" t="str">
        <x:v>Factor relacionado</x:v>
      </x:c>
      <x:c r="E5" s="26" t="str">
        <x:v>Impacto</x:v>
      </x:c>
      <x:c r="F5" s="26" t="str">
        <x:v>Esfuerzo</x:v>
      </x:c>
      <x:c r="G5" s="26" t="str">
        <x:v>Score</x:v>
      </x:c>
      <x:c r="H5" s="26" t="str">
        <x:v>Prioridad</x:v>
      </x:c>
      <x:c r="I5" s="26" t="str">
        <x:v>Responsable</x:v>
      </x:c>
      <x:c r="J5" s="26" t="str">
        <x:v>Fecha meta</x:v>
      </x:c>
      <x:c r="K5" s="26" t="str">
        <x:v>Indicador de exito</x:v>
      </x:c>
      <x:c r="L5" s="26" t="str">
        <x:v>Estatus</x:v>
      </x:c>
    </x:row>
    <x:row r="6" ht="34" customHeight="1">
      <x:c r="A6" s="74" t="str">
        <x:f>IF(C6="","","EST-"&amp;TEXT(ROW()-5,"000"))</x:f>
        <x:v>EST-001</x:v>
      </x:c>
      <x:c r="B6" s="36" t="str">
        <x:v>FO - Crecimiento</x:v>
      </x:c>
      <x:c r="C6" s="36" t="str">
        <x:v>Usar fortalezas comerciales para capturar oportunidades digitales del mercado.</x:v>
      </x:c>
      <x:c r="D6" s="36" t="str">
        <x:v>Marca + demanda digital</x:v>
      </x:c>
      <x:c r="E6" s="36" t="n">
        <x:v>5</x:v>
      </x:c>
      <x:c r="F6" s="36" t="n">
        <x:v>3</x:v>
      </x:c>
      <x:c r="G6" s="74" t="n">
        <x:f>IF(OR(E6="",F6=""),"",(E6*2)+(6-F6))</x:f>
        <x:v>13</x:v>
      </x:c>
      <x:c r="H6" s="74" t="str">
        <x:f>IF(G6="","",IF(G6&gt;=13,"Alta",IF(G6&gt;=9,"Media","Baja")))</x:f>
        <x:v>Alta</x:v>
      </x:c>
      <x:c r="I6" s="36" t="str">
        <x:v>Direccion</x:v>
      </x:c>
      <x:c r="J6" s="148" t="n">
        <x:v>46203</x:v>
      </x:c>
      <x:c r="K6" s="36" t="str">
        <x:v>Nuevos clientes / mes</x:v>
      </x:c>
      <x:c r="L6" s="36" t="str">
        <x:v>En proceso</x:v>
      </x:c>
    </x:row>
    <x:row r="7" ht="34" customHeight="1">
      <x:c r="A7" s="74" t="str">
        <x:f>IF(C7="","","EST-"&amp;TEXT(ROW()-5,"000"))</x:f>
        <x:v>EST-002</x:v>
      </x:c>
      <x:c r="B7" s="36" t="str">
        <x:v>DO - Mejora</x:v>
      </x:c>
      <x:c r="C7" s="36" t="str">
        <x:v>Implementar proceso de seguimiento para convertir mas prospectos en clientes.</x:v>
      </x:c>
      <x:c r="D7" s="36" t="str">
        <x:v>Seguimiento comercial</x:v>
      </x:c>
      <x:c r="E7" s="36" t="n">
        <x:v>5</x:v>
      </x:c>
      <x:c r="F7" s="36" t="n">
        <x:v>2</x:v>
      </x:c>
      <x:c r="G7" s="74" t="n">
        <x:f>IF(OR(E7="",F7=""),"",(E7*2)+(6-F7))</x:f>
        <x:v>14</x:v>
      </x:c>
      <x:c r="H7" s="74" t="str">
        <x:f>IF(G7="","",IF(G7&gt;=13,"Alta",IF(G7&gt;=9,"Media","Baja")))</x:f>
        <x:v>Alta</x:v>
      </x:c>
      <x:c r="I7" s="36" t="str">
        <x:v>Ventas</x:v>
      </x:c>
      <x:c r="J7" s="148" t="n">
        <x:v>46188</x:v>
      </x:c>
      <x:c r="K7" s="36" t="str">
        <x:v>Tasa de cierre</x:v>
      </x:c>
      <x:c r="L7" s="36" t="str">
        <x:v>No iniciada</x:v>
      </x:c>
    </x:row>
    <x:row r="8" ht="34" customHeight="1">
      <x:c r="A8" s="74" t="str">
        <x:f>IF(C8="","","EST-"&amp;TEXT(ROW()-5,"000"))</x:f>
        <x:v>EST-003</x:v>
      </x:c>
      <x:c r="B8" s="36" t="str">
        <x:v>FA - Defensa</x:v>
      </x:c>
      <x:c r="C8" s="36" t="str">
        <x:v>Diferenciar la propuesta frente a competidores de bajo costo.</x:v>
      </x:c>
      <x:c r="D8" s="36" t="str">
        <x:v>Competencia precio bajo</x:v>
      </x:c>
      <x:c r="E8" s="36" t="n">
        <x:v>4</x:v>
      </x:c>
      <x:c r="F8" s="36" t="n">
        <x:v>3</x:v>
      </x:c>
      <x:c r="G8" s="74" t="n">
        <x:f>IF(OR(E8="",F8=""),"",(E8*2)+(6-F8))</x:f>
        <x:v>11</x:v>
      </x:c>
      <x:c r="H8" s="74" t="str">
        <x:f>IF(G8="","",IF(G8&gt;=13,"Alta",IF(G8&gt;=9,"Media","Baja")))</x:f>
        <x:v>Media</x:v>
      </x:c>
      <x:c r="I8" s="36" t="str">
        <x:v>Marketing</x:v>
      </x:c>
      <x:c r="J8" s="148" t="n">
        <x:v>46208</x:v>
      </x:c>
      <x:c r="K8" s="36" t="str">
        <x:v>Margen por proyecto</x:v>
      </x:c>
      <x:c r="L8" s="36" t="str">
        <x:v>No iniciada</x:v>
      </x:c>
    </x:row>
    <x:row r="9" ht="34" customHeight="1">
      <x:c r="A9" s="74" t="str">
        <x:f>IF(C9="","","EST-"&amp;TEXT(ROW()-5,"000"))</x:f>
        <x:v>EST-004</x:v>
      </x:c>
      <x:c r="B9" s="36" t="str">
        <x:v>DA - Contencion</x:v>
      </x:c>
      <x:c r="C9" s="36" t="str">
        <x:v>Reducir riesgos operativos documentando procesos criticos.</x:v>
      </x:c>
      <x:c r="D9" s="36" t="str">
        <x:v>Procesos no estandarizados</x:v>
      </x:c>
      <x:c r="E9" s="36" t="n">
        <x:v>4</x:v>
      </x:c>
      <x:c r="F9" s="36" t="n">
        <x:v>4</x:v>
      </x:c>
      <x:c r="G9" s="74" t="n">
        <x:f>IF(OR(E9="",F9=""),"",(E9*2)+(6-F9))</x:f>
        <x:v>10</x:v>
      </x:c>
      <x:c r="H9" s="74" t="str">
        <x:f>IF(G9="","",IF(G9&gt;=13,"Alta",IF(G9&gt;=9,"Media","Baja")))</x:f>
        <x:v>Media</x:v>
      </x:c>
      <x:c r="I9" s="36" t="str">
        <x:v>Operaciones</x:v>
      </x:c>
      <x:c r="J9" s="148" t="n">
        <x:v>46223</x:v>
      </x:c>
      <x:c r="K9" s="36" t="str">
        <x:v>Procesos documentados</x:v>
      </x:c>
      <x:c r="L9" s="36" t="str">
        <x:v>No iniciada</x:v>
      </x:c>
    </x:row>
    <x:row r="10" ht="34" customHeight="1">
      <x:c r="A10" s="74" t="str">
        <x:f>IF(C10="","","EST-"&amp;TEXT(ROW()-5,"000"))</x:f>
      </x:c>
      <x:c r="B10" s="36"/>
      <x:c r="C10" s="36"/>
      <x:c r="D10" s="36"/>
      <x:c r="E10" s="36"/>
      <x:c r="F10" s="36"/>
      <x:c r="G10" s="74" t="str">
        <x:f>IF(OR(E10="",F10=""),"",(E10*2)+(6-F10))</x:f>
      </x:c>
      <x:c r="H10" s="74" t="str">
        <x:f>IF(G10="","",IF(G10&gt;=13,"Alta",IF(G10&gt;=9,"Media","Baja")))</x:f>
      </x:c>
      <x:c r="I10" s="36"/>
      <x:c r="J10" s="148"/>
      <x:c r="K10" s="36"/>
      <x:c r="L10" s="36"/>
    </x:row>
    <x:row r="11" ht="34" customHeight="1">
      <x:c r="A11" s="74" t="str">
        <x:f>IF(C11="","","EST-"&amp;TEXT(ROW()-5,"000"))</x:f>
      </x:c>
      <x:c r="B11" s="36"/>
      <x:c r="C11" s="36"/>
      <x:c r="D11" s="36"/>
      <x:c r="E11" s="36"/>
      <x:c r="F11" s="36"/>
      <x:c r="G11" s="74" t="str">
        <x:f>IF(OR(E11="",F11=""),"",(E11*2)+(6-F11))</x:f>
      </x:c>
      <x:c r="H11" s="74" t="str">
        <x:f>IF(G11="","",IF(G11&gt;=13,"Alta",IF(G11&gt;=9,"Media","Baja")))</x:f>
      </x:c>
      <x:c r="I11" s="36"/>
      <x:c r="J11" s="148"/>
      <x:c r="K11" s="36"/>
      <x:c r="L11" s="36"/>
    </x:row>
    <x:row r="12" ht="34" customHeight="1">
      <x:c r="A12" s="74" t="str">
        <x:f>IF(C12="","","EST-"&amp;TEXT(ROW()-5,"000"))</x:f>
      </x:c>
      <x:c r="B12" s="36"/>
      <x:c r="C12" s="36"/>
      <x:c r="D12" s="36"/>
      <x:c r="E12" s="36"/>
      <x:c r="F12" s="36"/>
      <x:c r="G12" s="74" t="str">
        <x:f>IF(OR(E12="",F12=""),"",(E12*2)+(6-F12))</x:f>
      </x:c>
      <x:c r="H12" s="74" t="str">
        <x:f>IF(G12="","",IF(G12&gt;=13,"Alta",IF(G12&gt;=9,"Media","Baja")))</x:f>
      </x:c>
      <x:c r="I12" s="36"/>
      <x:c r="J12" s="148"/>
      <x:c r="K12" s="36"/>
      <x:c r="L12" s="36"/>
    </x:row>
    <x:row r="13" ht="34" customHeight="1">
      <x:c r="A13" s="74" t="str">
        <x:f>IF(C13="","","EST-"&amp;TEXT(ROW()-5,"000"))</x:f>
      </x:c>
      <x:c r="B13" s="36"/>
      <x:c r="C13" s="36"/>
      <x:c r="D13" s="36"/>
      <x:c r="E13" s="36"/>
      <x:c r="F13" s="36"/>
      <x:c r="G13" s="74" t="str">
        <x:f>IF(OR(E13="",F13=""),"",(E13*2)+(6-F13))</x:f>
      </x:c>
      <x:c r="H13" s="74" t="str">
        <x:f>IF(G13="","",IF(G13&gt;=13,"Alta",IF(G13&gt;=9,"Media","Baja")))</x:f>
      </x:c>
      <x:c r="I13" s="36"/>
      <x:c r="J13" s="148"/>
      <x:c r="K13" s="36"/>
      <x:c r="L13" s="36"/>
    </x:row>
    <x:row r="14" ht="34" customHeight="1">
      <x:c r="A14" s="74" t="str">
        <x:f>IF(C14="","","EST-"&amp;TEXT(ROW()-5,"000"))</x:f>
      </x:c>
      <x:c r="B14" s="36"/>
      <x:c r="C14" s="36"/>
      <x:c r="D14" s="36"/>
      <x:c r="E14" s="36"/>
      <x:c r="F14" s="36"/>
      <x:c r="G14" s="74" t="str">
        <x:f>IF(OR(E14="",F14=""),"",(E14*2)+(6-F14))</x:f>
      </x:c>
      <x:c r="H14" s="74" t="str">
        <x:f>IF(G14="","",IF(G14&gt;=13,"Alta",IF(G14&gt;=9,"Media","Baja")))</x:f>
      </x:c>
      <x:c r="I14" s="36"/>
      <x:c r="J14" s="148"/>
      <x:c r="K14" s="36"/>
      <x:c r="L14" s="36"/>
    </x:row>
    <x:row r="15" ht="34" customHeight="1">
      <x:c r="A15" s="74" t="str">
        <x:f>IF(C15="","","EST-"&amp;TEXT(ROW()-5,"000"))</x:f>
      </x:c>
      <x:c r="B15" s="36"/>
      <x:c r="C15" s="36"/>
      <x:c r="D15" s="36"/>
      <x:c r="E15" s="36"/>
      <x:c r="F15" s="36"/>
      <x:c r="G15" s="74" t="str">
        <x:f>IF(OR(E15="",F15=""),"",(E15*2)+(6-F15))</x:f>
      </x:c>
      <x:c r="H15" s="74" t="str">
        <x:f>IF(G15="","",IF(G15&gt;=13,"Alta",IF(G15&gt;=9,"Media","Baja")))</x:f>
      </x:c>
      <x:c r="I15" s="36"/>
      <x:c r="J15" s="148"/>
      <x:c r="K15" s="36"/>
      <x:c r="L15" s="36"/>
    </x:row>
    <x:row r="16" ht="34" customHeight="1">
      <x:c r="A16" s="74" t="str">
        <x:f>IF(C16="","","EST-"&amp;TEXT(ROW()-5,"000"))</x:f>
      </x:c>
      <x:c r="B16" s="36"/>
      <x:c r="C16" s="36"/>
      <x:c r="D16" s="36"/>
      <x:c r="E16" s="36"/>
      <x:c r="F16" s="36"/>
      <x:c r="G16" s="74" t="str">
        <x:f>IF(OR(E16="",F16=""),"",(E16*2)+(6-F16))</x:f>
      </x:c>
      <x:c r="H16" s="74" t="str">
        <x:f>IF(G16="","",IF(G16&gt;=13,"Alta",IF(G16&gt;=9,"Media","Baja")))</x:f>
      </x:c>
      <x:c r="I16" s="36"/>
      <x:c r="J16" s="148"/>
      <x:c r="K16" s="36"/>
      <x:c r="L16" s="36"/>
    </x:row>
    <x:row r="17" ht="34" customHeight="1">
      <x:c r="A17" s="74" t="str">
        <x:f>IF(C17="","","EST-"&amp;TEXT(ROW()-5,"000"))</x:f>
      </x:c>
      <x:c r="B17" s="36"/>
      <x:c r="C17" s="36"/>
      <x:c r="D17" s="36"/>
      <x:c r="E17" s="36"/>
      <x:c r="F17" s="36"/>
      <x:c r="G17" s="74" t="str">
        <x:f>IF(OR(E17="",F17=""),"",(E17*2)+(6-F17))</x:f>
      </x:c>
      <x:c r="H17" s="74" t="str">
        <x:f>IF(G17="","",IF(G17&gt;=13,"Alta",IF(G17&gt;=9,"Media","Baja")))</x:f>
      </x:c>
      <x:c r="I17" s="36"/>
      <x:c r="J17" s="148"/>
      <x:c r="K17" s="36"/>
      <x:c r="L17" s="36"/>
    </x:row>
    <x:row r="18" ht="34" customHeight="1">
      <x:c r="A18" s="74" t="str">
        <x:f>IF(C18="","","EST-"&amp;TEXT(ROW()-5,"000"))</x:f>
      </x:c>
      <x:c r="B18" s="36"/>
      <x:c r="C18" s="36"/>
      <x:c r="D18" s="36"/>
      <x:c r="E18" s="36"/>
      <x:c r="F18" s="36"/>
      <x:c r="G18" s="74" t="str">
        <x:f>IF(OR(E18="",F18=""),"",(E18*2)+(6-F18))</x:f>
      </x:c>
      <x:c r="H18" s="74" t="str">
        <x:f>IF(G18="","",IF(G18&gt;=13,"Alta",IF(G18&gt;=9,"Media","Baja")))</x:f>
      </x:c>
      <x:c r="I18" s="36"/>
      <x:c r="J18" s="148"/>
      <x:c r="K18" s="36"/>
      <x:c r="L18" s="36"/>
    </x:row>
    <x:row r="19" ht="34" customHeight="1">
      <x:c r="A19" s="74" t="str">
        <x:f>IF(C19="","","EST-"&amp;TEXT(ROW()-5,"000"))</x:f>
      </x:c>
      <x:c r="B19" s="36"/>
      <x:c r="C19" s="36"/>
      <x:c r="D19" s="36"/>
      <x:c r="E19" s="36"/>
      <x:c r="F19" s="36"/>
      <x:c r="G19" s="74" t="str">
        <x:f>IF(OR(E19="",F19=""),"",(E19*2)+(6-F19))</x:f>
      </x:c>
      <x:c r="H19" s="74" t="str">
        <x:f>IF(G19="","",IF(G19&gt;=13,"Alta",IF(G19&gt;=9,"Media","Baja")))</x:f>
      </x:c>
      <x:c r="I19" s="36"/>
      <x:c r="J19" s="148"/>
      <x:c r="K19" s="36"/>
      <x:c r="L19" s="36"/>
    </x:row>
    <x:row r="20" ht="34" customHeight="1">
      <x:c r="A20" s="74" t="str">
        <x:f>IF(C20="","","EST-"&amp;TEXT(ROW()-5,"000"))</x:f>
      </x:c>
      <x:c r="B20" s="36"/>
      <x:c r="C20" s="36"/>
      <x:c r="D20" s="36"/>
      <x:c r="E20" s="36"/>
      <x:c r="F20" s="36"/>
      <x:c r="G20" s="74" t="str">
        <x:f>IF(OR(E20="",F20=""),"",(E20*2)+(6-F20))</x:f>
      </x:c>
      <x:c r="H20" s="74" t="str">
        <x:f>IF(G20="","",IF(G20&gt;=13,"Alta",IF(G20&gt;=9,"Media","Baja")))</x:f>
      </x:c>
      <x:c r="I20" s="36"/>
      <x:c r="J20" s="148"/>
      <x:c r="K20" s="36"/>
      <x:c r="L20" s="36"/>
    </x:row>
    <x:row r="21" ht="34" customHeight="1">
      <x:c r="A21" s="74" t="str">
        <x:f>IF(C21="","","EST-"&amp;TEXT(ROW()-5,"000"))</x:f>
      </x:c>
      <x:c r="B21" s="36"/>
      <x:c r="C21" s="36"/>
      <x:c r="D21" s="36"/>
      <x:c r="E21" s="36"/>
      <x:c r="F21" s="36"/>
      <x:c r="G21" s="74" t="str">
        <x:f>IF(OR(E21="",F21=""),"",(E21*2)+(6-F21))</x:f>
      </x:c>
      <x:c r="H21" s="74" t="str">
        <x:f>IF(G21="","",IF(G21&gt;=13,"Alta",IF(G21&gt;=9,"Media","Baja")))</x:f>
      </x:c>
      <x:c r="I21" s="36"/>
      <x:c r="J21" s="148"/>
      <x:c r="K21" s="36"/>
      <x:c r="L21" s="36"/>
    </x:row>
    <x:row r="22" ht="34" customHeight="1">
      <x:c r="A22" s="74" t="str">
        <x:f>IF(C22="","","EST-"&amp;TEXT(ROW()-5,"000"))</x:f>
      </x:c>
      <x:c r="B22" s="36"/>
      <x:c r="C22" s="36"/>
      <x:c r="D22" s="36"/>
      <x:c r="E22" s="36"/>
      <x:c r="F22" s="36"/>
      <x:c r="G22" s="74" t="str">
        <x:f>IF(OR(E22="",F22=""),"",(E22*2)+(6-F22))</x:f>
      </x:c>
      <x:c r="H22" s="74" t="str">
        <x:f>IF(G22="","",IF(G22&gt;=13,"Alta",IF(G22&gt;=9,"Media","Baja")))</x:f>
      </x:c>
      <x:c r="I22" s="36"/>
      <x:c r="J22" s="148"/>
      <x:c r="K22" s="36"/>
      <x:c r="L22" s="36"/>
    </x:row>
    <x:row r="23" ht="34" customHeight="1">
      <x:c r="A23" s="74" t="str">
        <x:f>IF(C23="","","EST-"&amp;TEXT(ROW()-5,"000"))</x:f>
      </x:c>
      <x:c r="B23" s="36"/>
      <x:c r="C23" s="36"/>
      <x:c r="D23" s="36"/>
      <x:c r="E23" s="36"/>
      <x:c r="F23" s="36"/>
      <x:c r="G23" s="74" t="str">
        <x:f>IF(OR(E23="",F23=""),"",(E23*2)+(6-F23))</x:f>
      </x:c>
      <x:c r="H23" s="74" t="str">
        <x:f>IF(G23="","",IF(G23&gt;=13,"Alta",IF(G23&gt;=9,"Media","Baja")))</x:f>
      </x:c>
      <x:c r="I23" s="36"/>
      <x:c r="J23" s="148"/>
      <x:c r="K23" s="36"/>
      <x:c r="L23" s="36"/>
    </x:row>
    <x:row r="24" ht="34" customHeight="1">
      <x:c r="A24" s="74" t="str">
        <x:f>IF(C24="","","EST-"&amp;TEXT(ROW()-5,"000"))</x:f>
      </x:c>
      <x:c r="B24" s="36"/>
      <x:c r="C24" s="36"/>
      <x:c r="D24" s="36"/>
      <x:c r="E24" s="36"/>
      <x:c r="F24" s="36"/>
      <x:c r="G24" s="74" t="str">
        <x:f>IF(OR(E24="",F24=""),"",(E24*2)+(6-F24))</x:f>
      </x:c>
      <x:c r="H24" s="74" t="str">
        <x:f>IF(G24="","",IF(G24&gt;=13,"Alta",IF(G24&gt;=9,"Media","Baja")))</x:f>
      </x:c>
      <x:c r="I24" s="36"/>
      <x:c r="J24" s="148"/>
      <x:c r="K24" s="36"/>
      <x:c r="L24" s="36"/>
    </x:row>
    <x:row r="25" ht="34" customHeight="1">
      <x:c r="A25" s="74" t="str">
        <x:f>IF(C25="","","EST-"&amp;TEXT(ROW()-5,"000"))</x:f>
      </x:c>
      <x:c r="B25" s="36"/>
      <x:c r="C25" s="36"/>
      <x:c r="D25" s="36"/>
      <x:c r="E25" s="36"/>
      <x:c r="F25" s="36"/>
      <x:c r="G25" s="74" t="str">
        <x:f>IF(OR(E25="",F25=""),"",(E25*2)+(6-F25))</x:f>
      </x:c>
      <x:c r="H25" s="74" t="str">
        <x:f>IF(G25="","",IF(G25&gt;=13,"Alta",IF(G25&gt;=9,"Media","Baja")))</x:f>
      </x:c>
      <x:c r="I25" s="36"/>
      <x:c r="J25" s="148"/>
      <x:c r="K25" s="36"/>
      <x:c r="L25" s="36"/>
    </x:row>
    <x:row r="26" ht="34" customHeight="1">
      <x:c r="A26" s="74" t="str">
        <x:f>IF(C26="","","EST-"&amp;TEXT(ROW()-5,"000"))</x:f>
      </x:c>
      <x:c r="B26" s="36"/>
      <x:c r="C26" s="36"/>
      <x:c r="D26" s="36"/>
      <x:c r="E26" s="36"/>
      <x:c r="F26" s="36"/>
      <x:c r="G26" s="74" t="str">
        <x:f>IF(OR(E26="",F26=""),"",(E26*2)+(6-F26))</x:f>
      </x:c>
      <x:c r="H26" s="74" t="str">
        <x:f>IF(G26="","",IF(G26&gt;=13,"Alta",IF(G26&gt;=9,"Media","Baja")))</x:f>
      </x:c>
      <x:c r="I26" s="36"/>
      <x:c r="J26" s="148"/>
      <x:c r="K26" s="36"/>
      <x:c r="L26" s="36"/>
    </x:row>
    <x:row r="27" ht="34" customHeight="1">
      <x:c r="A27" s="74" t="str">
        <x:f>IF(C27="","","EST-"&amp;TEXT(ROW()-5,"000"))</x:f>
      </x:c>
      <x:c r="B27" s="36"/>
      <x:c r="C27" s="36"/>
      <x:c r="D27" s="36"/>
      <x:c r="E27" s="36"/>
      <x:c r="F27" s="36"/>
      <x:c r="G27" s="74" t="str">
        <x:f>IF(OR(E27="",F27=""),"",(E27*2)+(6-F27))</x:f>
      </x:c>
      <x:c r="H27" s="74" t="str">
        <x:f>IF(G27="","",IF(G27&gt;=13,"Alta",IF(G27&gt;=9,"Media","Baja")))</x:f>
      </x:c>
      <x:c r="I27" s="36"/>
      <x:c r="J27" s="148"/>
      <x:c r="K27" s="36"/>
      <x:c r="L27" s="36"/>
    </x:row>
    <x:row r="28" ht="34" customHeight="1">
      <x:c r="A28" s="74" t="str">
        <x:f>IF(C28="","","EST-"&amp;TEXT(ROW()-5,"000"))</x:f>
      </x:c>
      <x:c r="B28" s="36"/>
      <x:c r="C28" s="36"/>
      <x:c r="D28" s="36"/>
      <x:c r="E28" s="36"/>
      <x:c r="F28" s="36"/>
      <x:c r="G28" s="74" t="str">
        <x:f>IF(OR(E28="",F28=""),"",(E28*2)+(6-F28))</x:f>
      </x:c>
      <x:c r="H28" s="74" t="str">
        <x:f>IF(G28="","",IF(G28&gt;=13,"Alta",IF(G28&gt;=9,"Media","Baja")))</x:f>
      </x:c>
      <x:c r="I28" s="36"/>
      <x:c r="J28" s="148"/>
      <x:c r="K28" s="36"/>
      <x:c r="L28" s="36"/>
    </x:row>
    <x:row r="29" ht="34" customHeight="1">
      <x:c r="A29" s="74" t="str">
        <x:f>IF(C29="","","EST-"&amp;TEXT(ROW()-5,"000"))</x:f>
      </x:c>
      <x:c r="B29" s="36"/>
      <x:c r="C29" s="36"/>
      <x:c r="D29" s="36"/>
      <x:c r="E29" s="36"/>
      <x:c r="F29" s="36"/>
      <x:c r="G29" s="74" t="str">
        <x:f>IF(OR(E29="",F29=""),"",(E29*2)+(6-F29))</x:f>
      </x:c>
      <x:c r="H29" s="74" t="str">
        <x:f>IF(G29="","",IF(G29&gt;=13,"Alta",IF(G29&gt;=9,"Media","Baja")))</x:f>
      </x:c>
      <x:c r="I29" s="36"/>
      <x:c r="J29" s="148"/>
      <x:c r="K29" s="36"/>
      <x:c r="L29" s="36"/>
    </x:row>
    <x:row r="30" ht="34" customHeight="1">
      <x:c r="A30" s="74" t="str">
        <x:f>IF(C30="","","EST-"&amp;TEXT(ROW()-5,"000"))</x:f>
      </x:c>
      <x:c r="B30" s="36"/>
      <x:c r="C30" s="36"/>
      <x:c r="D30" s="36"/>
      <x:c r="E30" s="36"/>
      <x:c r="F30" s="36"/>
      <x:c r="G30" s="74" t="str">
        <x:f>IF(OR(E30="",F30=""),"",(E30*2)+(6-F30))</x:f>
      </x:c>
      <x:c r="H30" s="74" t="str">
        <x:f>IF(G30="","",IF(G30&gt;=13,"Alta",IF(G30&gt;=9,"Media","Baja")))</x:f>
      </x:c>
      <x:c r="I30" s="36"/>
      <x:c r="J30" s="148"/>
      <x:c r="K30" s="36"/>
      <x:c r="L30" s="36"/>
    </x:row>
    <x:row r="31" ht="34" customHeight="1">
      <x:c r="A31" s="74" t="str">
        <x:f>IF(C31="","","EST-"&amp;TEXT(ROW()-5,"000"))</x:f>
      </x:c>
      <x:c r="B31" s="36"/>
      <x:c r="C31" s="36"/>
      <x:c r="D31" s="36"/>
      <x:c r="E31" s="36"/>
      <x:c r="F31" s="36"/>
      <x:c r="G31" s="74" t="str">
        <x:f>IF(OR(E31="",F31=""),"",(E31*2)+(6-F31))</x:f>
      </x:c>
      <x:c r="H31" s="74" t="str">
        <x:f>IF(G31="","",IF(G31&gt;=13,"Alta",IF(G31&gt;=9,"Media","Baja")))</x:f>
      </x:c>
      <x:c r="I31" s="36"/>
      <x:c r="J31" s="148"/>
      <x:c r="K31" s="36"/>
      <x:c r="L31" s="36"/>
    </x:row>
    <x:row r="32" ht="34" customHeight="1">
      <x:c r="A32" s="74" t="str">
        <x:f>IF(C32="","","EST-"&amp;TEXT(ROW()-5,"000"))</x:f>
      </x:c>
      <x:c r="B32" s="36"/>
      <x:c r="C32" s="36"/>
      <x:c r="D32" s="36"/>
      <x:c r="E32" s="36"/>
      <x:c r="F32" s="36"/>
      <x:c r="G32" s="74" t="str">
        <x:f>IF(OR(E32="",F32=""),"",(E32*2)+(6-F32))</x:f>
      </x:c>
      <x:c r="H32" s="74" t="str">
        <x:f>IF(G32="","",IF(G32&gt;=13,"Alta",IF(G32&gt;=9,"Media","Baja")))</x:f>
      </x:c>
      <x:c r="I32" s="36"/>
      <x:c r="J32" s="148"/>
      <x:c r="K32" s="36"/>
      <x:c r="L32" s="36"/>
    </x:row>
    <x:row r="33" ht="34" customHeight="1">
      <x:c r="A33" s="74" t="str">
        <x:f>IF(C33="","","EST-"&amp;TEXT(ROW()-5,"000"))</x:f>
      </x:c>
      <x:c r="B33" s="36"/>
      <x:c r="C33" s="36"/>
      <x:c r="D33" s="36"/>
      <x:c r="E33" s="36"/>
      <x:c r="F33" s="36"/>
      <x:c r="G33" s="74" t="str">
        <x:f>IF(OR(E33="",F33=""),"",(E33*2)+(6-F33))</x:f>
      </x:c>
      <x:c r="H33" s="74" t="str">
        <x:f>IF(G33="","",IF(G33&gt;=13,"Alta",IF(G33&gt;=9,"Media","Baja")))</x:f>
      </x:c>
      <x:c r="I33" s="36"/>
      <x:c r="J33" s="148"/>
      <x:c r="K33" s="36"/>
      <x:c r="L33" s="36"/>
    </x:row>
    <x:row r="34" ht="34" customHeight="1">
      <x:c r="A34" s="74" t="str">
        <x:f>IF(C34="","","EST-"&amp;TEXT(ROW()-5,"000"))</x:f>
      </x:c>
      <x:c r="B34" s="36"/>
      <x:c r="C34" s="36"/>
      <x:c r="D34" s="36"/>
      <x:c r="E34" s="36"/>
      <x:c r="F34" s="36"/>
      <x:c r="G34" s="74" t="str">
        <x:f>IF(OR(E34="",F34=""),"",(E34*2)+(6-F34))</x:f>
      </x:c>
      <x:c r="H34" s="74" t="str">
        <x:f>IF(G34="","",IF(G34&gt;=13,"Alta",IF(G34&gt;=9,"Media","Baja")))</x:f>
      </x:c>
      <x:c r="I34" s="36"/>
      <x:c r="J34" s="148"/>
      <x:c r="K34" s="36"/>
      <x:c r="L34" s="36"/>
    </x:row>
    <x:row r="35" ht="34" customHeight="1">
      <x:c r="A35" s="74" t="str">
        <x:f>IF(C35="","","EST-"&amp;TEXT(ROW()-5,"000"))</x:f>
      </x:c>
      <x:c r="B35" s="36"/>
      <x:c r="C35" s="36"/>
      <x:c r="D35" s="36"/>
      <x:c r="E35" s="36"/>
      <x:c r="F35" s="36"/>
      <x:c r="G35" s="74" t="str">
        <x:f>IF(OR(E35="",F35=""),"",(E35*2)+(6-F35))</x:f>
      </x:c>
      <x:c r="H35" s="74" t="str">
        <x:f>IF(G35="","",IF(G35&gt;=13,"Alta",IF(G35&gt;=9,"Media","Baja")))</x:f>
      </x:c>
      <x:c r="I35" s="36"/>
      <x:c r="J35" s="148"/>
      <x:c r="K35" s="36"/>
      <x:c r="L35" s="36"/>
    </x:row>
    <x:row r="36" ht="34" customHeight="1">
      <x:c r="A36" s="74" t="str">
        <x:f>IF(C36="","","EST-"&amp;TEXT(ROW()-5,"000"))</x:f>
      </x:c>
      <x:c r="B36" s="36"/>
      <x:c r="C36" s="36"/>
      <x:c r="D36" s="36"/>
      <x:c r="E36" s="36"/>
      <x:c r="F36" s="36"/>
      <x:c r="G36" s="74" t="str">
        <x:f>IF(OR(E36="",F36=""),"",(E36*2)+(6-F36))</x:f>
      </x:c>
      <x:c r="H36" s="74" t="str">
        <x:f>IF(G36="","",IF(G36&gt;=13,"Alta",IF(G36&gt;=9,"Media","Baja")))</x:f>
      </x:c>
      <x:c r="I36" s="36"/>
      <x:c r="J36" s="148"/>
      <x:c r="K36" s="36"/>
      <x:c r="L36" s="36"/>
    </x:row>
    <x:row r="37" ht="34" customHeight="1">
      <x:c r="A37" s="74" t="str">
        <x:f>IF(C37="","","EST-"&amp;TEXT(ROW()-5,"000"))</x:f>
      </x:c>
      <x:c r="B37" s="36"/>
      <x:c r="C37" s="36"/>
      <x:c r="D37" s="36"/>
      <x:c r="E37" s="36"/>
      <x:c r="F37" s="36"/>
      <x:c r="G37" s="74" t="str">
        <x:f>IF(OR(E37="",F37=""),"",(E37*2)+(6-F37))</x:f>
      </x:c>
      <x:c r="H37" s="74" t="str">
        <x:f>IF(G37="","",IF(G37&gt;=13,"Alta",IF(G37&gt;=9,"Media","Baja")))</x:f>
      </x:c>
      <x:c r="I37" s="36"/>
      <x:c r="J37" s="148"/>
      <x:c r="K37" s="36"/>
      <x:c r="L37" s="36"/>
    </x:row>
    <x:row r="38" ht="34" customHeight="1">
      <x:c r="A38" s="74" t="str">
        <x:f>IF(C38="","","EST-"&amp;TEXT(ROW()-5,"000"))</x:f>
      </x:c>
      <x:c r="B38" s="36"/>
      <x:c r="C38" s="36"/>
      <x:c r="D38" s="36"/>
      <x:c r="E38" s="36"/>
      <x:c r="F38" s="36"/>
      <x:c r="G38" s="74" t="str">
        <x:f>IF(OR(E38="",F38=""),"",(E38*2)+(6-F38))</x:f>
      </x:c>
      <x:c r="H38" s="74" t="str">
        <x:f>IF(G38="","",IF(G38&gt;=13,"Alta",IF(G38&gt;=9,"Media","Baja")))</x:f>
      </x:c>
      <x:c r="I38" s="36"/>
      <x:c r="J38" s="148"/>
      <x:c r="K38" s="36"/>
      <x:c r="L38" s="36"/>
    </x:row>
    <x:row r="39" ht="34" customHeight="1">
      <x:c r="A39" s="74" t="str">
        <x:f>IF(C39="","","EST-"&amp;TEXT(ROW()-5,"000"))</x:f>
      </x:c>
      <x:c r="B39" s="36"/>
      <x:c r="C39" s="36"/>
      <x:c r="D39" s="36"/>
      <x:c r="E39" s="36"/>
      <x:c r="F39" s="36"/>
      <x:c r="G39" s="74" t="str">
        <x:f>IF(OR(E39="",F39=""),"",(E39*2)+(6-F39))</x:f>
      </x:c>
      <x:c r="H39" s="74" t="str">
        <x:f>IF(G39="","",IF(G39&gt;=13,"Alta",IF(G39&gt;=9,"Media","Baja")))</x:f>
      </x:c>
      <x:c r="I39" s="36"/>
      <x:c r="J39" s="148"/>
      <x:c r="K39" s="36"/>
      <x:c r="L39" s="36"/>
    </x:row>
    <x:row r="40" ht="34" customHeight="1">
      <x:c r="A40" s="74" t="str">
        <x:f>IF(C40="","","EST-"&amp;TEXT(ROW()-5,"000"))</x:f>
      </x:c>
      <x:c r="B40" s="36"/>
      <x:c r="C40" s="36"/>
      <x:c r="D40" s="36"/>
      <x:c r="E40" s="36"/>
      <x:c r="F40" s="36"/>
      <x:c r="G40" s="74" t="str">
        <x:f>IF(OR(E40="",F40=""),"",(E40*2)+(6-F40))</x:f>
      </x:c>
      <x:c r="H40" s="74" t="str">
        <x:f>IF(G40="","",IF(G40&gt;=13,"Alta",IF(G40&gt;=9,"Media","Baja")))</x:f>
      </x:c>
      <x:c r="I40" s="36"/>
      <x:c r="J40" s="148"/>
      <x:c r="K40" s="36"/>
      <x:c r="L40" s="36"/>
    </x:row>
    <x:row r="41" ht="34" customHeight="1">
      <x:c r="A41" s="74" t="str">
        <x:f>IF(C41="","","EST-"&amp;TEXT(ROW()-5,"000"))</x:f>
      </x:c>
      <x:c r="B41" s="36"/>
      <x:c r="C41" s="36"/>
      <x:c r="D41" s="36"/>
      <x:c r="E41" s="36"/>
      <x:c r="F41" s="36"/>
      <x:c r="G41" s="74" t="str">
        <x:f>IF(OR(E41="",F41=""),"",(E41*2)+(6-F41))</x:f>
      </x:c>
      <x:c r="H41" s="74" t="str">
        <x:f>IF(G41="","",IF(G41&gt;=13,"Alta",IF(G41&gt;=9,"Media","Baja")))</x:f>
      </x:c>
      <x:c r="I41" s="36"/>
      <x:c r="J41" s="148"/>
      <x:c r="K41" s="36"/>
      <x:c r="L41" s="36"/>
    </x:row>
    <x:row r="42" ht="34" customHeight="1">
      <x:c r="A42" s="74" t="str">
        <x:f>IF(C42="","","EST-"&amp;TEXT(ROW()-5,"000"))</x:f>
      </x:c>
      <x:c r="B42" s="36"/>
      <x:c r="C42" s="36"/>
      <x:c r="D42" s="36"/>
      <x:c r="E42" s="36"/>
      <x:c r="F42" s="36"/>
      <x:c r="G42" s="74" t="str">
        <x:f>IF(OR(E42="",F42=""),"",(E42*2)+(6-F42))</x:f>
      </x:c>
      <x:c r="H42" s="74" t="str">
        <x:f>IF(G42="","",IF(G42&gt;=13,"Alta",IF(G42&gt;=9,"Media","Baja")))</x:f>
      </x:c>
      <x:c r="I42" s="36"/>
      <x:c r="J42" s="148"/>
      <x:c r="K42" s="36"/>
      <x:c r="L42" s="36"/>
    </x:row>
    <x:row r="43" ht="34" customHeight="1">
      <x:c r="A43" s="74" t="str">
        <x:f>IF(C43="","","EST-"&amp;TEXT(ROW()-5,"000"))</x:f>
      </x:c>
      <x:c r="B43" s="36"/>
      <x:c r="C43" s="36"/>
      <x:c r="D43" s="36"/>
      <x:c r="E43" s="36"/>
      <x:c r="F43" s="36"/>
      <x:c r="G43" s="74" t="str">
        <x:f>IF(OR(E43="",F43=""),"",(E43*2)+(6-F43))</x:f>
      </x:c>
      <x:c r="H43" s="74" t="str">
        <x:f>IF(G43="","",IF(G43&gt;=13,"Alta",IF(G43&gt;=9,"Media","Baja")))</x:f>
      </x:c>
      <x:c r="I43" s="36"/>
      <x:c r="J43" s="148"/>
      <x:c r="K43" s="36"/>
      <x:c r="L43" s="36"/>
    </x:row>
    <x:row r="44" ht="34" customHeight="1">
      <x:c r="A44" s="74" t="str">
        <x:f>IF(C44="","","EST-"&amp;TEXT(ROW()-5,"000"))</x:f>
      </x:c>
      <x:c r="B44" s="36"/>
      <x:c r="C44" s="36"/>
      <x:c r="D44" s="36"/>
      <x:c r="E44" s="36"/>
      <x:c r="F44" s="36"/>
      <x:c r="G44" s="74" t="str">
        <x:f>IF(OR(E44="",F44=""),"",(E44*2)+(6-F44))</x:f>
      </x:c>
      <x:c r="H44" s="74" t="str">
        <x:f>IF(G44="","",IF(G44&gt;=13,"Alta",IF(G44&gt;=9,"Media","Baja")))</x:f>
      </x:c>
      <x:c r="I44" s="36"/>
      <x:c r="J44" s="148"/>
      <x:c r="K44" s="36"/>
      <x:c r="L44" s="36"/>
    </x:row>
    <x:row r="45" ht="34" customHeight="1">
      <x:c r="A45" s="74" t="str">
        <x:f>IF(C45="","","EST-"&amp;TEXT(ROW()-5,"000"))</x:f>
      </x:c>
      <x:c r="B45" s="36"/>
      <x:c r="C45" s="36"/>
      <x:c r="D45" s="36"/>
      <x:c r="E45" s="36"/>
      <x:c r="F45" s="36"/>
      <x:c r="G45" s="74" t="str">
        <x:f>IF(OR(E45="",F45=""),"",(E45*2)+(6-F45))</x:f>
      </x:c>
      <x:c r="H45" s="74" t="str">
        <x:f>IF(G45="","",IF(G45&gt;=13,"Alta",IF(G45&gt;=9,"Media","Baja")))</x:f>
      </x:c>
      <x:c r="I45" s="36"/>
      <x:c r="J45" s="148"/>
      <x:c r="K45" s="36"/>
      <x:c r="L45" s="36"/>
    </x:row>
    <x:row r="46" ht="34" customHeight="1">
      <x:c r="A46" s="74" t="str">
        <x:f>IF(C46="","","EST-"&amp;TEXT(ROW()-5,"000"))</x:f>
      </x:c>
      <x:c r="B46" s="36"/>
      <x:c r="C46" s="36"/>
      <x:c r="D46" s="36"/>
      <x:c r="E46" s="36"/>
      <x:c r="F46" s="36"/>
      <x:c r="G46" s="74" t="str">
        <x:f>IF(OR(E46="",F46=""),"",(E46*2)+(6-F46))</x:f>
      </x:c>
      <x:c r="H46" s="74" t="str">
        <x:f>IF(G46="","",IF(G46&gt;=13,"Alta",IF(G46&gt;=9,"Media","Baja")))</x:f>
      </x:c>
      <x:c r="I46" s="36"/>
      <x:c r="J46" s="148"/>
      <x:c r="K46" s="36"/>
      <x:c r="L46" s="36"/>
    </x:row>
    <x:row r="47" ht="34" customHeight="1">
      <x:c r="A47" s="74" t="str">
        <x:f>IF(C47="","","EST-"&amp;TEXT(ROW()-5,"000"))</x:f>
      </x:c>
      <x:c r="B47" s="36"/>
      <x:c r="C47" s="36"/>
      <x:c r="D47" s="36"/>
      <x:c r="E47" s="36"/>
      <x:c r="F47" s="36"/>
      <x:c r="G47" s="74" t="str">
        <x:f>IF(OR(E47="",F47=""),"",(E47*2)+(6-F47))</x:f>
      </x:c>
      <x:c r="H47" s="74" t="str">
        <x:f>IF(G47="","",IF(G47&gt;=13,"Alta",IF(G47&gt;=9,"Media","Baja")))</x:f>
      </x:c>
      <x:c r="I47" s="36"/>
      <x:c r="J47" s="148"/>
      <x:c r="K47" s="36"/>
      <x:c r="L47" s="36"/>
    </x:row>
    <x:row r="48" ht="34" customHeight="1">
      <x:c r="A48" s="74" t="str">
        <x:f>IF(C48="","","EST-"&amp;TEXT(ROW()-5,"000"))</x:f>
      </x:c>
      <x:c r="B48" s="36"/>
      <x:c r="C48" s="36"/>
      <x:c r="D48" s="36"/>
      <x:c r="E48" s="36"/>
      <x:c r="F48" s="36"/>
      <x:c r="G48" s="74" t="str">
        <x:f>IF(OR(E48="",F48=""),"",(E48*2)+(6-F48))</x:f>
      </x:c>
      <x:c r="H48" s="74" t="str">
        <x:f>IF(G48="","",IF(G48&gt;=13,"Alta",IF(G48&gt;=9,"Media","Baja")))</x:f>
      </x:c>
      <x:c r="I48" s="36"/>
      <x:c r="J48" s="148"/>
      <x:c r="K48" s="36"/>
      <x:c r="L48" s="36"/>
    </x:row>
    <x:row r="49" ht="34" customHeight="1">
      <x:c r="A49" s="74" t="str">
        <x:f>IF(C49="","","EST-"&amp;TEXT(ROW()-5,"000"))</x:f>
      </x:c>
      <x:c r="B49" s="36"/>
      <x:c r="C49" s="36"/>
      <x:c r="D49" s="36"/>
      <x:c r="E49" s="36"/>
      <x:c r="F49" s="36"/>
      <x:c r="G49" s="74" t="str">
        <x:f>IF(OR(E49="",F49=""),"",(E49*2)+(6-F49))</x:f>
      </x:c>
      <x:c r="H49" s="74" t="str">
        <x:f>IF(G49="","",IF(G49&gt;=13,"Alta",IF(G49&gt;=9,"Media","Baja")))</x:f>
      </x:c>
      <x:c r="I49" s="36"/>
      <x:c r="J49" s="148"/>
      <x:c r="K49" s="36"/>
      <x:c r="L49" s="36"/>
    </x:row>
    <x:row r="50" ht="34" customHeight="1">
      <x:c r="A50" s="74" t="str">
        <x:f>IF(C50="","","EST-"&amp;TEXT(ROW()-5,"000"))</x:f>
      </x:c>
      <x:c r="B50" s="36"/>
      <x:c r="C50" s="36"/>
      <x:c r="D50" s="36"/>
      <x:c r="E50" s="36"/>
      <x:c r="F50" s="36"/>
      <x:c r="G50" s="74" t="str">
        <x:f>IF(OR(E50="",F50=""),"",(E50*2)+(6-F50))</x:f>
      </x:c>
      <x:c r="H50" s="74" t="str">
        <x:f>IF(G50="","",IF(G50&gt;=13,"Alta",IF(G50&gt;=9,"Media","Baja")))</x:f>
      </x:c>
      <x:c r="I50" s="36"/>
      <x:c r="J50" s="148"/>
      <x:c r="K50" s="36"/>
      <x:c r="L50" s="36"/>
    </x:row>
    <x:row r="51" ht="34" customHeight="1">
      <x:c r="A51" s="74" t="str">
        <x:f>IF(C51="","","EST-"&amp;TEXT(ROW()-5,"000"))</x:f>
      </x:c>
      <x:c r="B51" s="36"/>
      <x:c r="C51" s="36"/>
      <x:c r="D51" s="36"/>
      <x:c r="E51" s="36"/>
      <x:c r="F51" s="36"/>
      <x:c r="G51" s="74" t="str">
        <x:f>IF(OR(E51="",F51=""),"",(E51*2)+(6-F51))</x:f>
      </x:c>
      <x:c r="H51" s="74" t="str">
        <x:f>IF(G51="","",IF(G51&gt;=13,"Alta",IF(G51&gt;=9,"Media","Baja")))</x:f>
      </x:c>
      <x:c r="I51" s="36"/>
      <x:c r="J51" s="148"/>
      <x:c r="K51" s="36"/>
      <x:c r="L51" s="36"/>
    </x:row>
    <x:row r="52" ht="34" customHeight="1">
      <x:c r="A52" s="74" t="str">
        <x:f>IF(C52="","","EST-"&amp;TEXT(ROW()-5,"000"))</x:f>
      </x:c>
      <x:c r="B52" s="36"/>
      <x:c r="C52" s="36"/>
      <x:c r="D52" s="36"/>
      <x:c r="E52" s="36"/>
      <x:c r="F52" s="36"/>
      <x:c r="G52" s="74" t="str">
        <x:f>IF(OR(E52="",F52=""),"",(E52*2)+(6-F52))</x:f>
      </x:c>
      <x:c r="H52" s="74" t="str">
        <x:f>IF(G52="","",IF(G52&gt;=13,"Alta",IF(G52&gt;=9,"Media","Baja")))</x:f>
      </x:c>
      <x:c r="I52" s="36"/>
      <x:c r="J52" s="148"/>
      <x:c r="K52" s="36"/>
      <x:c r="L52" s="36"/>
    </x:row>
    <x:row r="53" ht="34" customHeight="1">
      <x:c r="A53" s="74" t="str">
        <x:f>IF(C53="","","EST-"&amp;TEXT(ROW()-5,"000"))</x:f>
      </x:c>
      <x:c r="B53" s="36"/>
      <x:c r="C53" s="36"/>
      <x:c r="D53" s="36"/>
      <x:c r="E53" s="36"/>
      <x:c r="F53" s="36"/>
      <x:c r="G53" s="74" t="str">
        <x:f>IF(OR(E53="",F53=""),"",(E53*2)+(6-F53))</x:f>
      </x:c>
      <x:c r="H53" s="74" t="str">
        <x:f>IF(G53="","",IF(G53&gt;=13,"Alta",IF(G53&gt;=9,"Media","Baja")))</x:f>
      </x:c>
      <x:c r="I53" s="36"/>
      <x:c r="J53" s="148"/>
      <x:c r="K53" s="36"/>
      <x:c r="L53" s="36"/>
    </x:row>
    <x:row r="54" ht="34" customHeight="1">
      <x:c r="A54" s="74" t="str">
        <x:f>IF(C54="","","EST-"&amp;TEXT(ROW()-5,"000"))</x:f>
      </x:c>
      <x:c r="B54" s="36"/>
      <x:c r="C54" s="36"/>
      <x:c r="D54" s="36"/>
      <x:c r="E54" s="36"/>
      <x:c r="F54" s="36"/>
      <x:c r="G54" s="74" t="str">
        <x:f>IF(OR(E54="",F54=""),"",(E54*2)+(6-F54))</x:f>
      </x:c>
      <x:c r="H54" s="74" t="str">
        <x:f>IF(G54="","",IF(G54&gt;=13,"Alta",IF(G54&gt;=9,"Media","Baja")))</x:f>
      </x:c>
      <x:c r="I54" s="36"/>
      <x:c r="J54" s="148"/>
      <x:c r="K54" s="36"/>
      <x:c r="L54" s="36"/>
    </x:row>
    <x:row r="55" ht="34" customHeight="1">
      <x:c r="A55" s="74" t="str">
        <x:f>IF(C55="","","EST-"&amp;TEXT(ROW()-5,"000"))</x:f>
      </x:c>
      <x:c r="B55" s="36"/>
      <x:c r="C55" s="36"/>
      <x:c r="D55" s="36"/>
      <x:c r="E55" s="36"/>
      <x:c r="F55" s="36"/>
      <x:c r="G55" s="74" t="str">
        <x:f>IF(OR(E55="",F55=""),"",(E55*2)+(6-F55))</x:f>
      </x:c>
      <x:c r="H55" s="74" t="str">
        <x:f>IF(G55="","",IF(G55&gt;=13,"Alta",IF(G55&gt;=9,"Media","Baja")))</x:f>
      </x:c>
      <x:c r="I55" s="36"/>
      <x:c r="J55" s="148"/>
      <x:c r="K55" s="36"/>
      <x:c r="L55" s="36"/>
    </x:row>
    <x:row r="56" ht="34" customHeight="1">
      <x:c r="A56" s="74" t="str">
        <x:f>IF(C56="","","EST-"&amp;TEXT(ROW()-5,"000"))</x:f>
      </x:c>
      <x:c r="B56" s="36"/>
      <x:c r="C56" s="36"/>
      <x:c r="D56" s="36"/>
      <x:c r="E56" s="36"/>
      <x:c r="F56" s="36"/>
      <x:c r="G56" s="74" t="str">
        <x:f>IF(OR(E56="",F56=""),"",(E56*2)+(6-F56))</x:f>
      </x:c>
      <x:c r="H56" s="74" t="str">
        <x:f>IF(G56="","",IF(G56&gt;=13,"Alta",IF(G56&gt;=9,"Media","Baja")))</x:f>
      </x:c>
      <x:c r="I56" s="36"/>
      <x:c r="J56" s="148"/>
      <x:c r="K56" s="36"/>
      <x:c r="L56" s="36"/>
    </x:row>
    <x:row r="57" ht="34" customHeight="1">
      <x:c r="A57" s="74" t="str">
        <x:f>IF(C57="","","EST-"&amp;TEXT(ROW()-5,"000"))</x:f>
      </x:c>
      <x:c r="B57" s="36"/>
      <x:c r="C57" s="36"/>
      <x:c r="D57" s="36"/>
      <x:c r="E57" s="36"/>
      <x:c r="F57" s="36"/>
      <x:c r="G57" s="74" t="str">
        <x:f>IF(OR(E57="",F57=""),"",(E57*2)+(6-F57))</x:f>
      </x:c>
      <x:c r="H57" s="74" t="str">
        <x:f>IF(G57="","",IF(G57&gt;=13,"Alta",IF(G57&gt;=9,"Media","Baja")))</x:f>
      </x:c>
      <x:c r="I57" s="36"/>
      <x:c r="J57" s="148"/>
      <x:c r="K57" s="36"/>
      <x:c r="L57" s="36"/>
    </x:row>
    <x:row r="58" ht="34" customHeight="1">
      <x:c r="A58" s="74" t="str">
        <x:f>IF(C58="","","EST-"&amp;TEXT(ROW()-5,"000"))</x:f>
      </x:c>
      <x:c r="B58" s="36"/>
      <x:c r="C58" s="36"/>
      <x:c r="D58" s="36"/>
      <x:c r="E58" s="36"/>
      <x:c r="F58" s="36"/>
      <x:c r="G58" s="74" t="str">
        <x:f>IF(OR(E58="",F58=""),"",(E58*2)+(6-F58))</x:f>
      </x:c>
      <x:c r="H58" s="74" t="str">
        <x:f>IF(G58="","",IF(G58&gt;=13,"Alta",IF(G58&gt;=9,"Media","Baja")))</x:f>
      </x:c>
      <x:c r="I58" s="36"/>
      <x:c r="J58" s="148"/>
      <x:c r="K58" s="36"/>
      <x:c r="L58" s="36"/>
    </x:row>
    <x:row r="59" ht="34" customHeight="1">
      <x:c r="A59" s="74" t="str">
        <x:f>IF(C59="","","EST-"&amp;TEXT(ROW()-5,"000"))</x:f>
      </x:c>
      <x:c r="B59" s="36"/>
      <x:c r="C59" s="36"/>
      <x:c r="D59" s="36"/>
      <x:c r="E59" s="36"/>
      <x:c r="F59" s="36"/>
      <x:c r="G59" s="74" t="str">
        <x:f>IF(OR(E59="",F59=""),"",(E59*2)+(6-F59))</x:f>
      </x:c>
      <x:c r="H59" s="74" t="str">
        <x:f>IF(G59="","",IF(G59&gt;=13,"Alta",IF(G59&gt;=9,"Media","Baja")))</x:f>
      </x:c>
      <x:c r="I59" s="36"/>
      <x:c r="J59" s="148"/>
      <x:c r="K59" s="36"/>
      <x:c r="L59" s="36"/>
    </x:row>
    <x:row r="60" ht="34" customHeight="1">
      <x:c r="A60" s="74" t="str">
        <x:f>IF(C60="","","EST-"&amp;TEXT(ROW()-5,"000"))</x:f>
      </x:c>
      <x:c r="B60" s="36"/>
      <x:c r="C60" s="36"/>
      <x:c r="D60" s="36"/>
      <x:c r="E60" s="36"/>
      <x:c r="F60" s="36"/>
      <x:c r="G60" s="74" t="str">
        <x:f>IF(OR(E60="",F60=""),"",(E60*2)+(6-F60))</x:f>
      </x:c>
      <x:c r="H60" s="74" t="str">
        <x:f>IF(G60="","",IF(G60&gt;=13,"Alta",IF(G60&gt;=9,"Media","Baja")))</x:f>
      </x:c>
      <x:c r="I60" s="36"/>
      <x:c r="J60" s="148"/>
      <x:c r="K60" s="36"/>
      <x:c r="L60" s="36"/>
    </x:row>
    <x:row r="61" ht="34" customHeight="1">
      <x:c r="A61" s="74" t="str">
        <x:f>IF(C61="","","EST-"&amp;TEXT(ROW()-5,"000"))</x:f>
      </x:c>
      <x:c r="B61" s="36"/>
      <x:c r="C61" s="36"/>
      <x:c r="D61" s="36"/>
      <x:c r="E61" s="36"/>
      <x:c r="F61" s="36"/>
      <x:c r="G61" s="74" t="str">
        <x:f>IF(OR(E61="",F61=""),"",(E61*2)+(6-F61))</x:f>
      </x:c>
      <x:c r="H61" s="74" t="str">
        <x:f>IF(G61="","",IF(G61&gt;=13,"Alta",IF(G61&gt;=9,"Media","Baja")))</x:f>
      </x:c>
      <x:c r="I61" s="36"/>
      <x:c r="J61" s="148"/>
      <x:c r="K61" s="36"/>
      <x:c r="L61" s="36"/>
    </x:row>
    <x:row r="62" ht="34" customHeight="1">
      <x:c r="A62" s="74" t="str">
        <x:f>IF(C62="","","EST-"&amp;TEXT(ROW()-5,"000"))</x:f>
      </x:c>
      <x:c r="B62" s="36"/>
      <x:c r="C62" s="36"/>
      <x:c r="D62" s="36"/>
      <x:c r="E62" s="36"/>
      <x:c r="F62" s="36"/>
      <x:c r="G62" s="74" t="str">
        <x:f>IF(OR(E62="",F62=""),"",(E62*2)+(6-F62))</x:f>
      </x:c>
      <x:c r="H62" s="74" t="str">
        <x:f>IF(G62="","",IF(G62&gt;=13,"Alta",IF(G62&gt;=9,"Media","Baja")))</x:f>
      </x:c>
      <x:c r="I62" s="36"/>
      <x:c r="J62" s="148"/>
      <x:c r="K62" s="36"/>
      <x:c r="L62" s="36"/>
    </x:row>
    <x:row r="63" ht="34" customHeight="1">
      <x:c r="A63" s="74" t="str">
        <x:f>IF(C63="","","EST-"&amp;TEXT(ROW()-5,"000"))</x:f>
      </x:c>
      <x:c r="B63" s="36"/>
      <x:c r="C63" s="36"/>
      <x:c r="D63" s="36"/>
      <x:c r="E63" s="36"/>
      <x:c r="F63" s="36"/>
      <x:c r="G63" s="74" t="str">
        <x:f>IF(OR(E63="",F63=""),"",(E63*2)+(6-F63))</x:f>
      </x:c>
      <x:c r="H63" s="74" t="str">
        <x:f>IF(G63="","",IF(G63&gt;=13,"Alta",IF(G63&gt;=9,"Media","Baja")))</x:f>
      </x:c>
      <x:c r="I63" s="36"/>
      <x:c r="J63" s="148"/>
      <x:c r="K63" s="36"/>
      <x:c r="L63" s="36"/>
    </x:row>
    <x:row r="64" ht="34" customHeight="1">
      <x:c r="A64" s="74" t="str">
        <x:f>IF(C64="","","EST-"&amp;TEXT(ROW()-5,"000"))</x:f>
      </x:c>
      <x:c r="B64" s="36"/>
      <x:c r="C64" s="36"/>
      <x:c r="D64" s="36"/>
      <x:c r="E64" s="36"/>
      <x:c r="F64" s="36"/>
      <x:c r="G64" s="74" t="str">
        <x:f>IF(OR(E64="",F64=""),"",(E64*2)+(6-F64))</x:f>
      </x:c>
      <x:c r="H64" s="74" t="str">
        <x:f>IF(G64="","",IF(G64&gt;=13,"Alta",IF(G64&gt;=9,"Media","Baja")))</x:f>
      </x:c>
      <x:c r="I64" s="36"/>
      <x:c r="J64" s="148"/>
      <x:c r="K64" s="36"/>
      <x:c r="L64" s="36"/>
    </x:row>
    <x:row r="65" ht="34" customHeight="1">
      <x:c r="A65" s="74" t="str">
        <x:f>IF(C65="","","EST-"&amp;TEXT(ROW()-5,"000"))</x:f>
      </x:c>
      <x:c r="B65" s="36"/>
      <x:c r="C65" s="36"/>
      <x:c r="D65" s="36"/>
      <x:c r="E65" s="36"/>
      <x:c r="F65" s="36"/>
      <x:c r="G65" s="74" t="str">
        <x:f>IF(OR(E65="",F65=""),"",(E65*2)+(6-F65))</x:f>
      </x:c>
      <x:c r="H65" s="74" t="str">
        <x:f>IF(G65="","",IF(G65&gt;=13,"Alta",IF(G65&gt;=9,"Media","Baja")))</x:f>
      </x:c>
      <x:c r="I65" s="36"/>
      <x:c r="J65" s="148"/>
      <x:c r="K65" s="36"/>
      <x:c r="L65" s="36"/>
    </x:row>
  </x:sheetData>
  <x:mergeCells>
    <x:mergeCell ref="A1:L1"/>
    <x:mergeCell ref="A2:L2"/>
  </x:mergeCells>
  <x:conditionalFormatting sqref="H6:H65">
    <x:cfRule type="expression" dxfId="3" priority="1">
      <x:formula>H6="Alta"</x:formula>
    </x:cfRule>
    <x:cfRule type="expression" dxfId="4" priority="2">
      <x:formula>H6="Media"</x:formula>
    </x:cfRule>
    <x:cfRule type="expression" dxfId="5" priority="3">
      <x:formula>H6="Baja"</x:formula>
    </x:cfRule>
  </x:conditionalFormatting>
  <x:dataValidations count="4">
    <x:dataValidation type="list" sqref="B6:B65">
      <x:formula1>'08 Catalogos'!$D$5:$D$8</x:formula1>
    </x:dataValidation>
    <x:dataValidation type="list" sqref="E6:F65">
      <x:formula1>'08 Catalogos'!$F$5:$F$9</x:formula1>
    </x:dataValidation>
    <x:dataValidation type="list" sqref="I6:I65">
      <x:formula1>'08 Catalogos'!$G$5:$G$10</x:formula1>
    </x:dataValidation>
    <x:dataValidation type="list" sqref="L6:L65">
      <x:formula1>'08 Catalogos'!$E$5:$E$9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0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2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32" customHeight="1">
      <x:c r="A1" s="8" t="str">
        <x:v>Plan de accion estrategico</x:v>
      </x:c>
    </x:row>
    <x:row r="2" ht="24" customHeight="1">
      <x:c r="A2" s="18" t="str">
        <x:v>Gestiona responsables, fechas, presupuesto, avance y alertas de cada accion.</x:v>
      </x:c>
    </x:row>
    <x:row r="5" ht="28" customHeight="1">
      <x:c r="A5" s="26" t="str">
        <x:v>ID</x:v>
      </x:c>
      <x:c r="B5" s="26" t="str">
        <x:v>Estrategia</x:v>
      </x:c>
      <x:c r="C5" s="26" t="str">
        <x:v>Accion</x:v>
      </x:c>
      <x:c r="D5" s="26" t="str">
        <x:v>Responsable</x:v>
      </x:c>
      <x:c r="E5" s="26" t="str">
        <x:v>Fecha inicio</x:v>
      </x:c>
      <x:c r="F5" s="26" t="str">
        <x:v>Fecha limite</x:v>
      </x:c>
      <x:c r="G5" s="26" t="str">
        <x:v>Estatus</x:v>
      </x:c>
      <x:c r="H5" s="26" t="str">
        <x:v>% Avance</x:v>
      </x:c>
      <x:c r="I5" s="26" t="str">
        <x:v>Presupuesto</x:v>
      </x:c>
      <x:c r="J5" s="26" t="str">
        <x:v>Real</x:v>
      </x:c>
      <x:c r="K5" s="26" t="str">
        <x:v>Variacion</x:v>
      </x:c>
      <x:c r="L5" s="26" t="str">
        <x:v>Dias restantes</x:v>
      </x:c>
      <x:c r="M5" s="26" t="str">
        <x:v>Alerta</x:v>
      </x:c>
    </x:row>
    <x:row r="6" ht="34" customHeight="1">
      <x:c r="A6" s="74" t="str">
        <x:f>IF(C6="","","ACT-"&amp;TEXT(ROW()-5,"000"))</x:f>
        <x:v>ACT-001</x:v>
      </x:c>
      <x:c r="B6" s="36" t="str">
        <x:v>EST-001</x:v>
      </x:c>
      <x:c r="C6" s="36" t="str">
        <x:v>Crear paquete comercial de soluciones digitales.</x:v>
      </x:c>
      <x:c r="D6" s="36" t="str">
        <x:v>Marketing</x:v>
      </x:c>
      <x:c r="E6" s="148" t="n">
        <x:v>46157</x:v>
      </x:c>
      <x:c r="F6" s="148" t="n">
        <x:v>46178</x:v>
      </x:c>
      <x:c r="G6" s="36" t="str">
        <x:v>En proceso</x:v>
      </x:c>
      <x:c r="H6" s="150" t="n">
        <x:v>0.45</x:v>
      </x:c>
      <x:c r="I6" s="152" t="n">
        <x:v>8000</x:v>
      </x:c>
      <x:c r="J6" s="152" t="n">
        <x:v>3500</x:v>
      </x:c>
      <x:c r="K6" s="153" t="n">
        <x:f>IF(OR(I6="",J6=""),"",J6-I6)</x:f>
        <x:v>-4500</x:v>
      </x:c>
      <x:c r="L6" s="74" t="n">
        <x:f>IF(F6="","",F6-TODAY())</x:f>
        <x:v>25</x:v>
      </x:c>
      <x:c r="M6" s="74" t="str">
        <x:f>IF(C6="","",IF(G6="Completada","Sano",IF(L6&lt;0,"Critico",IF(L6&lt;=7,"Atencion","Sano"))))</x:f>
        <x:v>Sano</x:v>
      </x:c>
    </x:row>
    <x:row r="7" ht="34" customHeight="1">
      <x:c r="A7" s="74" t="str">
        <x:f>IF(C7="","","ACT-"&amp;TEXT(ROW()-5,"000"))</x:f>
        <x:v>ACT-002</x:v>
      </x:c>
      <x:c r="B7" s="36" t="str">
        <x:v>EST-002</x:v>
      </x:c>
      <x:c r="C7" s="36" t="str">
        <x:v>Configurar tablero de seguimiento semanal de prospectos.</x:v>
      </x:c>
      <x:c r="D7" s="36" t="str">
        <x:v>Ventas</x:v>
      </x:c>
      <x:c r="E7" s="148" t="n">
        <x:v>46162</x:v>
      </x:c>
      <x:c r="F7" s="148" t="n">
        <x:v>46174</x:v>
      </x:c>
      <x:c r="G7" s="36" t="str">
        <x:v>No iniciada</x:v>
      </x:c>
      <x:c r="H7" s="150" t="n">
        <x:v>0</x:v>
      </x:c>
      <x:c r="I7" s="152" t="n">
        <x:v>2500</x:v>
      </x:c>
      <x:c r="J7" s="152" t="n">
        <x:v>0</x:v>
      </x:c>
      <x:c r="K7" s="153" t="str">
        <x:f>IF(OR(I7="",J7=""),"",J7-I7)</x:f>
      </x:c>
      <x:c r="L7" s="74" t="n">
        <x:f>IF(F7="","",F7-TODAY())</x:f>
        <x:v>21</x:v>
      </x:c>
      <x:c r="M7" s="74" t="str">
        <x:f>IF(C7="","",IF(G7="Completada","Sano",IF(L7&lt;0,"Critico",IF(L7&lt;=7,"Atencion","Sano"))))</x:f>
        <x:v>Sano</x:v>
      </x:c>
    </x:row>
    <x:row r="8" ht="34" customHeight="1">
      <x:c r="A8" s="74" t="str">
        <x:f>IF(C8="","","ACT-"&amp;TEXT(ROW()-5,"000"))</x:f>
        <x:v>ACT-003</x:v>
      </x:c>
      <x:c r="B8" s="36" t="str">
        <x:v>EST-003</x:v>
      </x:c>
      <x:c r="C8" s="36" t="str">
        <x:v>Redisenar propuesta de valor para diferenciar servicio.</x:v>
      </x:c>
      <x:c r="D8" s="36" t="str">
        <x:v>Direccion</x:v>
      </x:c>
      <x:c r="E8" s="148" t="n">
        <x:v>46164</x:v>
      </x:c>
      <x:c r="F8" s="148" t="n">
        <x:v>46185</x:v>
      </x:c>
      <x:c r="G8" s="36" t="str">
        <x:v>No iniciada</x:v>
      </x:c>
      <x:c r="H8" s="150" t="n">
        <x:v>0</x:v>
      </x:c>
      <x:c r="I8" s="152" t="n">
        <x:v>4000</x:v>
      </x:c>
      <x:c r="J8" s="152" t="n">
        <x:v>0</x:v>
      </x:c>
      <x:c r="K8" s="153" t="str">
        <x:f>IF(OR(I8="",J8=""),"",J8-I8)</x:f>
      </x:c>
      <x:c r="L8" s="74" t="n">
        <x:f>IF(F8="","",F8-TODAY())</x:f>
        <x:v>32</x:v>
      </x:c>
      <x:c r="M8" s="74" t="str">
        <x:f>IF(C8="","",IF(G8="Completada","Sano",IF(L8&lt;0,"Critico",IF(L8&lt;=7,"Atencion","Sano"))))</x:f>
        <x:v>Sano</x:v>
      </x:c>
    </x:row>
    <x:row r="9" ht="34" customHeight="1">
      <x:c r="A9" s="74" t="str">
        <x:f>IF(C9="","","ACT-"&amp;TEXT(ROW()-5,"000"))</x:f>
        <x:v>ACT-004</x:v>
      </x:c>
      <x:c r="B9" s="36" t="str">
        <x:v>EST-004</x:v>
      </x:c>
      <x:c r="C9" s="36" t="str">
        <x:v>Documentar procesos internos criticos.</x:v>
      </x:c>
      <x:c r="D9" s="36" t="str">
        <x:v>Operaciones</x:v>
      </x:c>
      <x:c r="E9" s="148" t="n">
        <x:v>46167</x:v>
      </x:c>
      <x:c r="F9" s="148" t="n">
        <x:v>46204</x:v>
      </x:c>
      <x:c r="G9" s="36" t="str">
        <x:v>No iniciada</x:v>
      </x:c>
      <x:c r="H9" s="150" t="n">
        <x:v>0</x:v>
      </x:c>
      <x:c r="I9" s="152" t="n">
        <x:v>5000</x:v>
      </x:c>
      <x:c r="J9" s="152" t="n">
        <x:v>0</x:v>
      </x:c>
      <x:c r="K9" s="153" t="str">
        <x:f>IF(OR(I9="",J9=""),"",J9-I9)</x:f>
      </x:c>
      <x:c r="L9" s="74" t="n">
        <x:f>IF(F9="","",F9-TODAY())</x:f>
        <x:v>51</x:v>
      </x:c>
      <x:c r="M9" s="74" t="str">
        <x:f>IF(C9="","",IF(G9="Completada","Sano",IF(L9&lt;0,"Critico",IF(L9&lt;=7,"Atencion","Sano"))))</x:f>
        <x:v>Sano</x:v>
      </x:c>
    </x:row>
    <x:row r="10" ht="34" customHeight="1">
      <x:c r="A10" s="74" t="str">
        <x:f>IF(C10="","","ACT-"&amp;TEXT(ROW()-5,"000"))</x:f>
      </x:c>
      <x:c r="B10" s="36"/>
      <x:c r="C10" s="36"/>
      <x:c r="D10" s="36"/>
      <x:c r="E10" s="148"/>
      <x:c r="F10" s="148"/>
      <x:c r="G10" s="36"/>
      <x:c r="H10" s="150"/>
      <x:c r="I10" s="152"/>
      <x:c r="J10" s="152"/>
      <x:c r="K10" s="153" t="str">
        <x:f>IF(OR(I10="",J10=""),"",J10-I10)</x:f>
      </x:c>
      <x:c r="L10" s="74" t="str">
        <x:f>IF(F10="","",F10-TODAY())</x:f>
      </x:c>
      <x:c r="M10" s="74" t="str">
        <x:f>IF(C10="","",IF(G10="Completada","Sano",IF(L10&lt;0,"Critico",IF(L10&lt;=7,"Atencion","Sano"))))</x:f>
      </x:c>
    </x:row>
    <x:row r="11" ht="34" customHeight="1">
      <x:c r="A11" s="74" t="str">
        <x:f>IF(C11="","","ACT-"&amp;TEXT(ROW()-5,"000"))</x:f>
      </x:c>
      <x:c r="B11" s="36"/>
      <x:c r="C11" s="36"/>
      <x:c r="D11" s="36"/>
      <x:c r="E11" s="148"/>
      <x:c r="F11" s="148"/>
      <x:c r="G11" s="36"/>
      <x:c r="H11" s="150"/>
      <x:c r="I11" s="152"/>
      <x:c r="J11" s="152"/>
      <x:c r="K11" s="153" t="str">
        <x:f>IF(OR(I11="",J11=""),"",J11-I11)</x:f>
      </x:c>
      <x:c r="L11" s="74" t="str">
        <x:f>IF(F11="","",F11-TODAY())</x:f>
      </x:c>
      <x:c r="M11" s="74" t="str">
        <x:f>IF(C11="","",IF(G11="Completada","Sano",IF(L11&lt;0,"Critico",IF(L11&lt;=7,"Atencion","Sano"))))</x:f>
      </x:c>
    </x:row>
    <x:row r="12" ht="34" customHeight="1">
      <x:c r="A12" s="74" t="str">
        <x:f>IF(C12="","","ACT-"&amp;TEXT(ROW()-5,"000"))</x:f>
      </x:c>
      <x:c r="B12" s="36"/>
      <x:c r="C12" s="36"/>
      <x:c r="D12" s="36"/>
      <x:c r="E12" s="148"/>
      <x:c r="F12" s="148"/>
      <x:c r="G12" s="36"/>
      <x:c r="H12" s="150"/>
      <x:c r="I12" s="152"/>
      <x:c r="J12" s="152"/>
      <x:c r="K12" s="153" t="str">
        <x:f>IF(OR(I12="",J12=""),"",J12-I12)</x:f>
      </x:c>
      <x:c r="L12" s="74" t="str">
        <x:f>IF(F12="","",F12-TODAY())</x:f>
      </x:c>
      <x:c r="M12" s="74" t="str">
        <x:f>IF(C12="","",IF(G12="Completada","Sano",IF(L12&lt;0,"Critico",IF(L12&lt;=7,"Atencion","Sano"))))</x:f>
      </x:c>
    </x:row>
    <x:row r="13" ht="34" customHeight="1">
      <x:c r="A13" s="74" t="str">
        <x:f>IF(C13="","","ACT-"&amp;TEXT(ROW()-5,"000"))</x:f>
      </x:c>
      <x:c r="B13" s="36"/>
      <x:c r="C13" s="36"/>
      <x:c r="D13" s="36"/>
      <x:c r="E13" s="148"/>
      <x:c r="F13" s="148"/>
      <x:c r="G13" s="36"/>
      <x:c r="H13" s="150"/>
      <x:c r="I13" s="152"/>
      <x:c r="J13" s="152"/>
      <x:c r="K13" s="153" t="str">
        <x:f>IF(OR(I13="",J13=""),"",J13-I13)</x:f>
      </x:c>
      <x:c r="L13" s="74" t="str">
        <x:f>IF(F13="","",F13-TODAY())</x:f>
      </x:c>
      <x:c r="M13" s="74" t="str">
        <x:f>IF(C13="","",IF(G13="Completada","Sano",IF(L13&lt;0,"Critico",IF(L13&lt;=7,"Atencion","Sano"))))</x:f>
      </x:c>
    </x:row>
    <x:row r="14" ht="34" customHeight="1">
      <x:c r="A14" s="74" t="str">
        <x:f>IF(C14="","","ACT-"&amp;TEXT(ROW()-5,"000"))</x:f>
      </x:c>
      <x:c r="B14" s="36"/>
      <x:c r="C14" s="36"/>
      <x:c r="D14" s="36"/>
      <x:c r="E14" s="148"/>
      <x:c r="F14" s="148"/>
      <x:c r="G14" s="36"/>
      <x:c r="H14" s="150"/>
      <x:c r="I14" s="152"/>
      <x:c r="J14" s="152"/>
      <x:c r="K14" s="153" t="str">
        <x:f>IF(OR(I14="",J14=""),"",J14-I14)</x:f>
      </x:c>
      <x:c r="L14" s="74" t="str">
        <x:f>IF(F14="","",F14-TODAY())</x:f>
      </x:c>
      <x:c r="M14" s="74" t="str">
        <x:f>IF(C14="","",IF(G14="Completada","Sano",IF(L14&lt;0,"Critico",IF(L14&lt;=7,"Atencion","Sano"))))</x:f>
      </x:c>
    </x:row>
    <x:row r="15" ht="34" customHeight="1">
      <x:c r="A15" s="74" t="str">
        <x:f>IF(C15="","","ACT-"&amp;TEXT(ROW()-5,"000"))</x:f>
      </x:c>
      <x:c r="B15" s="36"/>
      <x:c r="C15" s="36"/>
      <x:c r="D15" s="36"/>
      <x:c r="E15" s="148"/>
      <x:c r="F15" s="148"/>
      <x:c r="G15" s="36"/>
      <x:c r="H15" s="150"/>
      <x:c r="I15" s="152"/>
      <x:c r="J15" s="152"/>
      <x:c r="K15" s="153" t="str">
        <x:f>IF(OR(I15="",J15=""),"",J15-I15)</x:f>
      </x:c>
      <x:c r="L15" s="74" t="str">
        <x:f>IF(F15="","",F15-TODAY())</x:f>
      </x:c>
      <x:c r="M15" s="74" t="str">
        <x:f>IF(C15="","",IF(G15="Completada","Sano",IF(L15&lt;0,"Critico",IF(L15&lt;=7,"Atencion","Sano"))))</x:f>
      </x:c>
    </x:row>
    <x:row r="16" ht="34" customHeight="1">
      <x:c r="A16" s="74" t="str">
        <x:f>IF(C16="","","ACT-"&amp;TEXT(ROW()-5,"000"))</x:f>
      </x:c>
      <x:c r="B16" s="36"/>
      <x:c r="C16" s="36"/>
      <x:c r="D16" s="36"/>
      <x:c r="E16" s="148"/>
      <x:c r="F16" s="148"/>
      <x:c r="G16" s="36"/>
      <x:c r="H16" s="150"/>
      <x:c r="I16" s="152"/>
      <x:c r="J16" s="152"/>
      <x:c r="K16" s="153" t="str">
        <x:f>IF(OR(I16="",J16=""),"",J16-I16)</x:f>
      </x:c>
      <x:c r="L16" s="74" t="str">
        <x:f>IF(F16="","",F16-TODAY())</x:f>
      </x:c>
      <x:c r="M16" s="74" t="str">
        <x:f>IF(C16="","",IF(G16="Completada","Sano",IF(L16&lt;0,"Critico",IF(L16&lt;=7,"Atencion","Sano"))))</x:f>
      </x:c>
    </x:row>
    <x:row r="17" ht="34" customHeight="1">
      <x:c r="A17" s="74" t="str">
        <x:f>IF(C17="","","ACT-"&amp;TEXT(ROW()-5,"000"))</x:f>
      </x:c>
      <x:c r="B17" s="36"/>
      <x:c r="C17" s="36"/>
      <x:c r="D17" s="36"/>
      <x:c r="E17" s="148"/>
      <x:c r="F17" s="148"/>
      <x:c r="G17" s="36"/>
      <x:c r="H17" s="150"/>
      <x:c r="I17" s="152"/>
      <x:c r="J17" s="152"/>
      <x:c r="K17" s="153" t="str">
        <x:f>IF(OR(I17="",J17=""),"",J17-I17)</x:f>
      </x:c>
      <x:c r="L17" s="74" t="str">
        <x:f>IF(F17="","",F17-TODAY())</x:f>
      </x:c>
      <x:c r="M17" s="74" t="str">
        <x:f>IF(C17="","",IF(G17="Completada","Sano",IF(L17&lt;0,"Critico",IF(L17&lt;=7,"Atencion","Sano"))))</x:f>
      </x:c>
    </x:row>
    <x:row r="18" ht="34" customHeight="1">
      <x:c r="A18" s="74" t="str">
        <x:f>IF(C18="","","ACT-"&amp;TEXT(ROW()-5,"000"))</x:f>
      </x:c>
      <x:c r="B18" s="36"/>
      <x:c r="C18" s="36"/>
      <x:c r="D18" s="36"/>
      <x:c r="E18" s="148"/>
      <x:c r="F18" s="148"/>
      <x:c r="G18" s="36"/>
      <x:c r="H18" s="150"/>
      <x:c r="I18" s="152"/>
      <x:c r="J18" s="152"/>
      <x:c r="K18" s="153" t="str">
        <x:f>IF(OR(I18="",J18=""),"",J18-I18)</x:f>
      </x:c>
      <x:c r="L18" s="74" t="str">
        <x:f>IF(F18="","",F18-TODAY())</x:f>
      </x:c>
      <x:c r="M18" s="74" t="str">
        <x:f>IF(C18="","",IF(G18="Completada","Sano",IF(L18&lt;0,"Critico",IF(L18&lt;=7,"Atencion","Sano"))))</x:f>
      </x:c>
    </x:row>
    <x:row r="19" ht="34" customHeight="1">
      <x:c r="A19" s="74" t="str">
        <x:f>IF(C19="","","ACT-"&amp;TEXT(ROW()-5,"000"))</x:f>
      </x:c>
      <x:c r="B19" s="36"/>
      <x:c r="C19" s="36"/>
      <x:c r="D19" s="36"/>
      <x:c r="E19" s="148"/>
      <x:c r="F19" s="148"/>
      <x:c r="G19" s="36"/>
      <x:c r="H19" s="150"/>
      <x:c r="I19" s="152"/>
      <x:c r="J19" s="152"/>
      <x:c r="K19" s="153" t="str">
        <x:f>IF(OR(I19="",J19=""),"",J19-I19)</x:f>
      </x:c>
      <x:c r="L19" s="74" t="str">
        <x:f>IF(F19="","",F19-TODAY())</x:f>
      </x:c>
      <x:c r="M19" s="74" t="str">
        <x:f>IF(C19="","",IF(G19="Completada","Sano",IF(L19&lt;0,"Critico",IF(L19&lt;=7,"Atencion","Sano"))))</x:f>
      </x:c>
    </x:row>
    <x:row r="20" ht="34" customHeight="1">
      <x:c r="A20" s="74" t="str">
        <x:f>IF(C20="","","ACT-"&amp;TEXT(ROW()-5,"000"))</x:f>
      </x:c>
      <x:c r="B20" s="36"/>
      <x:c r="C20" s="36"/>
      <x:c r="D20" s="36"/>
      <x:c r="E20" s="148"/>
      <x:c r="F20" s="148"/>
      <x:c r="G20" s="36"/>
      <x:c r="H20" s="150"/>
      <x:c r="I20" s="152"/>
      <x:c r="J20" s="152"/>
      <x:c r="K20" s="153" t="str">
        <x:f>IF(OR(I20="",J20=""),"",J20-I20)</x:f>
      </x:c>
      <x:c r="L20" s="74" t="str">
        <x:f>IF(F20="","",F20-TODAY())</x:f>
      </x:c>
      <x:c r="M20" s="74" t="str">
        <x:f>IF(C20="","",IF(G20="Completada","Sano",IF(L20&lt;0,"Critico",IF(L20&lt;=7,"Atencion","Sano"))))</x:f>
      </x:c>
    </x:row>
    <x:row r="21" ht="34" customHeight="1">
      <x:c r="A21" s="74" t="str">
        <x:f>IF(C21="","","ACT-"&amp;TEXT(ROW()-5,"000"))</x:f>
      </x:c>
      <x:c r="B21" s="36"/>
      <x:c r="C21" s="36"/>
      <x:c r="D21" s="36"/>
      <x:c r="E21" s="148"/>
      <x:c r="F21" s="148"/>
      <x:c r="G21" s="36"/>
      <x:c r="H21" s="150"/>
      <x:c r="I21" s="152"/>
      <x:c r="J21" s="152"/>
      <x:c r="K21" s="153" t="str">
        <x:f>IF(OR(I21="",J21=""),"",J21-I21)</x:f>
      </x:c>
      <x:c r="L21" s="74" t="str">
        <x:f>IF(F21="","",F21-TODAY())</x:f>
      </x:c>
      <x:c r="M21" s="74" t="str">
        <x:f>IF(C21="","",IF(G21="Completada","Sano",IF(L21&lt;0,"Critico",IF(L21&lt;=7,"Atencion","Sano"))))</x:f>
      </x:c>
    </x:row>
    <x:row r="22" ht="34" customHeight="1">
      <x:c r="A22" s="74" t="str">
        <x:f>IF(C22="","","ACT-"&amp;TEXT(ROW()-5,"000"))</x:f>
      </x:c>
      <x:c r="B22" s="36"/>
      <x:c r="C22" s="36"/>
      <x:c r="D22" s="36"/>
      <x:c r="E22" s="148"/>
      <x:c r="F22" s="148"/>
      <x:c r="G22" s="36"/>
      <x:c r="H22" s="150"/>
      <x:c r="I22" s="152"/>
      <x:c r="J22" s="152"/>
      <x:c r="K22" s="153" t="str">
        <x:f>IF(OR(I22="",J22=""),"",J22-I22)</x:f>
      </x:c>
      <x:c r="L22" s="74" t="str">
        <x:f>IF(F22="","",F22-TODAY())</x:f>
      </x:c>
      <x:c r="M22" s="74" t="str">
        <x:f>IF(C22="","",IF(G22="Completada","Sano",IF(L22&lt;0,"Critico",IF(L22&lt;=7,"Atencion","Sano"))))</x:f>
      </x:c>
    </x:row>
    <x:row r="23" ht="34" customHeight="1">
      <x:c r="A23" s="74" t="str">
        <x:f>IF(C23="","","ACT-"&amp;TEXT(ROW()-5,"000"))</x:f>
      </x:c>
      <x:c r="B23" s="36"/>
      <x:c r="C23" s="36"/>
      <x:c r="D23" s="36"/>
      <x:c r="E23" s="148"/>
      <x:c r="F23" s="148"/>
      <x:c r="G23" s="36"/>
      <x:c r="H23" s="150"/>
      <x:c r="I23" s="152"/>
      <x:c r="J23" s="152"/>
      <x:c r="K23" s="153" t="str">
        <x:f>IF(OR(I23="",J23=""),"",J23-I23)</x:f>
      </x:c>
      <x:c r="L23" s="74" t="str">
        <x:f>IF(F23="","",F23-TODAY())</x:f>
      </x:c>
      <x:c r="M23" s="74" t="str">
        <x:f>IF(C23="","",IF(G23="Completada","Sano",IF(L23&lt;0,"Critico",IF(L23&lt;=7,"Atencion","Sano"))))</x:f>
      </x:c>
    </x:row>
    <x:row r="24" ht="34" customHeight="1">
      <x:c r="A24" s="74" t="str">
        <x:f>IF(C24="","","ACT-"&amp;TEXT(ROW()-5,"000"))</x:f>
      </x:c>
      <x:c r="B24" s="36"/>
      <x:c r="C24" s="36"/>
      <x:c r="D24" s="36"/>
      <x:c r="E24" s="148"/>
      <x:c r="F24" s="148"/>
      <x:c r="G24" s="36"/>
      <x:c r="H24" s="150"/>
      <x:c r="I24" s="152"/>
      <x:c r="J24" s="152"/>
      <x:c r="K24" s="153" t="str">
        <x:f>IF(OR(I24="",J24=""),"",J24-I24)</x:f>
      </x:c>
      <x:c r="L24" s="74" t="str">
        <x:f>IF(F24="","",F24-TODAY())</x:f>
      </x:c>
      <x:c r="M24" s="74" t="str">
        <x:f>IF(C24="","",IF(G24="Completada","Sano",IF(L24&lt;0,"Critico",IF(L24&lt;=7,"Atencion","Sano"))))</x:f>
      </x:c>
    </x:row>
    <x:row r="25" ht="34" customHeight="1">
      <x:c r="A25" s="74" t="str">
        <x:f>IF(C25="","","ACT-"&amp;TEXT(ROW()-5,"000"))</x:f>
      </x:c>
      <x:c r="B25" s="36"/>
      <x:c r="C25" s="36"/>
      <x:c r="D25" s="36"/>
      <x:c r="E25" s="148"/>
      <x:c r="F25" s="148"/>
      <x:c r="G25" s="36"/>
      <x:c r="H25" s="150"/>
      <x:c r="I25" s="152"/>
      <x:c r="J25" s="152"/>
      <x:c r="K25" s="153" t="str">
        <x:f>IF(OR(I25="",J25=""),"",J25-I25)</x:f>
      </x:c>
      <x:c r="L25" s="74" t="str">
        <x:f>IF(F25="","",F25-TODAY())</x:f>
      </x:c>
      <x:c r="M25" s="74" t="str">
        <x:f>IF(C25="","",IF(G25="Completada","Sano",IF(L25&lt;0,"Critico",IF(L25&lt;=7,"Atencion","Sano"))))</x:f>
      </x:c>
    </x:row>
    <x:row r="26" ht="34" customHeight="1">
      <x:c r="A26" s="74" t="str">
        <x:f>IF(C26="","","ACT-"&amp;TEXT(ROW()-5,"000"))</x:f>
      </x:c>
      <x:c r="B26" s="36"/>
      <x:c r="C26" s="36"/>
      <x:c r="D26" s="36"/>
      <x:c r="E26" s="148"/>
      <x:c r="F26" s="148"/>
      <x:c r="G26" s="36"/>
      <x:c r="H26" s="150"/>
      <x:c r="I26" s="152"/>
      <x:c r="J26" s="152"/>
      <x:c r="K26" s="153" t="str">
        <x:f>IF(OR(I26="",J26=""),"",J26-I26)</x:f>
      </x:c>
      <x:c r="L26" s="74" t="str">
        <x:f>IF(F26="","",F26-TODAY())</x:f>
      </x:c>
      <x:c r="M26" s="74" t="str">
        <x:f>IF(C26="","",IF(G26="Completada","Sano",IF(L26&lt;0,"Critico",IF(L26&lt;=7,"Atencion","Sano"))))</x:f>
      </x:c>
    </x:row>
    <x:row r="27" ht="34" customHeight="1">
      <x:c r="A27" s="74" t="str">
        <x:f>IF(C27="","","ACT-"&amp;TEXT(ROW()-5,"000"))</x:f>
      </x:c>
      <x:c r="B27" s="36"/>
      <x:c r="C27" s="36"/>
      <x:c r="D27" s="36"/>
      <x:c r="E27" s="148"/>
      <x:c r="F27" s="148"/>
      <x:c r="G27" s="36"/>
      <x:c r="H27" s="150"/>
      <x:c r="I27" s="152"/>
      <x:c r="J27" s="152"/>
      <x:c r="K27" s="153" t="str">
        <x:f>IF(OR(I27="",J27=""),"",J27-I27)</x:f>
      </x:c>
      <x:c r="L27" s="74" t="str">
        <x:f>IF(F27="","",F27-TODAY())</x:f>
      </x:c>
      <x:c r="M27" s="74" t="str">
        <x:f>IF(C27="","",IF(G27="Completada","Sano",IF(L27&lt;0,"Critico",IF(L27&lt;=7,"Atencion","Sano"))))</x:f>
      </x:c>
    </x:row>
    <x:row r="28" ht="34" customHeight="1">
      <x:c r="A28" s="74" t="str">
        <x:f>IF(C28="","","ACT-"&amp;TEXT(ROW()-5,"000"))</x:f>
      </x:c>
      <x:c r="B28" s="36"/>
      <x:c r="C28" s="36"/>
      <x:c r="D28" s="36"/>
      <x:c r="E28" s="148"/>
      <x:c r="F28" s="148"/>
      <x:c r="G28" s="36"/>
      <x:c r="H28" s="150"/>
      <x:c r="I28" s="152"/>
      <x:c r="J28" s="152"/>
      <x:c r="K28" s="153" t="str">
        <x:f>IF(OR(I28="",J28=""),"",J28-I28)</x:f>
      </x:c>
      <x:c r="L28" s="74" t="str">
        <x:f>IF(F28="","",F28-TODAY())</x:f>
      </x:c>
      <x:c r="M28" s="74" t="str">
        <x:f>IF(C28="","",IF(G28="Completada","Sano",IF(L28&lt;0,"Critico",IF(L28&lt;=7,"Atencion","Sano"))))</x:f>
      </x:c>
    </x:row>
    <x:row r="29" ht="34" customHeight="1">
      <x:c r="A29" s="74" t="str">
        <x:f>IF(C29="","","ACT-"&amp;TEXT(ROW()-5,"000"))</x:f>
      </x:c>
      <x:c r="B29" s="36"/>
      <x:c r="C29" s="36"/>
      <x:c r="D29" s="36"/>
      <x:c r="E29" s="148"/>
      <x:c r="F29" s="148"/>
      <x:c r="G29" s="36"/>
      <x:c r="H29" s="150"/>
      <x:c r="I29" s="152"/>
      <x:c r="J29" s="152"/>
      <x:c r="K29" s="153" t="str">
        <x:f>IF(OR(I29="",J29=""),"",J29-I29)</x:f>
      </x:c>
      <x:c r="L29" s="74" t="str">
        <x:f>IF(F29="","",F29-TODAY())</x:f>
      </x:c>
      <x:c r="M29" s="74" t="str">
        <x:f>IF(C29="","",IF(G29="Completada","Sano",IF(L29&lt;0,"Critico",IF(L29&lt;=7,"Atencion","Sano"))))</x:f>
      </x:c>
    </x:row>
    <x:row r="30" ht="34" customHeight="1">
      <x:c r="A30" s="74" t="str">
        <x:f>IF(C30="","","ACT-"&amp;TEXT(ROW()-5,"000"))</x:f>
      </x:c>
      <x:c r="B30" s="36"/>
      <x:c r="C30" s="36"/>
      <x:c r="D30" s="36"/>
      <x:c r="E30" s="148"/>
      <x:c r="F30" s="148"/>
      <x:c r="G30" s="36"/>
      <x:c r="H30" s="150"/>
      <x:c r="I30" s="152"/>
      <x:c r="J30" s="152"/>
      <x:c r="K30" s="153" t="str">
        <x:f>IF(OR(I30="",J30=""),"",J30-I30)</x:f>
      </x:c>
      <x:c r="L30" s="74" t="str">
        <x:f>IF(F30="","",F30-TODAY())</x:f>
      </x:c>
      <x:c r="M30" s="74" t="str">
        <x:f>IF(C30="","",IF(G30="Completada","Sano",IF(L30&lt;0,"Critico",IF(L30&lt;=7,"Atencion","Sano"))))</x:f>
      </x:c>
    </x:row>
    <x:row r="31" ht="34" customHeight="1">
      <x:c r="A31" s="74" t="str">
        <x:f>IF(C31="","","ACT-"&amp;TEXT(ROW()-5,"000"))</x:f>
      </x:c>
      <x:c r="B31" s="36"/>
      <x:c r="C31" s="36"/>
      <x:c r="D31" s="36"/>
      <x:c r="E31" s="148"/>
      <x:c r="F31" s="148"/>
      <x:c r="G31" s="36"/>
      <x:c r="H31" s="150"/>
      <x:c r="I31" s="152"/>
      <x:c r="J31" s="152"/>
      <x:c r="K31" s="153" t="str">
        <x:f>IF(OR(I31="",J31=""),"",J31-I31)</x:f>
      </x:c>
      <x:c r="L31" s="74" t="str">
        <x:f>IF(F31="","",F31-TODAY())</x:f>
      </x:c>
      <x:c r="M31" s="74" t="str">
        <x:f>IF(C31="","",IF(G31="Completada","Sano",IF(L31&lt;0,"Critico",IF(L31&lt;=7,"Atencion","Sano"))))</x:f>
      </x:c>
    </x:row>
    <x:row r="32" ht="34" customHeight="1">
      <x:c r="A32" s="74" t="str">
        <x:f>IF(C32="","","ACT-"&amp;TEXT(ROW()-5,"000"))</x:f>
      </x:c>
      <x:c r="B32" s="36"/>
      <x:c r="C32" s="36"/>
      <x:c r="D32" s="36"/>
      <x:c r="E32" s="148"/>
      <x:c r="F32" s="148"/>
      <x:c r="G32" s="36"/>
      <x:c r="H32" s="150"/>
      <x:c r="I32" s="152"/>
      <x:c r="J32" s="152"/>
      <x:c r="K32" s="153" t="str">
        <x:f>IF(OR(I32="",J32=""),"",J32-I32)</x:f>
      </x:c>
      <x:c r="L32" s="74" t="str">
        <x:f>IF(F32="","",F32-TODAY())</x:f>
      </x:c>
      <x:c r="M32" s="74" t="str">
        <x:f>IF(C32="","",IF(G32="Completada","Sano",IF(L32&lt;0,"Critico",IF(L32&lt;=7,"Atencion","Sano"))))</x:f>
      </x:c>
    </x:row>
    <x:row r="33" ht="34" customHeight="1">
      <x:c r="A33" s="74" t="str">
        <x:f>IF(C33="","","ACT-"&amp;TEXT(ROW()-5,"000"))</x:f>
      </x:c>
      <x:c r="B33" s="36"/>
      <x:c r="C33" s="36"/>
      <x:c r="D33" s="36"/>
      <x:c r="E33" s="148"/>
      <x:c r="F33" s="148"/>
      <x:c r="G33" s="36"/>
      <x:c r="H33" s="150"/>
      <x:c r="I33" s="152"/>
      <x:c r="J33" s="152"/>
      <x:c r="K33" s="153" t="str">
        <x:f>IF(OR(I33="",J33=""),"",J33-I33)</x:f>
      </x:c>
      <x:c r="L33" s="74" t="str">
        <x:f>IF(F33="","",F33-TODAY())</x:f>
      </x:c>
      <x:c r="M33" s="74" t="str">
        <x:f>IF(C33="","",IF(G33="Completada","Sano",IF(L33&lt;0,"Critico",IF(L33&lt;=7,"Atencion","Sano"))))</x:f>
      </x:c>
    </x:row>
    <x:row r="34" ht="34" customHeight="1">
      <x:c r="A34" s="74" t="str">
        <x:f>IF(C34="","","ACT-"&amp;TEXT(ROW()-5,"000"))</x:f>
      </x:c>
      <x:c r="B34" s="36"/>
      <x:c r="C34" s="36"/>
      <x:c r="D34" s="36"/>
      <x:c r="E34" s="148"/>
      <x:c r="F34" s="148"/>
      <x:c r="G34" s="36"/>
      <x:c r="H34" s="150"/>
      <x:c r="I34" s="152"/>
      <x:c r="J34" s="152"/>
      <x:c r="K34" s="153" t="str">
        <x:f>IF(OR(I34="",J34=""),"",J34-I34)</x:f>
      </x:c>
      <x:c r="L34" s="74" t="str">
        <x:f>IF(F34="","",F34-TODAY())</x:f>
      </x:c>
      <x:c r="M34" s="74" t="str">
        <x:f>IF(C34="","",IF(G34="Completada","Sano",IF(L34&lt;0,"Critico",IF(L34&lt;=7,"Atencion","Sano"))))</x:f>
      </x:c>
    </x:row>
    <x:row r="35" ht="34" customHeight="1">
      <x:c r="A35" s="74" t="str">
        <x:f>IF(C35="","","ACT-"&amp;TEXT(ROW()-5,"000"))</x:f>
      </x:c>
      <x:c r="B35" s="36"/>
      <x:c r="C35" s="36"/>
      <x:c r="D35" s="36"/>
      <x:c r="E35" s="148"/>
      <x:c r="F35" s="148"/>
      <x:c r="G35" s="36"/>
      <x:c r="H35" s="150"/>
      <x:c r="I35" s="152"/>
      <x:c r="J35" s="152"/>
      <x:c r="K35" s="153" t="str">
        <x:f>IF(OR(I35="",J35=""),"",J35-I35)</x:f>
      </x:c>
      <x:c r="L35" s="74" t="str">
        <x:f>IF(F35="","",F35-TODAY())</x:f>
      </x:c>
      <x:c r="M35" s="74" t="str">
        <x:f>IF(C35="","",IF(G35="Completada","Sano",IF(L35&lt;0,"Critico",IF(L35&lt;=7,"Atencion","Sano"))))</x:f>
      </x:c>
    </x:row>
    <x:row r="36" ht="34" customHeight="1">
      <x:c r="A36" s="74" t="str">
        <x:f>IF(C36="","","ACT-"&amp;TEXT(ROW()-5,"000"))</x:f>
      </x:c>
      <x:c r="B36" s="36"/>
      <x:c r="C36" s="36"/>
      <x:c r="D36" s="36"/>
      <x:c r="E36" s="148"/>
      <x:c r="F36" s="148"/>
      <x:c r="G36" s="36"/>
      <x:c r="H36" s="150"/>
      <x:c r="I36" s="152"/>
      <x:c r="J36" s="152"/>
      <x:c r="K36" s="153" t="str">
        <x:f>IF(OR(I36="",J36=""),"",J36-I36)</x:f>
      </x:c>
      <x:c r="L36" s="74" t="str">
        <x:f>IF(F36="","",F36-TODAY())</x:f>
      </x:c>
      <x:c r="M36" s="74" t="str">
        <x:f>IF(C36="","",IF(G36="Completada","Sano",IF(L36&lt;0,"Critico",IF(L36&lt;=7,"Atencion","Sano"))))</x:f>
      </x:c>
    </x:row>
    <x:row r="37" ht="34" customHeight="1">
      <x:c r="A37" s="74" t="str">
        <x:f>IF(C37="","","ACT-"&amp;TEXT(ROW()-5,"000"))</x:f>
      </x:c>
      <x:c r="B37" s="36"/>
      <x:c r="C37" s="36"/>
      <x:c r="D37" s="36"/>
      <x:c r="E37" s="148"/>
      <x:c r="F37" s="148"/>
      <x:c r="G37" s="36"/>
      <x:c r="H37" s="150"/>
      <x:c r="I37" s="152"/>
      <x:c r="J37" s="152"/>
      <x:c r="K37" s="153" t="str">
        <x:f>IF(OR(I37="",J37=""),"",J37-I37)</x:f>
      </x:c>
      <x:c r="L37" s="74" t="str">
        <x:f>IF(F37="","",F37-TODAY())</x:f>
      </x:c>
      <x:c r="M37" s="74" t="str">
        <x:f>IF(C37="","",IF(G37="Completada","Sano",IF(L37&lt;0,"Critico",IF(L37&lt;=7,"Atencion","Sano"))))</x:f>
      </x:c>
    </x:row>
    <x:row r="38" ht="34" customHeight="1">
      <x:c r="A38" s="74" t="str">
        <x:f>IF(C38="","","ACT-"&amp;TEXT(ROW()-5,"000"))</x:f>
      </x:c>
      <x:c r="B38" s="36"/>
      <x:c r="C38" s="36"/>
      <x:c r="D38" s="36"/>
      <x:c r="E38" s="148"/>
      <x:c r="F38" s="148"/>
      <x:c r="G38" s="36"/>
      <x:c r="H38" s="150"/>
      <x:c r="I38" s="152"/>
      <x:c r="J38" s="152"/>
      <x:c r="K38" s="153" t="str">
        <x:f>IF(OR(I38="",J38=""),"",J38-I38)</x:f>
      </x:c>
      <x:c r="L38" s="74" t="str">
        <x:f>IF(F38="","",F38-TODAY())</x:f>
      </x:c>
      <x:c r="M38" s="74" t="str">
        <x:f>IF(C38="","",IF(G38="Completada","Sano",IF(L38&lt;0,"Critico",IF(L38&lt;=7,"Atencion","Sano"))))</x:f>
      </x:c>
    </x:row>
    <x:row r="39" ht="34" customHeight="1">
      <x:c r="A39" s="74" t="str">
        <x:f>IF(C39="","","ACT-"&amp;TEXT(ROW()-5,"000"))</x:f>
      </x:c>
      <x:c r="B39" s="36"/>
      <x:c r="C39" s="36"/>
      <x:c r="D39" s="36"/>
      <x:c r="E39" s="148"/>
      <x:c r="F39" s="148"/>
      <x:c r="G39" s="36"/>
      <x:c r="H39" s="150"/>
      <x:c r="I39" s="152"/>
      <x:c r="J39" s="152"/>
      <x:c r="K39" s="153" t="str">
        <x:f>IF(OR(I39="",J39=""),"",J39-I39)</x:f>
      </x:c>
      <x:c r="L39" s="74" t="str">
        <x:f>IF(F39="","",F39-TODAY())</x:f>
      </x:c>
      <x:c r="M39" s="74" t="str">
        <x:f>IF(C39="","",IF(G39="Completada","Sano",IF(L39&lt;0,"Critico",IF(L39&lt;=7,"Atencion","Sano"))))</x:f>
      </x:c>
    </x:row>
    <x:row r="40" ht="34" customHeight="1">
      <x:c r="A40" s="74" t="str">
        <x:f>IF(C40="","","ACT-"&amp;TEXT(ROW()-5,"000"))</x:f>
      </x:c>
      <x:c r="B40" s="36"/>
      <x:c r="C40" s="36"/>
      <x:c r="D40" s="36"/>
      <x:c r="E40" s="148"/>
      <x:c r="F40" s="148"/>
      <x:c r="G40" s="36"/>
      <x:c r="H40" s="150"/>
      <x:c r="I40" s="152"/>
      <x:c r="J40" s="152"/>
      <x:c r="K40" s="153" t="str">
        <x:f>IF(OR(I40="",J40=""),"",J40-I40)</x:f>
      </x:c>
      <x:c r="L40" s="74" t="str">
        <x:f>IF(F40="","",F40-TODAY())</x:f>
      </x:c>
      <x:c r="M40" s="74" t="str">
        <x:f>IF(C40="","",IF(G40="Completada","Sano",IF(L40&lt;0,"Critico",IF(L40&lt;=7,"Atencion","Sano"))))</x:f>
      </x:c>
    </x:row>
    <x:row r="41" ht="34" customHeight="1">
      <x:c r="A41" s="74" t="str">
        <x:f>IF(C41="","","ACT-"&amp;TEXT(ROW()-5,"000"))</x:f>
      </x:c>
      <x:c r="B41" s="36"/>
      <x:c r="C41" s="36"/>
      <x:c r="D41" s="36"/>
      <x:c r="E41" s="148"/>
      <x:c r="F41" s="148"/>
      <x:c r="G41" s="36"/>
      <x:c r="H41" s="150"/>
      <x:c r="I41" s="152"/>
      <x:c r="J41" s="152"/>
      <x:c r="K41" s="153" t="str">
        <x:f>IF(OR(I41="",J41=""),"",J41-I41)</x:f>
      </x:c>
      <x:c r="L41" s="74" t="str">
        <x:f>IF(F41="","",F41-TODAY())</x:f>
      </x:c>
      <x:c r="M41" s="74" t="str">
        <x:f>IF(C41="","",IF(G41="Completada","Sano",IF(L41&lt;0,"Critico",IF(L41&lt;=7,"Atencion","Sano"))))</x:f>
      </x:c>
    </x:row>
    <x:row r="42" ht="34" customHeight="1">
      <x:c r="A42" s="74" t="str">
        <x:f>IF(C42="","","ACT-"&amp;TEXT(ROW()-5,"000"))</x:f>
      </x:c>
      <x:c r="B42" s="36"/>
      <x:c r="C42" s="36"/>
      <x:c r="D42" s="36"/>
      <x:c r="E42" s="148"/>
      <x:c r="F42" s="148"/>
      <x:c r="G42" s="36"/>
      <x:c r="H42" s="150"/>
      <x:c r="I42" s="152"/>
      <x:c r="J42" s="152"/>
      <x:c r="K42" s="153" t="str">
        <x:f>IF(OR(I42="",J42=""),"",J42-I42)</x:f>
      </x:c>
      <x:c r="L42" s="74" t="str">
        <x:f>IF(F42="","",F42-TODAY())</x:f>
      </x:c>
      <x:c r="M42" s="74" t="str">
        <x:f>IF(C42="","",IF(G42="Completada","Sano",IF(L42&lt;0,"Critico",IF(L42&lt;=7,"Atencion","Sano"))))</x:f>
      </x:c>
    </x:row>
    <x:row r="43" ht="34" customHeight="1">
      <x:c r="A43" s="74" t="str">
        <x:f>IF(C43="","","ACT-"&amp;TEXT(ROW()-5,"000"))</x:f>
      </x:c>
      <x:c r="B43" s="36"/>
      <x:c r="C43" s="36"/>
      <x:c r="D43" s="36"/>
      <x:c r="E43" s="148"/>
      <x:c r="F43" s="148"/>
      <x:c r="G43" s="36"/>
      <x:c r="H43" s="150"/>
      <x:c r="I43" s="152"/>
      <x:c r="J43" s="152"/>
      <x:c r="K43" s="153" t="str">
        <x:f>IF(OR(I43="",J43=""),"",J43-I43)</x:f>
      </x:c>
      <x:c r="L43" s="74" t="str">
        <x:f>IF(F43="","",F43-TODAY())</x:f>
      </x:c>
      <x:c r="M43" s="74" t="str">
        <x:f>IF(C43="","",IF(G43="Completada","Sano",IF(L43&lt;0,"Critico",IF(L43&lt;=7,"Atencion","Sano"))))</x:f>
      </x:c>
    </x:row>
    <x:row r="44" ht="34" customHeight="1">
      <x:c r="A44" s="74" t="str">
        <x:f>IF(C44="","","ACT-"&amp;TEXT(ROW()-5,"000"))</x:f>
      </x:c>
      <x:c r="B44" s="36"/>
      <x:c r="C44" s="36"/>
      <x:c r="D44" s="36"/>
      <x:c r="E44" s="148"/>
      <x:c r="F44" s="148"/>
      <x:c r="G44" s="36"/>
      <x:c r="H44" s="150"/>
      <x:c r="I44" s="152"/>
      <x:c r="J44" s="152"/>
      <x:c r="K44" s="153" t="str">
        <x:f>IF(OR(I44="",J44=""),"",J44-I44)</x:f>
      </x:c>
      <x:c r="L44" s="74" t="str">
        <x:f>IF(F44="","",F44-TODAY())</x:f>
      </x:c>
      <x:c r="M44" s="74" t="str">
        <x:f>IF(C44="","",IF(G44="Completada","Sano",IF(L44&lt;0,"Critico",IF(L44&lt;=7,"Atencion","Sano"))))</x:f>
      </x:c>
    </x:row>
    <x:row r="45" ht="34" customHeight="1">
      <x:c r="A45" s="74" t="str">
        <x:f>IF(C45="","","ACT-"&amp;TEXT(ROW()-5,"000"))</x:f>
      </x:c>
      <x:c r="B45" s="36"/>
      <x:c r="C45" s="36"/>
      <x:c r="D45" s="36"/>
      <x:c r="E45" s="148"/>
      <x:c r="F45" s="148"/>
      <x:c r="G45" s="36"/>
      <x:c r="H45" s="150"/>
      <x:c r="I45" s="152"/>
      <x:c r="J45" s="152"/>
      <x:c r="K45" s="153" t="str">
        <x:f>IF(OR(I45="",J45=""),"",J45-I45)</x:f>
      </x:c>
      <x:c r="L45" s="74" t="str">
        <x:f>IF(F45="","",F45-TODAY())</x:f>
      </x:c>
      <x:c r="M45" s="74" t="str">
        <x:f>IF(C45="","",IF(G45="Completada","Sano",IF(L45&lt;0,"Critico",IF(L45&lt;=7,"Atencion","Sano"))))</x:f>
      </x:c>
    </x:row>
    <x:row r="46" ht="34" customHeight="1">
      <x:c r="A46" s="74" t="str">
        <x:f>IF(C46="","","ACT-"&amp;TEXT(ROW()-5,"000"))</x:f>
      </x:c>
      <x:c r="B46" s="36"/>
      <x:c r="C46" s="36"/>
      <x:c r="D46" s="36"/>
      <x:c r="E46" s="148"/>
      <x:c r="F46" s="148"/>
      <x:c r="G46" s="36"/>
      <x:c r="H46" s="150"/>
      <x:c r="I46" s="152"/>
      <x:c r="J46" s="152"/>
      <x:c r="K46" s="153" t="str">
        <x:f>IF(OR(I46="",J46=""),"",J46-I46)</x:f>
      </x:c>
      <x:c r="L46" s="74" t="str">
        <x:f>IF(F46="","",F46-TODAY())</x:f>
      </x:c>
      <x:c r="M46" s="74" t="str">
        <x:f>IF(C46="","",IF(G46="Completada","Sano",IF(L46&lt;0,"Critico",IF(L46&lt;=7,"Atencion","Sano"))))</x:f>
      </x:c>
    </x:row>
    <x:row r="47" ht="34" customHeight="1">
      <x:c r="A47" s="74" t="str">
        <x:f>IF(C47="","","ACT-"&amp;TEXT(ROW()-5,"000"))</x:f>
      </x:c>
      <x:c r="B47" s="36"/>
      <x:c r="C47" s="36"/>
      <x:c r="D47" s="36"/>
      <x:c r="E47" s="148"/>
      <x:c r="F47" s="148"/>
      <x:c r="G47" s="36"/>
      <x:c r="H47" s="150"/>
      <x:c r="I47" s="152"/>
      <x:c r="J47" s="152"/>
      <x:c r="K47" s="153" t="str">
        <x:f>IF(OR(I47="",J47=""),"",J47-I47)</x:f>
      </x:c>
      <x:c r="L47" s="74" t="str">
        <x:f>IF(F47="","",F47-TODAY())</x:f>
      </x:c>
      <x:c r="M47" s="74" t="str">
        <x:f>IF(C47="","",IF(G47="Completada","Sano",IF(L47&lt;0,"Critico",IF(L47&lt;=7,"Atencion","Sano"))))</x:f>
      </x:c>
    </x:row>
    <x:row r="48" ht="34" customHeight="1">
      <x:c r="A48" s="74" t="str">
        <x:f>IF(C48="","","ACT-"&amp;TEXT(ROW()-5,"000"))</x:f>
      </x:c>
      <x:c r="B48" s="36"/>
      <x:c r="C48" s="36"/>
      <x:c r="D48" s="36"/>
      <x:c r="E48" s="148"/>
      <x:c r="F48" s="148"/>
      <x:c r="G48" s="36"/>
      <x:c r="H48" s="150"/>
      <x:c r="I48" s="152"/>
      <x:c r="J48" s="152"/>
      <x:c r="K48" s="153" t="str">
        <x:f>IF(OR(I48="",J48=""),"",J48-I48)</x:f>
      </x:c>
      <x:c r="L48" s="74" t="str">
        <x:f>IF(F48="","",F48-TODAY())</x:f>
      </x:c>
      <x:c r="M48" s="74" t="str">
        <x:f>IF(C48="","",IF(G48="Completada","Sano",IF(L48&lt;0,"Critico",IF(L48&lt;=7,"Atencion","Sano"))))</x:f>
      </x:c>
    </x:row>
    <x:row r="49" ht="34" customHeight="1">
      <x:c r="A49" s="74" t="str">
        <x:f>IF(C49="","","ACT-"&amp;TEXT(ROW()-5,"000"))</x:f>
      </x:c>
      <x:c r="B49" s="36"/>
      <x:c r="C49" s="36"/>
      <x:c r="D49" s="36"/>
      <x:c r="E49" s="148"/>
      <x:c r="F49" s="148"/>
      <x:c r="G49" s="36"/>
      <x:c r="H49" s="150"/>
      <x:c r="I49" s="152"/>
      <x:c r="J49" s="152"/>
      <x:c r="K49" s="153" t="str">
        <x:f>IF(OR(I49="",J49=""),"",J49-I49)</x:f>
      </x:c>
      <x:c r="L49" s="74" t="str">
        <x:f>IF(F49="","",F49-TODAY())</x:f>
      </x:c>
      <x:c r="M49" s="74" t="str">
        <x:f>IF(C49="","",IF(G49="Completada","Sano",IF(L49&lt;0,"Critico",IF(L49&lt;=7,"Atencion","Sano"))))</x:f>
      </x:c>
    </x:row>
    <x:row r="50" ht="34" customHeight="1">
      <x:c r="A50" s="74" t="str">
        <x:f>IF(C50="","","ACT-"&amp;TEXT(ROW()-5,"000"))</x:f>
      </x:c>
      <x:c r="B50" s="36"/>
      <x:c r="C50" s="36"/>
      <x:c r="D50" s="36"/>
      <x:c r="E50" s="148"/>
      <x:c r="F50" s="148"/>
      <x:c r="G50" s="36"/>
      <x:c r="H50" s="150"/>
      <x:c r="I50" s="152"/>
      <x:c r="J50" s="152"/>
      <x:c r="K50" s="153" t="str">
        <x:f>IF(OR(I50="",J50=""),"",J50-I50)</x:f>
      </x:c>
      <x:c r="L50" s="74" t="str">
        <x:f>IF(F50="","",F50-TODAY())</x:f>
      </x:c>
      <x:c r="M50" s="74" t="str">
        <x:f>IF(C50="","",IF(G50="Completada","Sano",IF(L50&lt;0,"Critico",IF(L50&lt;=7,"Atencion","Sano"))))</x:f>
      </x:c>
    </x:row>
    <x:row r="51" ht="34" customHeight="1">
      <x:c r="A51" s="74" t="str">
        <x:f>IF(C51="","","ACT-"&amp;TEXT(ROW()-5,"000"))</x:f>
      </x:c>
      <x:c r="B51" s="36"/>
      <x:c r="C51" s="36"/>
      <x:c r="D51" s="36"/>
      <x:c r="E51" s="148"/>
      <x:c r="F51" s="148"/>
      <x:c r="G51" s="36"/>
      <x:c r="H51" s="150"/>
      <x:c r="I51" s="152"/>
      <x:c r="J51" s="152"/>
      <x:c r="K51" s="153" t="str">
        <x:f>IF(OR(I51="",J51=""),"",J51-I51)</x:f>
      </x:c>
      <x:c r="L51" s="74" t="str">
        <x:f>IF(F51="","",F51-TODAY())</x:f>
      </x:c>
      <x:c r="M51" s="74" t="str">
        <x:f>IF(C51="","",IF(G51="Completada","Sano",IF(L51&lt;0,"Critico",IF(L51&lt;=7,"Atencion","Sano"))))</x:f>
      </x:c>
    </x:row>
    <x:row r="52" ht="34" customHeight="1">
      <x:c r="A52" s="74" t="str">
        <x:f>IF(C52="","","ACT-"&amp;TEXT(ROW()-5,"000"))</x:f>
      </x:c>
      <x:c r="B52" s="36"/>
      <x:c r="C52" s="36"/>
      <x:c r="D52" s="36"/>
      <x:c r="E52" s="148"/>
      <x:c r="F52" s="148"/>
      <x:c r="G52" s="36"/>
      <x:c r="H52" s="150"/>
      <x:c r="I52" s="152"/>
      <x:c r="J52" s="152"/>
      <x:c r="K52" s="153" t="str">
        <x:f>IF(OR(I52="",J52=""),"",J52-I52)</x:f>
      </x:c>
      <x:c r="L52" s="74" t="str">
        <x:f>IF(F52="","",F52-TODAY())</x:f>
      </x:c>
      <x:c r="M52" s="74" t="str">
        <x:f>IF(C52="","",IF(G52="Completada","Sano",IF(L52&lt;0,"Critico",IF(L52&lt;=7,"Atencion","Sano"))))</x:f>
      </x:c>
    </x:row>
    <x:row r="53" ht="34" customHeight="1">
      <x:c r="A53" s="74" t="str">
        <x:f>IF(C53="","","ACT-"&amp;TEXT(ROW()-5,"000"))</x:f>
      </x:c>
      <x:c r="B53" s="36"/>
      <x:c r="C53" s="36"/>
      <x:c r="D53" s="36"/>
      <x:c r="E53" s="148"/>
      <x:c r="F53" s="148"/>
      <x:c r="G53" s="36"/>
      <x:c r="H53" s="150"/>
      <x:c r="I53" s="152"/>
      <x:c r="J53" s="152"/>
      <x:c r="K53" s="153" t="str">
        <x:f>IF(OR(I53="",J53=""),"",J53-I53)</x:f>
      </x:c>
      <x:c r="L53" s="74" t="str">
        <x:f>IF(F53="","",F53-TODAY())</x:f>
      </x:c>
      <x:c r="M53" s="74" t="str">
        <x:f>IF(C53="","",IF(G53="Completada","Sano",IF(L53&lt;0,"Critico",IF(L53&lt;=7,"Atencion","Sano"))))</x:f>
      </x:c>
    </x:row>
    <x:row r="54" ht="34" customHeight="1">
      <x:c r="A54" s="74" t="str">
        <x:f>IF(C54="","","ACT-"&amp;TEXT(ROW()-5,"000"))</x:f>
      </x:c>
      <x:c r="B54" s="36"/>
      <x:c r="C54" s="36"/>
      <x:c r="D54" s="36"/>
      <x:c r="E54" s="148"/>
      <x:c r="F54" s="148"/>
      <x:c r="G54" s="36"/>
      <x:c r="H54" s="150"/>
      <x:c r="I54" s="152"/>
      <x:c r="J54" s="152"/>
      <x:c r="K54" s="153" t="str">
        <x:f>IF(OR(I54="",J54=""),"",J54-I54)</x:f>
      </x:c>
      <x:c r="L54" s="74" t="str">
        <x:f>IF(F54="","",F54-TODAY())</x:f>
      </x:c>
      <x:c r="M54" s="74" t="str">
        <x:f>IF(C54="","",IF(G54="Completada","Sano",IF(L54&lt;0,"Critico",IF(L54&lt;=7,"Atencion","Sano"))))</x:f>
      </x:c>
    </x:row>
    <x:row r="55" ht="34" customHeight="1">
      <x:c r="A55" s="74" t="str">
        <x:f>IF(C55="","","ACT-"&amp;TEXT(ROW()-5,"000"))</x:f>
      </x:c>
      <x:c r="B55" s="36"/>
      <x:c r="C55" s="36"/>
      <x:c r="D55" s="36"/>
      <x:c r="E55" s="148"/>
      <x:c r="F55" s="148"/>
      <x:c r="G55" s="36"/>
      <x:c r="H55" s="150"/>
      <x:c r="I55" s="152"/>
      <x:c r="J55" s="152"/>
      <x:c r="K55" s="153" t="str">
        <x:f>IF(OR(I55="",J55=""),"",J55-I55)</x:f>
      </x:c>
      <x:c r="L55" s="74" t="str">
        <x:f>IF(F55="","",F55-TODAY())</x:f>
      </x:c>
      <x:c r="M55" s="74" t="str">
        <x:f>IF(C55="","",IF(G55="Completada","Sano",IF(L55&lt;0,"Critico",IF(L55&lt;=7,"Atencion","Sano"))))</x:f>
      </x:c>
    </x:row>
    <x:row r="56" ht="34" customHeight="1">
      <x:c r="A56" s="74" t="str">
        <x:f>IF(C56="","","ACT-"&amp;TEXT(ROW()-5,"000"))</x:f>
      </x:c>
      <x:c r="B56" s="36"/>
      <x:c r="C56" s="36"/>
      <x:c r="D56" s="36"/>
      <x:c r="E56" s="148"/>
      <x:c r="F56" s="148"/>
      <x:c r="G56" s="36"/>
      <x:c r="H56" s="150"/>
      <x:c r="I56" s="152"/>
      <x:c r="J56" s="152"/>
      <x:c r="K56" s="153" t="str">
        <x:f>IF(OR(I56="",J56=""),"",J56-I56)</x:f>
      </x:c>
      <x:c r="L56" s="74" t="str">
        <x:f>IF(F56="","",F56-TODAY())</x:f>
      </x:c>
      <x:c r="M56" s="74" t="str">
        <x:f>IF(C56="","",IF(G56="Completada","Sano",IF(L56&lt;0,"Critico",IF(L56&lt;=7,"Atencion","Sano"))))</x:f>
      </x:c>
    </x:row>
    <x:row r="57" ht="34" customHeight="1">
      <x:c r="A57" s="74" t="str">
        <x:f>IF(C57="","","ACT-"&amp;TEXT(ROW()-5,"000"))</x:f>
      </x:c>
      <x:c r="B57" s="36"/>
      <x:c r="C57" s="36"/>
      <x:c r="D57" s="36"/>
      <x:c r="E57" s="148"/>
      <x:c r="F57" s="148"/>
      <x:c r="G57" s="36"/>
      <x:c r="H57" s="150"/>
      <x:c r="I57" s="152"/>
      <x:c r="J57" s="152"/>
      <x:c r="K57" s="153" t="str">
        <x:f>IF(OR(I57="",J57=""),"",J57-I57)</x:f>
      </x:c>
      <x:c r="L57" s="74" t="str">
        <x:f>IF(F57="","",F57-TODAY())</x:f>
      </x:c>
      <x:c r="M57" s="74" t="str">
        <x:f>IF(C57="","",IF(G57="Completada","Sano",IF(L57&lt;0,"Critico",IF(L57&lt;=7,"Atencion","Sano"))))</x:f>
      </x:c>
    </x:row>
    <x:row r="58" ht="34" customHeight="1">
      <x:c r="A58" s="74" t="str">
        <x:f>IF(C58="","","ACT-"&amp;TEXT(ROW()-5,"000"))</x:f>
      </x:c>
      <x:c r="B58" s="36"/>
      <x:c r="C58" s="36"/>
      <x:c r="D58" s="36"/>
      <x:c r="E58" s="148"/>
      <x:c r="F58" s="148"/>
      <x:c r="G58" s="36"/>
      <x:c r="H58" s="150"/>
      <x:c r="I58" s="152"/>
      <x:c r="J58" s="152"/>
      <x:c r="K58" s="153" t="str">
        <x:f>IF(OR(I58="",J58=""),"",J58-I58)</x:f>
      </x:c>
      <x:c r="L58" s="74" t="str">
        <x:f>IF(F58="","",F58-TODAY())</x:f>
      </x:c>
      <x:c r="M58" s="74" t="str">
        <x:f>IF(C58="","",IF(G58="Completada","Sano",IF(L58&lt;0,"Critico",IF(L58&lt;=7,"Atencion","Sano"))))</x:f>
      </x:c>
    </x:row>
    <x:row r="59" ht="34" customHeight="1">
      <x:c r="A59" s="74" t="str">
        <x:f>IF(C59="","","ACT-"&amp;TEXT(ROW()-5,"000"))</x:f>
      </x:c>
      <x:c r="B59" s="36"/>
      <x:c r="C59" s="36"/>
      <x:c r="D59" s="36"/>
      <x:c r="E59" s="148"/>
      <x:c r="F59" s="148"/>
      <x:c r="G59" s="36"/>
      <x:c r="H59" s="150"/>
      <x:c r="I59" s="152"/>
      <x:c r="J59" s="152"/>
      <x:c r="K59" s="153" t="str">
        <x:f>IF(OR(I59="",J59=""),"",J59-I59)</x:f>
      </x:c>
      <x:c r="L59" s="74" t="str">
        <x:f>IF(F59="","",F59-TODAY())</x:f>
      </x:c>
      <x:c r="M59" s="74" t="str">
        <x:f>IF(C59="","",IF(G59="Completada","Sano",IF(L59&lt;0,"Critico",IF(L59&lt;=7,"Atencion","Sano"))))</x:f>
      </x:c>
    </x:row>
    <x:row r="60" ht="34" customHeight="1">
      <x:c r="A60" s="74" t="str">
        <x:f>IF(C60="","","ACT-"&amp;TEXT(ROW()-5,"000"))</x:f>
      </x:c>
      <x:c r="B60" s="36"/>
      <x:c r="C60" s="36"/>
      <x:c r="D60" s="36"/>
      <x:c r="E60" s="148"/>
      <x:c r="F60" s="148"/>
      <x:c r="G60" s="36"/>
      <x:c r="H60" s="150"/>
      <x:c r="I60" s="152"/>
      <x:c r="J60" s="152"/>
      <x:c r="K60" s="153" t="str">
        <x:f>IF(OR(I60="",J60=""),"",J60-I60)</x:f>
      </x:c>
      <x:c r="L60" s="74" t="str">
        <x:f>IF(F60="","",F60-TODAY())</x:f>
      </x:c>
      <x:c r="M60" s="74" t="str">
        <x:f>IF(C60="","",IF(G60="Completada","Sano",IF(L60&lt;0,"Critico",IF(L60&lt;=7,"Atencion","Sano"))))</x:f>
      </x:c>
    </x:row>
    <x:row r="61" ht="34" customHeight="1">
      <x:c r="A61" s="74" t="str">
        <x:f>IF(C61="","","ACT-"&amp;TEXT(ROW()-5,"000"))</x:f>
      </x:c>
      <x:c r="B61" s="36"/>
      <x:c r="C61" s="36"/>
      <x:c r="D61" s="36"/>
      <x:c r="E61" s="148"/>
      <x:c r="F61" s="148"/>
      <x:c r="G61" s="36"/>
      <x:c r="H61" s="150"/>
      <x:c r="I61" s="152"/>
      <x:c r="J61" s="152"/>
      <x:c r="K61" s="153" t="str">
        <x:f>IF(OR(I61="",J61=""),"",J61-I61)</x:f>
      </x:c>
      <x:c r="L61" s="74" t="str">
        <x:f>IF(F61="","",F61-TODAY())</x:f>
      </x:c>
      <x:c r="M61" s="74" t="str">
        <x:f>IF(C61="","",IF(G61="Completada","Sano",IF(L61&lt;0,"Critico",IF(L61&lt;=7,"Atencion","Sano"))))</x:f>
      </x:c>
    </x:row>
    <x:row r="62" ht="34" customHeight="1">
      <x:c r="A62" s="74" t="str">
        <x:f>IF(C62="","","ACT-"&amp;TEXT(ROW()-5,"000"))</x:f>
      </x:c>
      <x:c r="B62" s="36"/>
      <x:c r="C62" s="36"/>
      <x:c r="D62" s="36"/>
      <x:c r="E62" s="148"/>
      <x:c r="F62" s="148"/>
      <x:c r="G62" s="36"/>
      <x:c r="H62" s="150"/>
      <x:c r="I62" s="152"/>
      <x:c r="J62" s="152"/>
      <x:c r="K62" s="153" t="str">
        <x:f>IF(OR(I62="",J62=""),"",J62-I62)</x:f>
      </x:c>
      <x:c r="L62" s="74" t="str">
        <x:f>IF(F62="","",F62-TODAY())</x:f>
      </x:c>
      <x:c r="M62" s="74" t="str">
        <x:f>IF(C62="","",IF(G62="Completada","Sano",IF(L62&lt;0,"Critico",IF(L62&lt;=7,"Atencion","Sano"))))</x:f>
      </x:c>
    </x:row>
    <x:row r="63" ht="34" customHeight="1">
      <x:c r="A63" s="74" t="str">
        <x:f>IF(C63="","","ACT-"&amp;TEXT(ROW()-5,"000"))</x:f>
      </x:c>
      <x:c r="B63" s="36"/>
      <x:c r="C63" s="36"/>
      <x:c r="D63" s="36"/>
      <x:c r="E63" s="148"/>
      <x:c r="F63" s="148"/>
      <x:c r="G63" s="36"/>
      <x:c r="H63" s="150"/>
      <x:c r="I63" s="152"/>
      <x:c r="J63" s="152"/>
      <x:c r="K63" s="153" t="str">
        <x:f>IF(OR(I63="",J63=""),"",J63-I63)</x:f>
      </x:c>
      <x:c r="L63" s="74" t="str">
        <x:f>IF(F63="","",F63-TODAY())</x:f>
      </x:c>
      <x:c r="M63" s="74" t="str">
        <x:f>IF(C63="","",IF(G63="Completada","Sano",IF(L63&lt;0,"Critico",IF(L63&lt;=7,"Atencion","Sano"))))</x:f>
      </x:c>
    </x:row>
    <x:row r="64" ht="34" customHeight="1">
      <x:c r="A64" s="74" t="str">
        <x:f>IF(C64="","","ACT-"&amp;TEXT(ROW()-5,"000"))</x:f>
      </x:c>
      <x:c r="B64" s="36"/>
      <x:c r="C64" s="36"/>
      <x:c r="D64" s="36"/>
      <x:c r="E64" s="148"/>
      <x:c r="F64" s="148"/>
      <x:c r="G64" s="36"/>
      <x:c r="H64" s="150"/>
      <x:c r="I64" s="152"/>
      <x:c r="J64" s="152"/>
      <x:c r="K64" s="153" t="str">
        <x:f>IF(OR(I64="",J64=""),"",J64-I64)</x:f>
      </x:c>
      <x:c r="L64" s="74" t="str">
        <x:f>IF(F64="","",F64-TODAY())</x:f>
      </x:c>
      <x:c r="M64" s="74" t="str">
        <x:f>IF(C64="","",IF(G64="Completada","Sano",IF(L64&lt;0,"Critico",IF(L64&lt;=7,"Atencion","Sano"))))</x:f>
      </x:c>
    </x:row>
    <x:row r="65" ht="34" customHeight="1">
      <x:c r="A65" s="74" t="str">
        <x:f>IF(C65="","","ACT-"&amp;TEXT(ROW()-5,"000"))</x:f>
      </x:c>
      <x:c r="B65" s="36"/>
      <x:c r="C65" s="36"/>
      <x:c r="D65" s="36"/>
      <x:c r="E65" s="148"/>
      <x:c r="F65" s="148"/>
      <x:c r="G65" s="36"/>
      <x:c r="H65" s="150"/>
      <x:c r="I65" s="152"/>
      <x:c r="J65" s="152"/>
      <x:c r="K65" s="153" t="str">
        <x:f>IF(OR(I65="",J65=""),"",J65-I65)</x:f>
      </x:c>
      <x:c r="L65" s="74" t="str">
        <x:f>IF(F65="","",F65-TODAY())</x:f>
      </x:c>
      <x:c r="M65" s="74" t="str">
        <x:f>IF(C65="","",IF(G65="Completada","Sano",IF(L65&lt;0,"Critico",IF(L65&lt;=7,"Atencion","Sano"))))</x:f>
      </x:c>
    </x:row>
    <x:row r="66" ht="34" customHeight="1">
      <x:c r="A66" s="74" t="str">
        <x:f>IF(C66="","","ACT-"&amp;TEXT(ROW()-5,"000"))</x:f>
      </x:c>
      <x:c r="B66" s="36"/>
      <x:c r="C66" s="36"/>
      <x:c r="D66" s="36"/>
      <x:c r="E66" s="148"/>
      <x:c r="F66" s="148"/>
      <x:c r="G66" s="36"/>
      <x:c r="H66" s="150"/>
      <x:c r="I66" s="152"/>
      <x:c r="J66" s="152"/>
      <x:c r="K66" s="153" t="str">
        <x:f>IF(OR(I66="",J66=""),"",J66-I66)</x:f>
      </x:c>
      <x:c r="L66" s="74" t="str">
        <x:f>IF(F66="","",F66-TODAY())</x:f>
      </x:c>
      <x:c r="M66" s="74" t="str">
        <x:f>IF(C66="","",IF(G66="Completada","Sano",IF(L66&lt;0,"Critico",IF(L66&lt;=7,"Atencion","Sano"))))</x:f>
      </x:c>
    </x:row>
    <x:row r="67" ht="34" customHeight="1">
      <x:c r="A67" s="74" t="str">
        <x:f>IF(C67="","","ACT-"&amp;TEXT(ROW()-5,"000"))</x:f>
      </x:c>
      <x:c r="B67" s="36"/>
      <x:c r="C67" s="36"/>
      <x:c r="D67" s="36"/>
      <x:c r="E67" s="148"/>
      <x:c r="F67" s="148"/>
      <x:c r="G67" s="36"/>
      <x:c r="H67" s="150"/>
      <x:c r="I67" s="152"/>
      <x:c r="J67" s="152"/>
      <x:c r="K67" s="153" t="str">
        <x:f>IF(OR(I67="",J67=""),"",J67-I67)</x:f>
      </x:c>
      <x:c r="L67" s="74" t="str">
        <x:f>IF(F67="","",F67-TODAY())</x:f>
      </x:c>
      <x:c r="M67" s="74" t="str">
        <x:f>IF(C67="","",IF(G67="Completada","Sano",IF(L67&lt;0,"Critico",IF(L67&lt;=7,"Atencion","Sano"))))</x:f>
      </x:c>
    </x:row>
    <x:row r="68" ht="34" customHeight="1">
      <x:c r="A68" s="74" t="str">
        <x:f>IF(C68="","","ACT-"&amp;TEXT(ROW()-5,"000"))</x:f>
      </x:c>
      <x:c r="B68" s="36"/>
      <x:c r="C68" s="36"/>
      <x:c r="D68" s="36"/>
      <x:c r="E68" s="148"/>
      <x:c r="F68" s="148"/>
      <x:c r="G68" s="36"/>
      <x:c r="H68" s="150"/>
      <x:c r="I68" s="152"/>
      <x:c r="J68" s="152"/>
      <x:c r="K68" s="153" t="str">
        <x:f>IF(OR(I68="",J68=""),"",J68-I68)</x:f>
      </x:c>
      <x:c r="L68" s="74" t="str">
        <x:f>IF(F68="","",F68-TODAY())</x:f>
      </x:c>
      <x:c r="M68" s="74" t="str">
        <x:f>IF(C68="","",IF(G68="Completada","Sano",IF(L68&lt;0,"Critico",IF(L68&lt;=7,"Atencion","Sano"))))</x:f>
      </x:c>
    </x:row>
    <x:row r="69" ht="34" customHeight="1">
      <x:c r="A69" s="74" t="str">
        <x:f>IF(C69="","","ACT-"&amp;TEXT(ROW()-5,"000"))</x:f>
      </x:c>
      <x:c r="B69" s="36"/>
      <x:c r="C69" s="36"/>
      <x:c r="D69" s="36"/>
      <x:c r="E69" s="148"/>
      <x:c r="F69" s="148"/>
      <x:c r="G69" s="36"/>
      <x:c r="H69" s="150"/>
      <x:c r="I69" s="152"/>
      <x:c r="J69" s="152"/>
      <x:c r="K69" s="153" t="str">
        <x:f>IF(OR(I69="",J69=""),"",J69-I69)</x:f>
      </x:c>
      <x:c r="L69" s="74" t="str">
        <x:f>IF(F69="","",F69-TODAY())</x:f>
      </x:c>
      <x:c r="M69" s="74" t="str">
        <x:f>IF(C69="","",IF(G69="Completada","Sano",IF(L69&lt;0,"Critico",IF(L69&lt;=7,"Atencion","Sano"))))</x:f>
      </x:c>
    </x:row>
    <x:row r="70" ht="34" customHeight="1">
      <x:c r="A70" s="74" t="str">
        <x:f>IF(C70="","","ACT-"&amp;TEXT(ROW()-5,"000"))</x:f>
      </x:c>
      <x:c r="B70" s="36"/>
      <x:c r="C70" s="36"/>
      <x:c r="D70" s="36"/>
      <x:c r="E70" s="148"/>
      <x:c r="F70" s="148"/>
      <x:c r="G70" s="36"/>
      <x:c r="H70" s="150"/>
      <x:c r="I70" s="152"/>
      <x:c r="J70" s="152"/>
      <x:c r="K70" s="153" t="str">
        <x:f>IF(OR(I70="",J70=""),"",J70-I70)</x:f>
      </x:c>
      <x:c r="L70" s="74" t="str">
        <x:f>IF(F70="","",F70-TODAY())</x:f>
      </x:c>
      <x:c r="M70" s="74" t="str">
        <x:f>IF(C70="","",IF(G70="Completada","Sano",IF(L70&lt;0,"Critico",IF(L70&lt;=7,"Atencion","Sano"))))</x:f>
      </x:c>
    </x:row>
    <x:row r="71" ht="34" customHeight="1">
      <x:c r="A71" s="74" t="str">
        <x:f>IF(C71="","","ACT-"&amp;TEXT(ROW()-5,"000"))</x:f>
      </x:c>
      <x:c r="B71" s="36"/>
      <x:c r="C71" s="36"/>
      <x:c r="D71" s="36"/>
      <x:c r="E71" s="148"/>
      <x:c r="F71" s="148"/>
      <x:c r="G71" s="36"/>
      <x:c r="H71" s="150"/>
      <x:c r="I71" s="152"/>
      <x:c r="J71" s="152"/>
      <x:c r="K71" s="153" t="str">
        <x:f>IF(OR(I71="",J71=""),"",J71-I71)</x:f>
      </x:c>
      <x:c r="L71" s="74" t="str">
        <x:f>IF(F71="","",F71-TODAY())</x:f>
      </x:c>
      <x:c r="M71" s="74" t="str">
        <x:f>IF(C71="","",IF(G71="Completada","Sano",IF(L71&lt;0,"Critico",IF(L71&lt;=7,"Atencion","Sano"))))</x:f>
      </x:c>
    </x:row>
    <x:row r="72" ht="34" customHeight="1">
      <x:c r="A72" s="74" t="str">
        <x:f>IF(C72="","","ACT-"&amp;TEXT(ROW()-5,"000"))</x:f>
      </x:c>
      <x:c r="B72" s="36"/>
      <x:c r="C72" s="36"/>
      <x:c r="D72" s="36"/>
      <x:c r="E72" s="148"/>
      <x:c r="F72" s="148"/>
      <x:c r="G72" s="36"/>
      <x:c r="H72" s="150"/>
      <x:c r="I72" s="152"/>
      <x:c r="J72" s="152"/>
      <x:c r="K72" s="153" t="str">
        <x:f>IF(OR(I72="",J72=""),"",J72-I72)</x:f>
      </x:c>
      <x:c r="L72" s="74" t="str">
        <x:f>IF(F72="","",F72-TODAY())</x:f>
      </x:c>
      <x:c r="M72" s="74" t="str">
        <x:f>IF(C72="","",IF(G72="Completada","Sano",IF(L72&lt;0,"Critico",IF(L72&lt;=7,"Atencion","Sano"))))</x:f>
      </x:c>
    </x:row>
    <x:row r="73" ht="34" customHeight="1">
      <x:c r="A73" s="74" t="str">
        <x:f>IF(C73="","","ACT-"&amp;TEXT(ROW()-5,"000"))</x:f>
      </x:c>
      <x:c r="B73" s="36"/>
      <x:c r="C73" s="36"/>
      <x:c r="D73" s="36"/>
      <x:c r="E73" s="148"/>
      <x:c r="F73" s="148"/>
      <x:c r="G73" s="36"/>
      <x:c r="H73" s="150"/>
      <x:c r="I73" s="152"/>
      <x:c r="J73" s="152"/>
      <x:c r="K73" s="153" t="str">
        <x:f>IF(OR(I73="",J73=""),"",J73-I73)</x:f>
      </x:c>
      <x:c r="L73" s="74" t="str">
        <x:f>IF(F73="","",F73-TODAY())</x:f>
      </x:c>
      <x:c r="M73" s="74" t="str">
        <x:f>IF(C73="","",IF(G73="Completada","Sano",IF(L73&lt;0,"Critico",IF(L73&lt;=7,"Atencion","Sano"))))</x:f>
      </x:c>
    </x:row>
    <x:row r="74" ht="34" customHeight="1">
      <x:c r="A74" s="74" t="str">
        <x:f>IF(C74="","","ACT-"&amp;TEXT(ROW()-5,"000"))</x:f>
      </x:c>
      <x:c r="B74" s="36"/>
      <x:c r="C74" s="36"/>
      <x:c r="D74" s="36"/>
      <x:c r="E74" s="148"/>
      <x:c r="F74" s="148"/>
      <x:c r="G74" s="36"/>
      <x:c r="H74" s="150"/>
      <x:c r="I74" s="152"/>
      <x:c r="J74" s="152"/>
      <x:c r="K74" s="153" t="str">
        <x:f>IF(OR(I74="",J74=""),"",J74-I74)</x:f>
      </x:c>
      <x:c r="L74" s="74" t="str">
        <x:f>IF(F74="","",F74-TODAY())</x:f>
      </x:c>
      <x:c r="M74" s="74" t="str">
        <x:f>IF(C74="","",IF(G74="Completada","Sano",IF(L74&lt;0,"Critico",IF(L74&lt;=7,"Atencion","Sano"))))</x:f>
      </x:c>
    </x:row>
    <x:row r="75" ht="34" customHeight="1">
      <x:c r="A75" s="74" t="str">
        <x:f>IF(C75="","","ACT-"&amp;TEXT(ROW()-5,"000"))</x:f>
      </x:c>
      <x:c r="B75" s="36"/>
      <x:c r="C75" s="36"/>
      <x:c r="D75" s="36"/>
      <x:c r="E75" s="148"/>
      <x:c r="F75" s="148"/>
      <x:c r="G75" s="36"/>
      <x:c r="H75" s="150"/>
      <x:c r="I75" s="152"/>
      <x:c r="J75" s="152"/>
      <x:c r="K75" s="153" t="str">
        <x:f>IF(OR(I75="",J75=""),"",J75-I75)</x:f>
      </x:c>
      <x:c r="L75" s="74" t="str">
        <x:f>IF(F75="","",F75-TODAY())</x:f>
      </x:c>
      <x:c r="M75" s="74" t="str">
        <x:f>IF(C75="","",IF(G75="Completada","Sano",IF(L75&lt;0,"Critico",IF(L75&lt;=7,"Atencion","Sano"))))</x:f>
      </x:c>
    </x:row>
    <x:row r="76" ht="34" customHeight="1">
      <x:c r="A76" s="74" t="str">
        <x:f>IF(C76="","","ACT-"&amp;TEXT(ROW()-5,"000"))</x:f>
      </x:c>
      <x:c r="B76" s="36"/>
      <x:c r="C76" s="36"/>
      <x:c r="D76" s="36"/>
      <x:c r="E76" s="148"/>
      <x:c r="F76" s="148"/>
      <x:c r="G76" s="36"/>
      <x:c r="H76" s="150"/>
      <x:c r="I76" s="152"/>
      <x:c r="J76" s="152"/>
      <x:c r="K76" s="153" t="str">
        <x:f>IF(OR(I76="",J76=""),"",J76-I76)</x:f>
      </x:c>
      <x:c r="L76" s="74" t="str">
        <x:f>IF(F76="","",F76-TODAY())</x:f>
      </x:c>
      <x:c r="M76" s="74" t="str">
        <x:f>IF(C76="","",IF(G76="Completada","Sano",IF(L76&lt;0,"Critico",IF(L76&lt;=7,"Atencion","Sano"))))</x:f>
      </x:c>
    </x:row>
    <x:row r="77" ht="34" customHeight="1">
      <x:c r="A77" s="74" t="str">
        <x:f>IF(C77="","","ACT-"&amp;TEXT(ROW()-5,"000"))</x:f>
      </x:c>
      <x:c r="B77" s="36"/>
      <x:c r="C77" s="36"/>
      <x:c r="D77" s="36"/>
      <x:c r="E77" s="148"/>
      <x:c r="F77" s="148"/>
      <x:c r="G77" s="36"/>
      <x:c r="H77" s="150"/>
      <x:c r="I77" s="152"/>
      <x:c r="J77" s="152"/>
      <x:c r="K77" s="153" t="str">
        <x:f>IF(OR(I77="",J77=""),"",J77-I77)</x:f>
      </x:c>
      <x:c r="L77" s="74" t="str">
        <x:f>IF(F77="","",F77-TODAY())</x:f>
      </x:c>
      <x:c r="M77" s="74" t="str">
        <x:f>IF(C77="","",IF(G77="Completada","Sano",IF(L77&lt;0,"Critico",IF(L77&lt;=7,"Atencion","Sano"))))</x:f>
      </x:c>
    </x:row>
    <x:row r="78" ht="34" customHeight="1">
      <x:c r="A78" s="74" t="str">
        <x:f>IF(C78="","","ACT-"&amp;TEXT(ROW()-5,"000"))</x:f>
      </x:c>
      <x:c r="B78" s="36"/>
      <x:c r="C78" s="36"/>
      <x:c r="D78" s="36"/>
      <x:c r="E78" s="148"/>
      <x:c r="F78" s="148"/>
      <x:c r="G78" s="36"/>
      <x:c r="H78" s="150"/>
      <x:c r="I78" s="152"/>
      <x:c r="J78" s="152"/>
      <x:c r="K78" s="153" t="str">
        <x:f>IF(OR(I78="",J78=""),"",J78-I78)</x:f>
      </x:c>
      <x:c r="L78" s="74" t="str">
        <x:f>IF(F78="","",F78-TODAY())</x:f>
      </x:c>
      <x:c r="M78" s="74" t="str">
        <x:f>IF(C78="","",IF(G78="Completada","Sano",IF(L78&lt;0,"Critico",IF(L78&lt;=7,"Atencion","Sano"))))</x:f>
      </x:c>
    </x:row>
    <x:row r="79" ht="34" customHeight="1">
      <x:c r="A79" s="74" t="str">
        <x:f>IF(C79="","","ACT-"&amp;TEXT(ROW()-5,"000"))</x:f>
      </x:c>
      <x:c r="B79" s="36"/>
      <x:c r="C79" s="36"/>
      <x:c r="D79" s="36"/>
      <x:c r="E79" s="148"/>
      <x:c r="F79" s="148"/>
      <x:c r="G79" s="36"/>
      <x:c r="H79" s="150"/>
      <x:c r="I79" s="152"/>
      <x:c r="J79" s="152"/>
      <x:c r="K79" s="153" t="str">
        <x:f>IF(OR(I79="",J79=""),"",J79-I79)</x:f>
      </x:c>
      <x:c r="L79" s="74" t="str">
        <x:f>IF(F79="","",F79-TODAY())</x:f>
      </x:c>
      <x:c r="M79" s="74" t="str">
        <x:f>IF(C79="","",IF(G79="Completada","Sano",IF(L79&lt;0,"Critico",IF(L79&lt;=7,"Atencion","Sano"))))</x:f>
      </x:c>
    </x:row>
    <x:row r="80" ht="34" customHeight="1">
      <x:c r="A80" s="74" t="str">
        <x:f>IF(C80="","","ACT-"&amp;TEXT(ROW()-5,"000"))</x:f>
      </x:c>
      <x:c r="B80" s="36"/>
      <x:c r="C80" s="36"/>
      <x:c r="D80" s="36"/>
      <x:c r="E80" s="148"/>
      <x:c r="F80" s="148"/>
      <x:c r="G80" s="36"/>
      <x:c r="H80" s="150"/>
      <x:c r="I80" s="152"/>
      <x:c r="J80" s="152"/>
      <x:c r="K80" s="153" t="str">
        <x:f>IF(OR(I80="",J80=""),"",J80-I80)</x:f>
      </x:c>
      <x:c r="L80" s="74" t="str">
        <x:f>IF(F80="","",F80-TODAY())</x:f>
      </x:c>
      <x:c r="M80" s="74" t="str">
        <x:f>IF(C80="","",IF(G80="Completada","Sano",IF(L80&lt;0,"Critico",IF(L80&lt;=7,"Atencion","Sano"))))</x:f>
      </x:c>
    </x:row>
    <x:row r="81" ht="34" customHeight="1">
      <x:c r="A81" s="74" t="str">
        <x:f>IF(C81="","","ACT-"&amp;TEXT(ROW()-5,"000"))</x:f>
      </x:c>
      <x:c r="B81" s="36"/>
      <x:c r="C81" s="36"/>
      <x:c r="D81" s="36"/>
      <x:c r="E81" s="148"/>
      <x:c r="F81" s="148"/>
      <x:c r="G81" s="36"/>
      <x:c r="H81" s="150"/>
      <x:c r="I81" s="152"/>
      <x:c r="J81" s="152"/>
      <x:c r="K81" s="153" t="str">
        <x:f>IF(OR(I81="",J81=""),"",J81-I81)</x:f>
      </x:c>
      <x:c r="L81" s="74" t="str">
        <x:f>IF(F81="","",F81-TODAY())</x:f>
      </x:c>
      <x:c r="M81" s="74" t="str">
        <x:f>IF(C81="","",IF(G81="Completada","Sano",IF(L81&lt;0,"Critico",IF(L81&lt;=7,"Atencion","Sano"))))</x:f>
      </x:c>
    </x:row>
    <x:row r="82" ht="34" customHeight="1">
      <x:c r="A82" s="74" t="str">
        <x:f>IF(C82="","","ACT-"&amp;TEXT(ROW()-5,"000"))</x:f>
      </x:c>
      <x:c r="B82" s="36"/>
      <x:c r="C82" s="36"/>
      <x:c r="D82" s="36"/>
      <x:c r="E82" s="148"/>
      <x:c r="F82" s="148"/>
      <x:c r="G82" s="36"/>
      <x:c r="H82" s="150"/>
      <x:c r="I82" s="152"/>
      <x:c r="J82" s="152"/>
      <x:c r="K82" s="153" t="str">
        <x:f>IF(OR(I82="",J82=""),"",J82-I82)</x:f>
      </x:c>
      <x:c r="L82" s="74" t="str">
        <x:f>IF(F82="","",F82-TODAY())</x:f>
      </x:c>
      <x:c r="M82" s="74" t="str">
        <x:f>IF(C82="","",IF(G82="Completada","Sano",IF(L82&lt;0,"Critico",IF(L82&lt;=7,"Atencion","Sano"))))</x:f>
      </x:c>
    </x:row>
    <x:row r="83" ht="34" customHeight="1">
      <x:c r="A83" s="74" t="str">
        <x:f>IF(C83="","","ACT-"&amp;TEXT(ROW()-5,"000"))</x:f>
      </x:c>
      <x:c r="B83" s="36"/>
      <x:c r="C83" s="36"/>
      <x:c r="D83" s="36"/>
      <x:c r="E83" s="148"/>
      <x:c r="F83" s="148"/>
      <x:c r="G83" s="36"/>
      <x:c r="H83" s="150"/>
      <x:c r="I83" s="152"/>
      <x:c r="J83" s="152"/>
      <x:c r="K83" s="153" t="str">
        <x:f>IF(OR(I83="",J83=""),"",J83-I83)</x:f>
      </x:c>
      <x:c r="L83" s="74" t="str">
        <x:f>IF(F83="","",F83-TODAY())</x:f>
      </x:c>
      <x:c r="M83" s="74" t="str">
        <x:f>IF(C83="","",IF(G83="Completada","Sano",IF(L83&lt;0,"Critico",IF(L83&lt;=7,"Atencion","Sano"))))</x:f>
      </x:c>
    </x:row>
    <x:row r="84" ht="34" customHeight="1">
      <x:c r="A84" s="74" t="str">
        <x:f>IF(C84="","","ACT-"&amp;TEXT(ROW()-5,"000"))</x:f>
      </x:c>
      <x:c r="B84" s="36"/>
      <x:c r="C84" s="36"/>
      <x:c r="D84" s="36"/>
      <x:c r="E84" s="148"/>
      <x:c r="F84" s="148"/>
      <x:c r="G84" s="36"/>
      <x:c r="H84" s="150"/>
      <x:c r="I84" s="152"/>
      <x:c r="J84" s="152"/>
      <x:c r="K84" s="153" t="str">
        <x:f>IF(OR(I84="",J84=""),"",J84-I84)</x:f>
      </x:c>
      <x:c r="L84" s="74" t="str">
        <x:f>IF(F84="","",F84-TODAY())</x:f>
      </x:c>
      <x:c r="M84" s="74" t="str">
        <x:f>IF(C84="","",IF(G84="Completada","Sano",IF(L84&lt;0,"Critico",IF(L84&lt;=7,"Atencion","Sano"))))</x:f>
      </x:c>
    </x:row>
    <x:row r="85" ht="34" customHeight="1">
      <x:c r="A85" s="74" t="str">
        <x:f>IF(C85="","","ACT-"&amp;TEXT(ROW()-5,"000"))</x:f>
      </x:c>
      <x:c r="B85" s="36"/>
      <x:c r="C85" s="36"/>
      <x:c r="D85" s="36"/>
      <x:c r="E85" s="148"/>
      <x:c r="F85" s="148"/>
      <x:c r="G85" s="36"/>
      <x:c r="H85" s="150"/>
      <x:c r="I85" s="152"/>
      <x:c r="J85" s="152"/>
      <x:c r="K85" s="153" t="str">
        <x:f>IF(OR(I85="",J85=""),"",J85-I85)</x:f>
      </x:c>
      <x:c r="L85" s="74" t="str">
        <x:f>IF(F85="","",F85-TODAY())</x:f>
      </x:c>
      <x:c r="M85" s="74" t="str">
        <x:f>IF(C85="","",IF(G85="Completada","Sano",IF(L85&lt;0,"Critico",IF(L85&lt;=7,"Atencion","Sano"))))</x:f>
      </x:c>
    </x:row>
    <x:row r="86" ht="34" customHeight="1">
      <x:c r="A86" s="74" t="str">
        <x:f>IF(C86="","","ACT-"&amp;TEXT(ROW()-5,"000"))</x:f>
      </x:c>
      <x:c r="B86" s="36"/>
      <x:c r="C86" s="36"/>
      <x:c r="D86" s="36"/>
      <x:c r="E86" s="148"/>
      <x:c r="F86" s="148"/>
      <x:c r="G86" s="36"/>
      <x:c r="H86" s="150"/>
      <x:c r="I86" s="152"/>
      <x:c r="J86" s="152"/>
      <x:c r="K86" s="153" t="str">
        <x:f>IF(OR(I86="",J86=""),"",J86-I86)</x:f>
      </x:c>
      <x:c r="L86" s="74" t="str">
        <x:f>IF(F86="","",F86-TODAY())</x:f>
      </x:c>
      <x:c r="M86" s="74" t="str">
        <x:f>IF(C86="","",IF(G86="Completada","Sano",IF(L86&lt;0,"Critico",IF(L86&lt;=7,"Atencion","Sano"))))</x:f>
      </x:c>
    </x:row>
    <x:row r="87" ht="34" customHeight="1">
      <x:c r="A87" s="74" t="str">
        <x:f>IF(C87="","","ACT-"&amp;TEXT(ROW()-5,"000"))</x:f>
      </x:c>
      <x:c r="B87" s="36"/>
      <x:c r="C87" s="36"/>
      <x:c r="D87" s="36"/>
      <x:c r="E87" s="148"/>
      <x:c r="F87" s="148"/>
      <x:c r="G87" s="36"/>
      <x:c r="H87" s="150"/>
      <x:c r="I87" s="152"/>
      <x:c r="J87" s="152"/>
      <x:c r="K87" s="153" t="str">
        <x:f>IF(OR(I87="",J87=""),"",J87-I87)</x:f>
      </x:c>
      <x:c r="L87" s="74" t="str">
        <x:f>IF(F87="","",F87-TODAY())</x:f>
      </x:c>
      <x:c r="M87" s="74" t="str">
        <x:f>IF(C87="","",IF(G87="Completada","Sano",IF(L87&lt;0,"Critico",IF(L87&lt;=7,"Atencion","Sano"))))</x:f>
      </x:c>
    </x:row>
    <x:row r="88" ht="34" customHeight="1">
      <x:c r="A88" s="74" t="str">
        <x:f>IF(C88="","","ACT-"&amp;TEXT(ROW()-5,"000"))</x:f>
      </x:c>
      <x:c r="B88" s="36"/>
      <x:c r="C88" s="36"/>
      <x:c r="D88" s="36"/>
      <x:c r="E88" s="148"/>
      <x:c r="F88" s="148"/>
      <x:c r="G88" s="36"/>
      <x:c r="H88" s="150"/>
      <x:c r="I88" s="152"/>
      <x:c r="J88" s="152"/>
      <x:c r="K88" s="153" t="str">
        <x:f>IF(OR(I88="",J88=""),"",J88-I88)</x:f>
      </x:c>
      <x:c r="L88" s="74" t="str">
        <x:f>IF(F88="","",F88-TODAY())</x:f>
      </x:c>
      <x:c r="M88" s="74" t="str">
        <x:f>IF(C88="","",IF(G88="Completada","Sano",IF(L88&lt;0,"Critico",IF(L88&lt;=7,"Atencion","Sano"))))</x:f>
      </x:c>
    </x:row>
    <x:row r="89" ht="34" customHeight="1">
      <x:c r="A89" s="74" t="str">
        <x:f>IF(C89="","","ACT-"&amp;TEXT(ROW()-5,"000"))</x:f>
      </x:c>
      <x:c r="B89" s="36"/>
      <x:c r="C89" s="36"/>
      <x:c r="D89" s="36"/>
      <x:c r="E89" s="148"/>
      <x:c r="F89" s="148"/>
      <x:c r="G89" s="36"/>
      <x:c r="H89" s="150"/>
      <x:c r="I89" s="152"/>
      <x:c r="J89" s="152"/>
      <x:c r="K89" s="153" t="str">
        <x:f>IF(OR(I89="",J89=""),"",J89-I89)</x:f>
      </x:c>
      <x:c r="L89" s="74" t="str">
        <x:f>IF(F89="","",F89-TODAY())</x:f>
      </x:c>
      <x:c r="M89" s="74" t="str">
        <x:f>IF(C89="","",IF(G89="Completada","Sano",IF(L89&lt;0,"Critico",IF(L89&lt;=7,"Atencion","Sano"))))</x:f>
      </x:c>
    </x:row>
    <x:row r="90" ht="34" customHeight="1">
      <x:c r="A90" s="74" t="str">
        <x:f>IF(C90="","","ACT-"&amp;TEXT(ROW()-5,"000"))</x:f>
      </x:c>
      <x:c r="B90" s="36"/>
      <x:c r="C90" s="36"/>
      <x:c r="D90" s="36"/>
      <x:c r="E90" s="148"/>
      <x:c r="F90" s="148"/>
      <x:c r="G90" s="36"/>
      <x:c r="H90" s="150"/>
      <x:c r="I90" s="152"/>
      <x:c r="J90" s="152"/>
      <x:c r="K90" s="153" t="str">
        <x:f>IF(OR(I90="",J90=""),"",J90-I90)</x:f>
      </x:c>
      <x:c r="L90" s="74" t="str">
        <x:f>IF(F90="","",F90-TODAY())</x:f>
      </x:c>
      <x:c r="M90" s="74" t="str">
        <x:f>IF(C90="","",IF(G90="Completada","Sano",IF(L90&lt;0,"Critico",IF(L90&lt;=7,"Atencion","Sano"))))</x:f>
      </x:c>
    </x:row>
    <x:row r="91" ht="34" customHeight="1">
      <x:c r="A91" s="74" t="str">
        <x:f>IF(C91="","","ACT-"&amp;TEXT(ROW()-5,"000"))</x:f>
      </x:c>
      <x:c r="B91" s="36"/>
      <x:c r="C91" s="36"/>
      <x:c r="D91" s="36"/>
      <x:c r="E91" s="148"/>
      <x:c r="F91" s="148"/>
      <x:c r="G91" s="36"/>
      <x:c r="H91" s="150"/>
      <x:c r="I91" s="152"/>
      <x:c r="J91" s="152"/>
      <x:c r="K91" s="153" t="str">
        <x:f>IF(OR(I91="",J91=""),"",J91-I91)</x:f>
      </x:c>
      <x:c r="L91" s="74" t="str">
        <x:f>IF(F91="","",F91-TODAY())</x:f>
      </x:c>
      <x:c r="M91" s="74" t="str">
        <x:f>IF(C91="","",IF(G91="Completada","Sano",IF(L91&lt;0,"Critico",IF(L91&lt;=7,"Atencion","Sano"))))</x:f>
      </x:c>
    </x:row>
    <x:row r="92" ht="34" customHeight="1">
      <x:c r="A92" s="74" t="str">
        <x:f>IF(C92="","","ACT-"&amp;TEXT(ROW()-5,"000"))</x:f>
      </x:c>
      <x:c r="B92" s="36"/>
      <x:c r="C92" s="36"/>
      <x:c r="D92" s="36"/>
      <x:c r="E92" s="148"/>
      <x:c r="F92" s="148"/>
      <x:c r="G92" s="36"/>
      <x:c r="H92" s="150"/>
      <x:c r="I92" s="152"/>
      <x:c r="J92" s="152"/>
      <x:c r="K92" s="153" t="str">
        <x:f>IF(OR(I92="",J92=""),"",J92-I92)</x:f>
      </x:c>
      <x:c r="L92" s="74" t="str">
        <x:f>IF(F92="","",F92-TODAY())</x:f>
      </x:c>
      <x:c r="M92" s="74" t="str">
        <x:f>IF(C92="","",IF(G92="Completada","Sano",IF(L92&lt;0,"Critico",IF(L92&lt;=7,"Atencion","Sano"))))</x:f>
      </x:c>
    </x:row>
    <x:row r="93" ht="34" customHeight="1">
      <x:c r="A93" s="74" t="str">
        <x:f>IF(C93="","","ACT-"&amp;TEXT(ROW()-5,"000"))</x:f>
      </x:c>
      <x:c r="B93" s="36"/>
      <x:c r="C93" s="36"/>
      <x:c r="D93" s="36"/>
      <x:c r="E93" s="148"/>
      <x:c r="F93" s="148"/>
      <x:c r="G93" s="36"/>
      <x:c r="H93" s="150"/>
      <x:c r="I93" s="152"/>
      <x:c r="J93" s="152"/>
      <x:c r="K93" s="153" t="str">
        <x:f>IF(OR(I93="",J93=""),"",J93-I93)</x:f>
      </x:c>
      <x:c r="L93" s="74" t="str">
        <x:f>IF(F93="","",F93-TODAY())</x:f>
      </x:c>
      <x:c r="M93" s="74" t="str">
        <x:f>IF(C93="","",IF(G93="Completada","Sano",IF(L93&lt;0,"Critico",IF(L93&lt;=7,"Atencion","Sano"))))</x:f>
      </x:c>
    </x:row>
    <x:row r="94" ht="34" customHeight="1">
      <x:c r="A94" s="74" t="str">
        <x:f>IF(C94="","","ACT-"&amp;TEXT(ROW()-5,"000"))</x:f>
      </x:c>
      <x:c r="B94" s="36"/>
      <x:c r="C94" s="36"/>
      <x:c r="D94" s="36"/>
      <x:c r="E94" s="148"/>
      <x:c r="F94" s="148"/>
      <x:c r="G94" s="36"/>
      <x:c r="H94" s="150"/>
      <x:c r="I94" s="152"/>
      <x:c r="J94" s="152"/>
      <x:c r="K94" s="153" t="str">
        <x:f>IF(OR(I94="",J94=""),"",J94-I94)</x:f>
      </x:c>
      <x:c r="L94" s="74" t="str">
        <x:f>IF(F94="","",F94-TODAY())</x:f>
      </x:c>
      <x:c r="M94" s="74" t="str">
        <x:f>IF(C94="","",IF(G94="Completada","Sano",IF(L94&lt;0,"Critico",IF(L94&lt;=7,"Atencion","Sano"))))</x:f>
      </x:c>
    </x:row>
    <x:row r="95" ht="34" customHeight="1">
      <x:c r="A95" s="74" t="str">
        <x:f>IF(C95="","","ACT-"&amp;TEXT(ROW()-5,"000"))</x:f>
      </x:c>
      <x:c r="B95" s="36"/>
      <x:c r="C95" s="36"/>
      <x:c r="D95" s="36"/>
      <x:c r="E95" s="148"/>
      <x:c r="F95" s="148"/>
      <x:c r="G95" s="36"/>
      <x:c r="H95" s="150"/>
      <x:c r="I95" s="152"/>
      <x:c r="J95" s="152"/>
      <x:c r="K95" s="153" t="str">
        <x:f>IF(OR(I95="",J95=""),"",J95-I95)</x:f>
      </x:c>
      <x:c r="L95" s="74" t="str">
        <x:f>IF(F95="","",F95-TODAY())</x:f>
      </x:c>
      <x:c r="M95" s="74" t="str">
        <x:f>IF(C95="","",IF(G95="Completada","Sano",IF(L95&lt;0,"Critico",IF(L95&lt;=7,"Atencion","Sano"))))</x:f>
      </x:c>
    </x:row>
    <x:row r="96" ht="34" customHeight="1">
      <x:c r="A96" s="74" t="str">
        <x:f>IF(C96="","","ACT-"&amp;TEXT(ROW()-5,"000"))</x:f>
      </x:c>
      <x:c r="B96" s="36"/>
      <x:c r="C96" s="36"/>
      <x:c r="D96" s="36"/>
      <x:c r="E96" s="148"/>
      <x:c r="F96" s="148"/>
      <x:c r="G96" s="36"/>
      <x:c r="H96" s="150"/>
      <x:c r="I96" s="152"/>
      <x:c r="J96" s="152"/>
      <x:c r="K96" s="153" t="str">
        <x:f>IF(OR(I96="",J96=""),"",J96-I96)</x:f>
      </x:c>
      <x:c r="L96" s="74" t="str">
        <x:f>IF(F96="","",F96-TODAY())</x:f>
      </x:c>
      <x:c r="M96" s="74" t="str">
        <x:f>IF(C96="","",IF(G96="Completada","Sano",IF(L96&lt;0,"Critico",IF(L96&lt;=7,"Atencion","Sano"))))</x:f>
      </x:c>
    </x:row>
    <x:row r="97" ht="34" customHeight="1">
      <x:c r="A97" s="74" t="str">
        <x:f>IF(C97="","","ACT-"&amp;TEXT(ROW()-5,"000"))</x:f>
      </x:c>
      <x:c r="B97" s="36"/>
      <x:c r="C97" s="36"/>
      <x:c r="D97" s="36"/>
      <x:c r="E97" s="148"/>
      <x:c r="F97" s="148"/>
      <x:c r="G97" s="36"/>
      <x:c r="H97" s="150"/>
      <x:c r="I97" s="152"/>
      <x:c r="J97" s="152"/>
      <x:c r="K97" s="153" t="str">
        <x:f>IF(OR(I97="",J97=""),"",J97-I97)</x:f>
      </x:c>
      <x:c r="L97" s="74" t="str">
        <x:f>IF(F97="","",F97-TODAY())</x:f>
      </x:c>
      <x:c r="M97" s="74" t="str">
        <x:f>IF(C97="","",IF(G97="Completada","Sano",IF(L97&lt;0,"Critico",IF(L97&lt;=7,"Atencion","Sano"))))</x:f>
      </x:c>
    </x:row>
    <x:row r="98" ht="34" customHeight="1">
      <x:c r="A98" s="74" t="str">
        <x:f>IF(C98="","","ACT-"&amp;TEXT(ROW()-5,"000"))</x:f>
      </x:c>
      <x:c r="B98" s="36"/>
      <x:c r="C98" s="36"/>
      <x:c r="D98" s="36"/>
      <x:c r="E98" s="148"/>
      <x:c r="F98" s="148"/>
      <x:c r="G98" s="36"/>
      <x:c r="H98" s="150"/>
      <x:c r="I98" s="152"/>
      <x:c r="J98" s="152"/>
      <x:c r="K98" s="153" t="str">
        <x:f>IF(OR(I98="",J98=""),"",J98-I98)</x:f>
      </x:c>
      <x:c r="L98" s="74" t="str">
        <x:f>IF(F98="","",F98-TODAY())</x:f>
      </x:c>
      <x:c r="M98" s="74" t="str">
        <x:f>IF(C98="","",IF(G98="Completada","Sano",IF(L98&lt;0,"Critico",IF(L98&lt;=7,"Atencion","Sano"))))</x:f>
      </x:c>
    </x:row>
    <x:row r="99" ht="34" customHeight="1">
      <x:c r="A99" s="74" t="str">
        <x:f>IF(C99="","","ACT-"&amp;TEXT(ROW()-5,"000"))</x:f>
      </x:c>
      <x:c r="B99" s="36"/>
      <x:c r="C99" s="36"/>
      <x:c r="D99" s="36"/>
      <x:c r="E99" s="148"/>
      <x:c r="F99" s="148"/>
      <x:c r="G99" s="36"/>
      <x:c r="H99" s="150"/>
      <x:c r="I99" s="152"/>
      <x:c r="J99" s="152"/>
      <x:c r="K99" s="153" t="str">
        <x:f>IF(OR(I99="",J99=""),"",J99-I99)</x:f>
      </x:c>
      <x:c r="L99" s="74" t="str">
        <x:f>IF(F99="","",F99-TODAY())</x:f>
      </x:c>
      <x:c r="M99" s="74" t="str">
        <x:f>IF(C99="","",IF(G99="Completada","Sano",IF(L99&lt;0,"Critico",IF(L99&lt;=7,"Atencion","Sano"))))</x:f>
      </x:c>
    </x:row>
    <x:row r="100" ht="34" customHeight="1">
      <x:c r="A100" s="74" t="str">
        <x:f>IF(C100="","","ACT-"&amp;TEXT(ROW()-5,"000"))</x:f>
      </x:c>
      <x:c r="B100" s="36"/>
      <x:c r="C100" s="36"/>
      <x:c r="D100" s="36"/>
      <x:c r="E100" s="148"/>
      <x:c r="F100" s="148"/>
      <x:c r="G100" s="36"/>
      <x:c r="H100" s="150"/>
      <x:c r="I100" s="152"/>
      <x:c r="J100" s="152"/>
      <x:c r="K100" s="153" t="str">
        <x:f>IF(OR(I100="",J100=""),"",J100-I100)</x:f>
      </x:c>
      <x:c r="L100" s="74" t="str">
        <x:f>IF(F100="","",F100-TODAY())</x:f>
      </x:c>
      <x:c r="M100" s="74" t="str">
        <x:f>IF(C100="","",IF(G100="Completada","Sano",IF(L100&lt;0,"Critico",IF(L100&lt;=7,"Atencion","Sano"))))</x:f>
      </x:c>
    </x:row>
    <x:row r="101" ht="34" customHeight="1">
      <x:c r="A101" s="74" t="str">
        <x:f>IF(C101="","","ACT-"&amp;TEXT(ROW()-5,"000"))</x:f>
      </x:c>
      <x:c r="B101" s="36"/>
      <x:c r="C101" s="36"/>
      <x:c r="D101" s="36"/>
      <x:c r="E101" s="148"/>
      <x:c r="F101" s="148"/>
      <x:c r="G101" s="36"/>
      <x:c r="H101" s="150"/>
      <x:c r="I101" s="152"/>
      <x:c r="J101" s="152"/>
      <x:c r="K101" s="153" t="str">
        <x:f>IF(OR(I101="",J101=""),"",J101-I101)</x:f>
      </x:c>
      <x:c r="L101" s="74" t="str">
        <x:f>IF(F101="","",F101-TODAY())</x:f>
      </x:c>
      <x:c r="M101" s="74" t="str">
        <x:f>IF(C101="","",IF(G101="Completada","Sano",IF(L101&lt;0,"Critico",IF(L101&lt;=7,"Atencion","Sano"))))</x:f>
      </x:c>
    </x:row>
    <x:row r="102" ht="34" customHeight="1">
      <x:c r="A102" s="74" t="str">
        <x:f>IF(C102="","","ACT-"&amp;TEXT(ROW()-5,"000"))</x:f>
      </x:c>
      <x:c r="B102" s="36"/>
      <x:c r="C102" s="36"/>
      <x:c r="D102" s="36"/>
      <x:c r="E102" s="148"/>
      <x:c r="F102" s="148"/>
      <x:c r="G102" s="36"/>
      <x:c r="H102" s="150"/>
      <x:c r="I102" s="152"/>
      <x:c r="J102" s="152"/>
      <x:c r="K102" s="153" t="str">
        <x:f>IF(OR(I102="",J102=""),"",J102-I102)</x:f>
      </x:c>
      <x:c r="L102" s="74" t="str">
        <x:f>IF(F102="","",F102-TODAY())</x:f>
      </x:c>
      <x:c r="M102" s="74" t="str">
        <x:f>IF(C102="","",IF(G102="Completada","Sano",IF(L102&lt;0,"Critico",IF(L102&lt;=7,"Atencion","Sano"))))</x:f>
      </x:c>
    </x:row>
    <x:row r="103" ht="34" customHeight="1">
      <x:c r="A103" s="74" t="str">
        <x:f>IF(C103="","","ACT-"&amp;TEXT(ROW()-5,"000"))</x:f>
      </x:c>
      <x:c r="B103" s="36"/>
      <x:c r="C103" s="36"/>
      <x:c r="D103" s="36"/>
      <x:c r="E103" s="148"/>
      <x:c r="F103" s="148"/>
      <x:c r="G103" s="36"/>
      <x:c r="H103" s="150"/>
      <x:c r="I103" s="152"/>
      <x:c r="J103" s="152"/>
      <x:c r="K103" s="153" t="str">
        <x:f>IF(OR(I103="",J103=""),"",J103-I103)</x:f>
      </x:c>
      <x:c r="L103" s="74" t="str">
        <x:f>IF(F103="","",F103-TODAY())</x:f>
      </x:c>
      <x:c r="M103" s="74" t="str">
        <x:f>IF(C103="","",IF(G103="Completada","Sano",IF(L103&lt;0,"Critico",IF(L103&lt;=7,"Atencion","Sano"))))</x:f>
      </x:c>
    </x:row>
    <x:row r="104" ht="34" customHeight="1">
      <x:c r="A104" s="74" t="str">
        <x:f>IF(C104="","","ACT-"&amp;TEXT(ROW()-5,"000"))</x:f>
      </x:c>
      <x:c r="B104" s="36"/>
      <x:c r="C104" s="36"/>
      <x:c r="D104" s="36"/>
      <x:c r="E104" s="148"/>
      <x:c r="F104" s="148"/>
      <x:c r="G104" s="36"/>
      <x:c r="H104" s="150"/>
      <x:c r="I104" s="152"/>
      <x:c r="J104" s="152"/>
      <x:c r="K104" s="153" t="str">
        <x:f>IF(OR(I104="",J104=""),"",J104-I104)</x:f>
      </x:c>
      <x:c r="L104" s="74" t="str">
        <x:f>IF(F104="","",F104-TODAY())</x:f>
      </x:c>
      <x:c r="M104" s="74" t="str">
        <x:f>IF(C104="","",IF(G104="Completada","Sano",IF(L104&lt;0,"Critico",IF(L104&lt;=7,"Atencion","Sano"))))</x:f>
      </x:c>
    </x:row>
    <x:row r="105" ht="34" customHeight="1">
      <x:c r="A105" s="74" t="str">
        <x:f>IF(C105="","","ACT-"&amp;TEXT(ROW()-5,"000"))</x:f>
      </x:c>
      <x:c r="B105" s="36"/>
      <x:c r="C105" s="36"/>
      <x:c r="D105" s="36"/>
      <x:c r="E105" s="148"/>
      <x:c r="F105" s="148"/>
      <x:c r="G105" s="36"/>
      <x:c r="H105" s="150"/>
      <x:c r="I105" s="152"/>
      <x:c r="J105" s="152"/>
      <x:c r="K105" s="153" t="str">
        <x:f>IF(OR(I105="",J105=""),"",J105-I105)</x:f>
      </x:c>
      <x:c r="L105" s="74" t="str">
        <x:f>IF(F105="","",F105-TODAY())</x:f>
      </x:c>
      <x:c r="M105" s="74" t="str">
        <x:f>IF(C105="","",IF(G105="Completada","Sano",IF(L105&lt;0,"Critico",IF(L105&lt;=7,"Atencion","Sano"))))</x:f>
      </x:c>
    </x:row>
  </x:sheetData>
  <x:mergeCells>
    <x:mergeCell ref="A1:M1"/>
    <x:mergeCell ref="A2:M2"/>
  </x:mergeCells>
  <x:conditionalFormatting sqref="M6:M105">
    <x:cfRule type="expression" dxfId="6" priority="1">
      <x:formula>M6="Critico"</x:formula>
    </x:cfRule>
    <x:cfRule type="expression" dxfId="7" priority="2">
      <x:formula>M6="Atencion"</x:formula>
    </x:cfRule>
    <x:cfRule type="expression" dxfId="8" priority="3">
      <x:formula>M6="Sano"</x:formula>
    </x:cfRule>
  </x:conditionalFormatting>
  <x:dataValidations count="2">
    <x:dataValidation type="list" sqref="D6:D105">
      <x:formula1>'08 Catalogos'!$G$5:$G$10</x:formula1>
    </x:dataValidation>
    <x:dataValidation type="list" sqref="G6:G105">
      <x:formula1>'08 Catalogos'!$E$5:$E$9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2" customHeight="1">
      <x:c r="A1" s="8" t="str">
        <x:v>Dashboard Ejecutivo FODA</x:v>
      </x:c>
    </x:row>
    <x:row r="2" ht="24" customHeight="1">
      <x:c r="A2" s="18" t="str">
        <x:v>KPIs automaticos para visualizar diagnostico, estrategias, acciones y alertas.</x:v>
      </x:c>
    </x:row>
    <x:row r="5">
      <x:c r="B5" s="22" t="str">
        <x:v>Factores</x:v>
      </x:c>
      <x:c r="D5" s="22" t="str">
        <x:v>Prioridad alta</x:v>
      </x:c>
      <x:c r="F5" s="22" t="str">
        <x:v>Estrategias</x:v>
      </x:c>
      <x:c r="H5" s="22" t="str">
        <x:v>Acciones pendientes</x:v>
      </x:c>
      <x:c r="J5" s="22" t="str">
        <x:v>Avance promedio</x:v>
      </x:c>
    </x:row>
    <x:row r="6">
      <x:c r="B6" s="160" t="n">
        <x:f>COUNTA('03 Diagnostico'!$B$6:$B$105)</x:f>
        <x:v>4</x:v>
      </x:c>
      <x:c r="D6" s="160" t="n">
        <x:f>COUNTIF('03 Diagnostico'!$H$6:$H$105,"Alta")</x:f>
        <x:v>3</x:v>
      </x:c>
      <x:c r="F6" s="160" t="n">
        <x:f>COUNTA('05 Estrategias'!$C$6:$C$65)</x:f>
        <x:v>4</x:v>
      </x:c>
      <x:c r="H6" s="160" t="n">
        <x:f>COUNTIFS('06 Plan Accion'!$G$6:$G$105,"&lt;&gt;Completada",'06 Plan Accion'!$C$6:$C$105,"&lt;&gt;")</x:f>
        <x:v>4</x:v>
      </x:c>
      <x:c r="J6" s="166" t="n">
        <x:f>IFERROR(AVERAGEIF('06 Plan Accion'!$C$6:$C$105,"&lt;&gt;",'06 Plan Accion'!$H$6:$H$105),0)</x:f>
        <x:v>0.1125</x:v>
      </x:c>
      <x:c r="K6" s="167"/>
    </x:row>
    <x:row r="7">
      <x:c r="J7" s="167"/>
      <x:c r="K7" s="167"/>
    </x:row>
    <x:row r="8">
      <x:c r="B8" s="164" t="str">
        <x:v>Registrados</x:v>
      </x:c>
      <x:c r="D8" s="164" t="str">
        <x:v>Atencion estrategica</x:v>
      </x:c>
      <x:c r="F8" s="164" t="str">
        <x:v>Definidas</x:v>
      </x:c>
      <x:c r="H8" s="164" t="str">
        <x:v>Por ejecutar</x:v>
      </x:c>
      <x:c r="J8" s="164" t="str">
        <x:v>Del plan</x:v>
      </x:c>
    </x:row>
    <x:row r="11" ht="28" customHeight="1">
      <x:c r="B11" s="26" t="str">
        <x:v>Cuadrante</x:v>
      </x:c>
      <x:c r="C11" s="26" t="str">
        <x:v>Cantidad</x:v>
      </x:c>
      <x:c r="E11" s="26" t="str">
        <x:v>Estatus</x:v>
      </x:c>
      <x:c r="F11" s="26" t="str">
        <x:v>Acciones</x:v>
      </x:c>
      <x:c r="H11" s="26" t="str">
        <x:v>Indicador</x:v>
      </x:c>
      <x:c r="I11" s="26" t="str">
        <x:v>Valor</x:v>
      </x:c>
    </x:row>
    <x:row r="12">
      <x:c r="B12" s="36" t="str">
        <x:v>Fortaleza</x:v>
      </x:c>
      <x:c r="C12" s="36" t="n">
        <x:f>COUNTIF('03 Diagnostico'!$C$6:$C$105,"Fortaleza")</x:f>
        <x:v>1</x:v>
      </x:c>
      <x:c r="E12" s="36" t="str">
        <x:v>No iniciada</x:v>
      </x:c>
      <x:c r="F12" s="36" t="n">
        <x:f>COUNTIF('06 Plan Accion'!$G$6:$G$105,"No iniciada")</x:f>
        <x:v>3</x:v>
      </x:c>
      <x:c r="H12" s="36" t="str">
        <x:v>Presupuesto total</x:v>
      </x:c>
      <x:c r="I12" s="152" t="n">
        <x:f>SUM('06 Plan Accion'!$I$6:$I$105)</x:f>
        <x:v>19500</x:v>
      </x:c>
    </x:row>
    <x:row r="13">
      <x:c r="B13" s="36" t="str">
        <x:v>Oportunidad</x:v>
      </x:c>
      <x:c r="C13" s="36" t="n">
        <x:f>COUNTIF('03 Diagnostico'!$C$6:$C$105,"Oportunidad")</x:f>
        <x:v>1</x:v>
      </x:c>
      <x:c r="E13" s="36" t="str">
        <x:v>En proceso</x:v>
      </x:c>
      <x:c r="F13" s="36" t="n">
        <x:f>COUNTIF('06 Plan Accion'!$G$6:$G$105,"En proceso")</x:f>
        <x:v>1</x:v>
      </x:c>
      <x:c r="H13" s="36" t="str">
        <x:v>Gasto real</x:v>
      </x:c>
      <x:c r="I13" s="152" t="n">
        <x:f>SUM('06 Plan Accion'!$J$6:$J$105)</x:f>
        <x:v>3500</x:v>
      </x:c>
    </x:row>
    <x:row r="14">
      <x:c r="B14" s="36" t="str">
        <x:v>Debilidad</x:v>
      </x:c>
      <x:c r="C14" s="36" t="n">
        <x:f>COUNTIF('03 Diagnostico'!$C$6:$C$105,"Debilidad")</x:f>
        <x:v>1</x:v>
      </x:c>
      <x:c r="E14" s="36" t="str">
        <x:v>Completada</x:v>
      </x:c>
      <x:c r="F14" s="36" t="n">
        <x:f>COUNTIF('06 Plan Accion'!$G$6:$G$105,"Completada")</x:f>
        <x:v>0</x:v>
      </x:c>
      <x:c r="H14" s="36" t="str">
        <x:v>Variacion total</x:v>
      </x:c>
      <x:c r="I14" s="152" t="n">
        <x:f>SUM('06 Plan Accion'!$K$6:$K$105)</x:f>
        <x:v>-4500</x:v>
      </x:c>
    </x:row>
    <x:row r="15">
      <x:c r="B15" s="36" t="str">
        <x:v>Amenaza</x:v>
      </x:c>
      <x:c r="C15" s="36" t="n">
        <x:f>COUNTIF('03 Diagnostico'!$C$6:$C$105,"Amenaza")</x:f>
        <x:v>1</x:v>
      </x:c>
      <x:c r="E15" s="36" t="str">
        <x:v>Atrasada</x:v>
      </x:c>
      <x:c r="F15" s="36" t="n">
        <x:f>COUNTIF('06 Plan Accion'!$G$6:$G$105,"Atrasada")</x:f>
        <x:v>0</x:v>
      </x:c>
      <x:c r="H15" s="36" t="str">
        <x:v>Acciones criticas</x:v>
      </x:c>
      <x:c r="I15" s="170" t="n">
        <x:f>COUNTIF('06 Plan Accion'!$M$6:$M$105,"Critico")</x:f>
        <x:v>0</x:v>
      </x:c>
    </x:row>
    <x:row r="16">
      <x:c r="E16" s="36" t="str">
        <x:v>En pausa</x:v>
      </x:c>
      <x:c r="F16" s="36" t="n">
        <x:f>COUNTIF('06 Plan Accion'!$G$6:$G$105,"En pausa")</x:f>
        <x:v>0</x:v>
      </x:c>
      <x:c r="H16" s="36" t="str">
        <x:v>Score promedio</x:v>
      </x:c>
      <x:c r="I16" s="170" t="n">
        <x:f>IFERROR(AVERAGE('03 Diagnostico'!$G$6:$G$105),0)</x:f>
        <x:v>18.25</x:v>
      </x:c>
    </x:row>
    <x:row r="19">
      <x:c r="B19" s="146" t="str">
        <x:v>LECTURA VISUAL DE CUADRANTES</x:v>
      </x:c>
      <x:c r="H19" s="146" t="str">
        <x:v>LECTURA EJECUTIVA AUTOMATICA</x:v>
      </x:c>
    </x:row>
    <x:row r="20">
      <x:c r="B20" s="174" t="str">
        <x:v>Fortaleza</x:v>
      </x:c>
      <x:c r="C20" s="174" t="str">
        <x:f>REPT("█",C12)</x:f>
        <x:v>█</x:v>
      </x:c>
      <x:c r="D20" s="174" t="str"/>
      <x:c r="E20" s="174" t="str"/>
      <x:c r="F20" s="174" t="str"/>
      <x:c r="H20" s="178" t="str">
        <x:f>IF(COUNTA('03 Diagnostico'!$B$6:$B$105)=0,"Aun no hay factores registrados. Llena la hoja Diagnostico para activar el analisis.","El diagnostico contiene "&amp;COUNTA('03 Diagnostico'!$B$6:$B$105)&amp;" factores, con "&amp;COUNTIF('03 Diagnostico'!$H$6:$H$105,"Alta")&amp;" de prioridad alta. Acciones criticas: "&amp;COUNTIF('06 Plan Accion'!$M$6:$M$105,"Critico")&amp;". Avance promedio del plan: "&amp;TEXT(IFERROR(AVERAGEIF('06 Plan Accion'!$C$6:$C$105,"&lt;&gt;",'06 Plan Accion'!$H$6:$H$105),0),"0%")&amp;".")</x:f>
        <x:v>El diagnostico contiene 4 factores, con 3 de prioridad alta. Acciones criticas: 0. Avance promedio del plan: 11%.</x:v>
      </x:c>
    </x:row>
    <x:row r="21">
      <x:c r="B21" s="174" t="str">
        <x:v>Oportunidad</x:v>
      </x:c>
      <x:c r="C21" s="174" t="str">
        <x:f>REPT("█",C13)</x:f>
        <x:v>█</x:v>
      </x:c>
      <x:c r="D21" s="174" t="str"/>
      <x:c r="E21" s="174" t="str"/>
      <x:c r="F21" s="174" t="str"/>
    </x:row>
    <x:row r="22">
      <x:c r="B22" s="174" t="str">
        <x:v>Debilidad</x:v>
      </x:c>
      <x:c r="C22" s="174" t="str">
        <x:f>REPT("█",C14)</x:f>
        <x:v>█</x:v>
      </x:c>
      <x:c r="D22" s="174" t="str"/>
      <x:c r="E22" s="174" t="str"/>
      <x:c r="F22" s="174" t="str"/>
    </x:row>
    <x:row r="23">
      <x:c r="B23" s="174" t="str">
        <x:v>Amenaza</x:v>
      </x:c>
      <x:c r="C23" s="174" t="str">
        <x:f>REPT("█",C15)</x:f>
        <x:v>█</x:v>
      </x:c>
      <x:c r="D23" s="174" t="str"/>
      <x:c r="E23" s="174" t="str"/>
      <x:c r="F23" s="174" t="str"/>
    </x:row>
  </x:sheetData>
  <x:mergeCells>
    <x:mergeCell ref="A1:L1"/>
    <x:mergeCell ref="A2:L2"/>
    <x:mergeCell ref="B5:C5"/>
    <x:mergeCell ref="B6:C7"/>
    <x:mergeCell ref="B8:C8"/>
    <x:mergeCell ref="D5:E5"/>
    <x:mergeCell ref="D6:E7"/>
    <x:mergeCell ref="D8:E8"/>
    <x:mergeCell ref="F5:G5"/>
    <x:mergeCell ref="F6:G7"/>
    <x:mergeCell ref="F8:G8"/>
    <x:mergeCell ref="H5:I5"/>
    <x:mergeCell ref="H6:I7"/>
    <x:mergeCell ref="H8:I8"/>
    <x:mergeCell ref="J5:K5"/>
    <x:mergeCell ref="J6:K7"/>
    <x:mergeCell ref="J8:K8"/>
    <x:mergeCell ref="B19:F19"/>
    <x:mergeCell ref="C20:F20"/>
    <x:mergeCell ref="C21:F21"/>
    <x:mergeCell ref="C22:F22"/>
    <x:mergeCell ref="C23:F23"/>
    <x:mergeCell ref="H19:K19"/>
    <x:mergeCell ref="H20:K2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4" hidden="0" customWidth="1"/>
    <x:col min="5" max="5" width="20" hidden="0" customWidth="1"/>
    <x:col min="6" max="6" width="16" hidden="0" customWidth="1"/>
    <x:col min="7" max="7" width="20" hidden="0" customWidth="1"/>
    <x:col min="8" max="8" width="20" hidden="0" customWidth="1"/>
  </x:cols>
  <x:sheetData>
    <x:row r="1" ht="32" customHeight="1">
      <x:c r="A1" s="8" t="str">
        <x:v>Catalogos</x:v>
      </x:c>
    </x:row>
    <x:row r="2" ht="24" customHeight="1">
      <x:c r="A2" s="18" t="str">
        <x:v>Listas usadas en los menus desplegables de la plantilla.</x:v>
      </x:c>
    </x:row>
    <x:row r="4" ht="28" customHeight="1">
      <x:c r="A4" s="26" t="str">
        <x:v>Cuadrante</x:v>
      </x:c>
      <x:c r="B4" s="26" t="str">
        <x:v>Prioridad</x:v>
      </x:c>
      <x:c r="C4" s="26" t="str">
        <x:v>Estado Factor</x:v>
      </x:c>
      <x:c r="D4" s="26" t="str">
        <x:v>Tipo Estrategia</x:v>
      </x:c>
      <x:c r="E4" s="26" t="str">
        <x:v>Estatus Accion</x:v>
      </x:c>
      <x:c r="F4" s="26" t="str">
        <x:v>Escala</x:v>
      </x:c>
      <x:c r="G4" s="26" t="str">
        <x:v>Areas</x:v>
      </x:c>
      <x:c r="H4" s="26" t="str">
        <x:v>Semaforo</x:v>
      </x:c>
    </x:row>
    <x:row r="5">
      <x:c r="A5" s="36" t="str">
        <x:v>Fortaleza</x:v>
      </x:c>
      <x:c r="B5" s="36" t="str">
        <x:v>Alta</x:v>
      </x:c>
      <x:c r="C5" s="36" t="str">
        <x:v>Detectado</x:v>
      </x:c>
      <x:c r="D5" s="36" t="str">
        <x:v>FO - Crecimiento</x:v>
      </x:c>
      <x:c r="E5" s="36" t="str">
        <x:v>No iniciada</x:v>
      </x:c>
      <x:c r="F5" s="36" t="n">
        <x:v>1</x:v>
      </x:c>
      <x:c r="G5" s="36" t="str">
        <x:v>Ventas</x:v>
      </x:c>
      <x:c r="H5" s="36" t="str">
        <x:v>Critico</x:v>
      </x:c>
    </x:row>
    <x:row r="6">
      <x:c r="A6" s="36" t="str">
        <x:v>Oportunidad</x:v>
      </x:c>
      <x:c r="B6" s="36" t="str">
        <x:v>Media</x:v>
      </x:c>
      <x:c r="C6" s="36" t="str">
        <x:v>En analisis</x:v>
      </x:c>
      <x:c r="D6" s="36" t="str">
        <x:v>DO - Mejora</x:v>
      </x:c>
      <x:c r="E6" s="36" t="str">
        <x:v>En proceso</x:v>
      </x:c>
      <x:c r="F6" s="36" t="n">
        <x:v>2</x:v>
      </x:c>
      <x:c r="G6" s="36" t="str">
        <x:v>Operaciones</x:v>
      </x:c>
      <x:c r="H6" s="36" t="str">
        <x:v>Atencion</x:v>
      </x:c>
    </x:row>
    <x:row r="7">
      <x:c r="A7" s="36" t="str">
        <x:v>Debilidad</x:v>
      </x:c>
      <x:c r="B7" s="36" t="str">
        <x:v>Baja</x:v>
      </x:c>
      <x:c r="C7" s="36" t="str">
        <x:v>Validado</x:v>
      </x:c>
      <x:c r="D7" s="36" t="str">
        <x:v>FA - Defensa</x:v>
      </x:c>
      <x:c r="E7" s="36" t="str">
        <x:v>Completada</x:v>
      </x:c>
      <x:c r="F7" s="36" t="n">
        <x:v>3</x:v>
      </x:c>
      <x:c r="G7" s="36" t="str">
        <x:v>Finanzas</x:v>
      </x:c>
      <x:c r="H7" s="36" t="str">
        <x:v>Sano</x:v>
      </x:c>
    </x:row>
    <x:row r="8">
      <x:c r="A8" s="36" t="str">
        <x:v>Amenaza</x:v>
      </x:c>
      <x:c r="B8" s="36"/>
      <x:c r="C8" s="36" t="str">
        <x:v>Descartado</x:v>
      </x:c>
      <x:c r="D8" s="36" t="str">
        <x:v>DA - Contencion</x:v>
      </x:c>
      <x:c r="E8" s="36" t="str">
        <x:v>Atrasada</x:v>
      </x:c>
      <x:c r="F8" s="36" t="n">
        <x:v>4</x:v>
      </x:c>
      <x:c r="G8" s="36" t="str">
        <x:v>Marketing</x:v>
      </x:c>
      <x:c r="H8" s="36"/>
    </x:row>
    <x:row r="9">
      <x:c r="A9" s="36"/>
      <x:c r="B9" s="36"/>
      <x:c r="C9" s="36"/>
      <x:c r="D9" s="36"/>
      <x:c r="E9" s="36" t="str">
        <x:v>En pausa</x:v>
      </x:c>
      <x:c r="F9" s="36" t="n">
        <x:v>5</x:v>
      </x:c>
      <x:c r="G9" s="36" t="str">
        <x:v>Direccion</x:v>
      </x:c>
      <x:c r="H9" s="36"/>
    </x:row>
    <x:row r="10">
      <x:c r="A10" s="36"/>
      <x:c r="B10" s="36"/>
      <x:c r="C10" s="36"/>
      <x:c r="D10" s="36"/>
      <x:c r="E10" s="36"/>
      <x:c r="F10" s="36"/>
      <x:c r="G10" s="36" t="str">
        <x:v>Tecnologia</x:v>
      </x:c>
      <x:c r="H10" s="36"/>
    </x:row>
  </x:sheetData>
  <x:mergeCells>
    <x:mergeCell ref="A1:H1"/>
    <x:mergeCell ref="A2:H2"/>
  </x:mergeCells>
  <x:pageMargins left="0.7" right="0.7" top="0.75" bottom="0.75" header="0.3" footer="0.3"/>
</x:worksheet>
</file>