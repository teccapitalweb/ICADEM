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1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47c238916e41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Portada" sheetId="1" r:id="Rf5e63a6e38ed4951"/>
    <x:sheet xmlns:r="http://schemas.openxmlformats.org/officeDocument/2006/relationships" name="01 Guía" sheetId="2" r:id="R4c0af504df0a4513"/>
    <x:sheet xmlns:r="http://schemas.openxmlformats.org/officeDocument/2006/relationships" name="02 Config" sheetId="3" r:id="Rc18bfeef545e4ff7"/>
    <x:sheet xmlns:r="http://schemas.openxmlformats.org/officeDocument/2006/relationships" name="03 Clientes" sheetId="4" r:id="R28b0c8f8a2074062"/>
    <x:sheet xmlns:r="http://schemas.openxmlformats.org/officeDocument/2006/relationships" name="04 Contactos" sheetId="5" r:id="Rca2ab682f2c544a2"/>
    <x:sheet xmlns:r="http://schemas.openxmlformats.org/officeDocument/2006/relationships" name="05 Actividades" sheetId="6" r:id="R8282068446b444cd"/>
    <x:sheet xmlns:r="http://schemas.openxmlformats.org/officeDocument/2006/relationships" name="06 Oportunidades" sheetId="7" r:id="Reae0f26321314bef"/>
    <x:sheet xmlns:r="http://schemas.openxmlformats.org/officeDocument/2006/relationships" name="07 Propuestas" sheetId="8" r:id="R21911b57c34b4ea1"/>
    <x:sheet xmlns:r="http://schemas.openxmlformats.org/officeDocument/2006/relationships" name="08 Seguimiento" sheetId="9" r:id="Rb73af332522249f6"/>
    <x:sheet xmlns:r="http://schemas.openxmlformats.org/officeDocument/2006/relationships" name="09 Dashboard" sheetId="10" r:id="Rf8355558e2dc453d"/>
    <x:sheet xmlns:r="http://schemas.openxmlformats.org/officeDocument/2006/relationships" name="10 Catálogos" sheetId="11" r:id="Re057360a891c46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"/>
    <x:numFmt numFmtId="201" formatCode="dd/mm/yyyy"/>
    <x:numFmt numFmtId="202" formatCode="0%"/>
  </x:numFmts>
  <x:fonts count="15">
    <x:font>
      <x:sz val="11"/>
      <x:name val="Carlito"/>
    </x:font>
    <x:font>
      <x:b/>
      <x:sz val="12"/>
      <x:color rgb="2557D6"/>
      <x:name val="Carlito"/>
    </x:font>
    <x:font>
      <x:b/>
      <x:sz val="28"/>
      <x:color rgb="0B1F3A"/>
      <x:name val="Carlito"/>
    </x:font>
    <x:font>
      <x:sz val="14"/>
      <x:color rgb="64748B"/>
      <x:name val="Carlito"/>
    </x:font>
    <x:font>
      <x:b/>
      <x:sz val="12"/>
      <x:color rgb="0B1F3A"/>
      <x:name val="Carlito"/>
    </x:font>
    <x:font>
      <x:b/>
      <x:sz val="12"/>
      <x:color rgb="7C5200"/>
      <x:name val="Carlito"/>
    </x:font>
    <x:font>
      <x:b/>
      <x:sz val="22"/>
      <x:color rgb="FFFFFF"/>
      <x:name val="Carlito"/>
    </x:font>
    <x:font>
      <x:sz val="11"/>
      <x:color rgb="64748B"/>
      <x:name val="Carlito"/>
    </x:font>
    <x:font>
      <x:b/>
      <x:sz val="11"/>
      <x:color rgb="7C5200"/>
      <x:name val="Carlito"/>
    </x:font>
    <x:font>
      <x:b/>
      <x:sz val="11"/>
      <x:color rgb="FFFFFF"/>
      <x:name val="Carlito"/>
    </x:font>
    <x:font>
      <x:b/>
      <x:sz val="11"/>
      <x:color rgb="0B1F3A"/>
      <x:name val="Carlito"/>
    </x:font>
    <x:font>
      <x:sz val="11"/>
      <x:color rgb="111827"/>
      <x:name val="Carlito"/>
    </x:font>
    <x:font>
      <x:sz val="11"/>
      <x:color rgb="FFFFFF"/>
      <x:name val="Carlito"/>
    </x:font>
    <x:font>
      <x:b/>
      <x:sz val="10"/>
      <x:color rgb="64748B"/>
      <x:name val="Carlito"/>
    </x:font>
    <x:font>
      <x:b/>
      <x:sz val="16"/>
      <x:color rgb="0B1F3A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8FAFC"/>
      </x:patternFill>
    </x:fill>
    <x:fill>
      <x:patternFill patternType="solid">
        <x:fgColor rgb="FFFFFF"/>
      </x:patternFill>
    </x:fill>
    <x:fill>
      <x:patternFill patternType="solid">
        <x:fgColor rgb="FFF3C4"/>
      </x:patternFill>
    </x:fill>
    <x:fill>
      <x:patternFill patternType="solid">
        <x:fgColor rgb="0B1F3A"/>
      </x:patternFill>
    </x:fill>
    <x:fill>
      <x:patternFill patternType="solid">
        <x:fgColor rgb="EAF1FF"/>
      </x:patternFill>
    </x:fill>
    <x:fill>
      <x:patternFill patternType="solid">
        <x:fgColor rgb="FFFDF7"/>
      </x:patternFill>
    </x:fill>
    <x:fill>
      <x:patternFill patternType="solid">
        <x:fgColor rgb="F3F4F6"/>
      </x:patternFill>
    </x:fill>
    <x:fill>
      <x:patternFill patternType="solid">
        <x:fgColor rgb="FEE2E2"/>
      </x:patternFill>
    </x:fill>
  </x:fills>
  <x:borders count="2">
    <x:border/>
    <x:border/>
  </x:borders>
  <x:cellStyleXfs count="1">
    <x:xf numFmtId="0" fontId="0" fillId="0" borderId="0"/>
  </x:cellStyleXfs>
  <x:cellXfs count="1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left"/>
    </x:xf>
    <x:xf numFmtId="0" fontId="6" fillId="5" borderId="1" xfId="0" applyNumberFormat="1" applyFont="1" applyFill="1" applyBorder="1" applyAlignment="1">
      <x:alignment horizontal="left"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0" fontId="8" fillId="4" borderId="1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horizontal="center" wrapText="1"/>
    </x:xf>
    <x:xf numFmtId="0" fontId="9" fillId="5" borderId="0" xfId="0" applyNumberFormat="1" applyFont="1" applyFill="1" applyBorder="1" applyAlignment="1">
      <x:alignment horizontal="center" vertical="center" wrapText="1"/>
    </x:xf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horizontal="center" wrapText="1"/>
    </x:xf>
    <x:xf numFmtId="0" fontId="9" fillId="5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horizontal="center" wrapText="1"/>
    </x:xf>
    <x:xf numFmtId="0" fontId="10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0" fillId="6" borderId="1" xfId="0" applyNumberFormat="1" applyFont="1" applyFill="1" applyBorder="1"/>
    <x:xf numFmtId="0" fontId="10" fillId="6" borderId="1" xfId="0" applyNumberFormat="1" applyFont="1" applyFill="1" applyBorder="1" applyAlignment="1">
      <x:alignment wrapText="1"/>
    </x:xf>
    <x:xf numFmtId="0" fontId="10" fillId="6" borderId="1" xfId="0" applyNumberFormat="1" applyFont="1" applyFill="1" applyBorder="1" applyAlignment="1">
      <x:alignment horizontal="center" wrapText="1"/>
    </x:xf>
    <x:xf numFmtId="0" fontId="10" fillId="6" borderId="1" xfId="0" applyNumberFormat="1" applyFont="1" applyFill="1" applyBorder="1" applyAlignment="1">
      <x:alignment horizontal="center" vertical="center" wrapText="1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vertical="center" wrapText="1"/>
    </x:xf>
    <x:xf numFmtId="0" fontId="11" fillId="3" borderId="1" xfId="0" applyNumberFormat="1" applyFont="1" applyFill="1" applyBorder="1"/>
    <x:xf numFmtId="0" fontId="11" fillId="3" borderId="1" xfId="0" applyNumberFormat="1" applyFont="1" applyFill="1" applyBorder="1" applyAlignment="1">
      <x:alignment wrapText="1"/>
    </x:xf>
    <x:xf numFmtId="0" fontId="11" fillId="3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12" fillId="5" borderId="0" xfId="0" applyNumberFormat="1" applyFont="1" applyFill="1" applyBorder="1"/>
    <x:xf numFmtId="0" fontId="12" fillId="5" borderId="1" xfId="0" applyNumberFormat="1" applyFont="1" applyFill="1" applyBorder="1"/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12" fillId="5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12" fillId="5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vertical="center" wrapText="1"/>
    </x:xf>
    <x:xf numFmtId="0" fontId="11" fillId="7" borderId="1" xfId="0" applyNumberFormat="1" applyFont="1" applyFill="1" applyBorder="1"/>
    <x:xf numFmtId="0" fontId="11" fillId="7" borderId="1" xfId="0" applyNumberFormat="1" applyFont="1" applyFill="1" applyBorder="1" applyAlignment="1">
      <x:alignment wrapText="1"/>
    </x:xf>
    <x:xf numFmtId="0" fontId="11" fillId="7" borderId="1" xfId="0" applyNumberFormat="1" applyFont="1" applyFill="1" applyBorder="1" applyAlignment="1">
      <x:alignment vertical="center" wrapText="1"/>
    </x:xf>
    <x:xf numFmtId="200" fontId="11" fillId="7" borderId="0" xfId="0" applyNumberFormat="1" applyFont="1" applyFill="1" applyBorder="1" applyAlignment="1">
      <x:alignment vertical="center" wrapText="1"/>
    </x:xf>
    <x:xf numFmtId="200" fontId="11" fillId="7" borderId="1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vertical="top" wrapText="1"/>
    </x:xf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horizontal="center"/>
    </x:xf>
    <x:xf numFmtId="0" fontId="11" fillId="8" borderId="1" xfId="0" applyNumberFormat="1" applyFont="1" applyFill="1" applyBorder="1"/>
    <x:xf numFmtId="0" fontId="11" fillId="8" borderId="1" xfId="0" applyNumberFormat="1" applyFont="1" applyFill="1" applyBorder="1" applyAlignment="1">
      <x:alignment horizontal="center"/>
    </x:xf>
    <x:xf numFmtId="201" fontId="11" fillId="7" borderId="0" xfId="0" applyNumberFormat="1" applyFont="1" applyFill="1" applyBorder="1" applyAlignment="1">
      <x:alignment vertical="center" wrapText="1"/>
    </x:xf>
    <x:xf numFmtId="201" fontId="11" fillId="7" borderId="1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horizontal="center" wrapText="1"/>
    </x:xf>
    <x:xf numFmtId="0" fontId="11" fillId="8" borderId="1" xfId="0" applyNumberFormat="1" applyFont="1" applyFill="1" applyBorder="1" applyAlignment="1">
      <x:alignment horizontal="center" wrapText="1"/>
    </x:xf>
    <x:xf numFmtId="0" fontId="11" fillId="8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vertical="center" wrapText="1"/>
    </x:xf>
    <x:xf numFmtId="0" fontId="11" fillId="8" borderId="1" xfId="0" applyNumberFormat="1" applyFont="1" applyFill="1" applyBorder="1" applyAlignment="1">
      <x:alignment wrapText="1"/>
    </x:xf>
    <x:xf numFmtId="0" fontId="11" fillId="8" borderId="1" xfId="0" applyNumberFormat="1" applyFont="1" applyFill="1" applyBorder="1" applyAlignment="1">
      <x:alignment vertical="center" wrapText="1"/>
    </x:xf>
    <x:xf numFmtId="202" fontId="11" fillId="7" borderId="0" xfId="0" applyNumberFormat="1" applyFont="1" applyFill="1" applyBorder="1" applyAlignment="1">
      <x:alignment vertical="center" wrapText="1"/>
    </x:xf>
    <x:xf numFmtId="202" fontId="11" fillId="7" borderId="1" xfId="0" applyNumberFormat="1" applyFont="1" applyFill="1" applyBorder="1" applyAlignment="1">
      <x:alignment vertical="center" wrapText="1"/>
    </x:xf>
    <x:xf numFmtId="200" fontId="11" fillId="8" borderId="0" xfId="0" applyNumberFormat="1" applyFont="1" applyFill="1" applyBorder="1" applyAlignment="1">
      <x:alignment vertical="center" wrapText="1"/>
    </x:xf>
    <x:xf numFmtId="200" fontId="11" fillId="8" borderId="1" xfId="0" applyNumberFormat="1" applyFont="1" applyFill="1" applyBorder="1" applyAlignment="1">
      <x:alignment vertical="center" wrapText="1"/>
    </x:xf>
    <x:xf numFmtId="0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horizontal="center"/>
    </x:xf>
    <x:xf numFmtId="0" fontId="13" fillId="3" borderId="1" xfId="0" applyNumberFormat="1" applyFont="1" applyFill="1" applyBorder="1"/>
    <x:xf numFmtId="0" fontId="13" fillId="3" borderId="1" xfId="0" applyNumberFormat="1" applyFont="1" applyFill="1" applyBorder="1" applyAlignment="1">
      <x:alignment horizontal="center"/>
    </x:xf>
    <x:xf numFmtId="0" fontId="14" fillId="3" borderId="0" xfId="0" applyNumberFormat="1" applyFont="1" applyFill="1" applyBorder="1"/>
    <x:xf numFmtId="0" fontId="14" fillId="3" borderId="0" xfId="0" applyNumberFormat="1" applyFont="1" applyFill="1" applyBorder="1" applyAlignment="1">
      <x:alignment horizontal="center"/>
    </x:xf>
    <x:xf numFmtId="0" fontId="14" fillId="3" borderId="0" xfId="0" applyNumberFormat="1" applyFont="1" applyFill="1" applyBorder="1" applyAlignment="1">
      <x:alignment horizontal="center" vertical="center"/>
    </x:xf>
    <x:xf numFmtId="0" fontId="14" fillId="3" borderId="1" xfId="0" applyNumberFormat="1" applyFont="1" applyFill="1" applyBorder="1"/>
    <x:xf numFmtId="0" fontId="14" fillId="3" borderId="1" xfId="0" applyNumberFormat="1" applyFont="1" applyFill="1" applyBorder="1" applyAlignment="1">
      <x:alignment horizontal="center"/>
    </x:xf>
    <x:xf numFmtId="0" fontId="14" fillId="3" borderId="1" xfId="0" applyNumberFormat="1" applyFont="1" applyFill="1" applyBorder="1" applyAlignment="1">
      <x:alignment horizontal="center" vertical="center"/>
    </x:xf>
    <x:xf numFmtId="200" fontId="14" fillId="3" borderId="0" xfId="0" applyNumberFormat="1" applyFont="1" applyFill="1" applyBorder="1" applyAlignment="1">
      <x:alignment horizontal="center" vertical="center"/>
    </x:xf>
    <x:xf numFmtId="200" fontId="14" fillId="3" borderId="1" xfId="0" applyNumberFormat="1" applyFont="1" applyFill="1" applyBorder="1" applyAlignment="1">
      <x:alignment horizontal="center" vertical="center"/>
    </x:xf>
    <x:xf numFmtId="202" fontId="14" fillId="3" borderId="0" xfId="0" applyNumberFormat="1" applyFont="1" applyFill="1" applyBorder="1" applyAlignment="1">
      <x:alignment horizontal="center" vertical="center"/>
    </x:xf>
    <x:xf numFmtId="202" fontId="14" fillId="3" borderId="1" xfId="0" applyNumberFormat="1" applyFont="1" applyFill="1" applyBorder="1" applyAlignment="1">
      <x:alignment horizontal="center" vertical="center"/>
    </x:xf>
    <x:xf numFmtId="200" fontId="0" fillId="2" borderId="0" xfId="0" applyNumberFormat="1" applyFont="1" applyFill="1" applyBorder="1"/>
    <x:xf numFmtId="200" fontId="0" fillId="2" borderId="1" xfId="0" applyNumberFormat="1" applyFont="1" applyFill="1" applyBorder="1"/>
    <x:xf numFmtId="200" fontId="0" fillId="3" borderId="0" xfId="0" applyNumberFormat="1" applyFont="1" applyFill="1" applyBorder="1"/>
    <x:xf numFmtId="200" fontId="11" fillId="3" borderId="0" xfId="0" applyNumberFormat="1" applyFont="1" applyFill="1" applyBorder="1"/>
    <x:xf numFmtId="200" fontId="11" fillId="3" borderId="0" xfId="0" applyNumberFormat="1" applyFont="1" applyFill="1" applyBorder="1" applyAlignment="1">
      <x:alignment wrapText="1"/>
    </x:xf>
    <x:xf numFmtId="200" fontId="0" fillId="3" borderId="1" xfId="0" applyNumberFormat="1" applyFont="1" applyFill="1" applyBorder="1"/>
    <x:xf numFmtId="200" fontId="11" fillId="3" borderId="1" xfId="0" applyNumberFormat="1" applyFont="1" applyFill="1" applyBorder="1"/>
    <x:xf numFmtId="200" fontId="11" fillId="3" borderId="1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vertical="top" wrapText="1"/>
    </x:xf>
    <x:xf numFmtId="0" fontId="11" fillId="3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12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12" fillId="5" borderId="1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horizontal="center" vertical="center" wrapText="1"/>
    </x:xf>
    <x:xf numFmtId="0" fontId="11" fillId="8" borderId="1" xfId="0" applyNumberFormat="1" applyFont="1" applyFill="1" applyBorder="1" applyAlignment="1">
      <x:alignment horizontal="center" vertical="center" wrapText="1"/>
    </x:xf>
    <x:xf numFmtId="0" fontId="13" fillId="3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vertical="center"/>
    </x:xf>
    <x:xf numFmtId="200" fontId="11" fillId="3" borderId="0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 applyAlignment="1">
      <x:alignment vertical="center"/>
    </x:xf>
    <x:xf numFmtId="200" fontId="11" fillId="3" borderId="0" xfId="0" applyNumberFormat="1" applyFont="1" applyFill="1" applyBorder="1" applyAlignment="1">
      <x:alignment vertical="center"/>
    </x:xf>
    <x:xf numFmtId="0" fontId="13" fillId="3" borderId="1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 applyAlignment="1">
      <x:alignment vertical="center"/>
    </x:xf>
    <x:xf numFmtId="200" fontId="11" fillId="3" borderId="1" xfId="0" applyNumberFormat="1" applyFont="1" applyFill="1" applyBorder="1" applyAlignment="1">
      <x:alignment vertical="center" wrapText="1"/>
    </x:xf>
    <x:xf numFmtId="0" fontId="11" fillId="3" borderId="1" xfId="0" applyNumberFormat="1" applyFont="1" applyFill="1" applyBorder="1" applyAlignment="1">
      <x:alignment vertical="center"/>
    </x:xf>
    <x:xf numFmtId="200" fontId="11" fillId="3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color rgb="DC2626"/>
      </x:font>
      <x:fill>
        <x:patternFill patternType="solid">
          <x:bgColor rgb="FEE2E2"/>
        </x:patternFill>
      </x:fill>
    </x:dxf>
    <x:dxf>
      <x:font>
        <x:color rgb="DC2626"/>
      </x:font>
      <x:fill>
        <x:patternFill patternType="solid">
          <x:bgColor rgb="FEE2E2"/>
        </x:patternFill>
      </x:fill>
    </x:dxf>
    <x:dxf>
      <x:font>
        <x:b/>
        <x:color rgb="DC2626"/>
      </x:font>
      <x:fill>
        <x:patternFill patternType="solid">
          <x:bgColor rgb="FEE2E2"/>
        </x:patternFill>
      </x:fill>
    </x:dxf>
    <x:dxf>
      <x:font>
        <x:b/>
        <x:color rgb="F97316"/>
      </x:font>
      <x:fill>
        <x:patternFill patternType="solid">
          <x:bgColor rgb="FFEDD5"/>
        </x:patternFill>
      </x:fill>
    </x:dxf>
    <x:dxf>
      <x:font>
        <x:b/>
        <x:color rgb="16A34A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b9b7597e11425b" /><Relationship Type="http://schemas.openxmlformats.org/officeDocument/2006/relationships/theme" Target="/xl/theme/theme1.xml" Id="R0e01b368f9274abf" /><Relationship Type="http://schemas.openxmlformats.org/officeDocument/2006/relationships/sharedStrings" Target="/xl/sharedStrings.xml" Id="Ra0fa90aeaf784dcd" /><Relationship Type="http://schemas.openxmlformats.org/officeDocument/2006/relationships/worksheet" Target="/xl/worksheets/sheet1.xml" Id="Rf5e63a6e38ed4951" /><Relationship Type="http://schemas.openxmlformats.org/officeDocument/2006/relationships/worksheet" Target="/xl/worksheets/sheet2.xml" Id="R4c0af504df0a4513" /><Relationship Type="http://schemas.openxmlformats.org/officeDocument/2006/relationships/worksheet" Target="/xl/worksheets/sheet3.xml" Id="Rc18bfeef545e4ff7" /><Relationship Type="http://schemas.openxmlformats.org/officeDocument/2006/relationships/worksheet" Target="/xl/worksheets/sheet4.xml" Id="R28b0c8f8a2074062" /><Relationship Type="http://schemas.openxmlformats.org/officeDocument/2006/relationships/worksheet" Target="/xl/worksheets/sheet5.xml" Id="Rca2ab682f2c544a2" /><Relationship Type="http://schemas.openxmlformats.org/officeDocument/2006/relationships/worksheet" Target="/xl/worksheets/sheet6.xml" Id="R8282068446b444cd" /><Relationship Type="http://schemas.openxmlformats.org/officeDocument/2006/relationships/worksheet" Target="/xl/worksheets/sheet7.xml" Id="Reae0f26321314bef" /><Relationship Type="http://schemas.openxmlformats.org/officeDocument/2006/relationships/worksheet" Target="/xl/worksheets/sheet8.xml" Id="R21911b57c34b4ea1" /><Relationship Type="http://schemas.openxmlformats.org/officeDocument/2006/relationships/worksheet" Target="/xl/worksheets/sheet9.xml" Id="Rb73af332522249f6" /><Relationship Type="http://schemas.openxmlformats.org/officeDocument/2006/relationships/worksheet" Target="/xl/worksheets/sheet10.xml" Id="Rf8355558e2dc453d" /><Relationship Type="http://schemas.openxmlformats.org/officeDocument/2006/relationships/worksheet" Target="/xl/worksheets/sheet11.xml" Id="Re057360a891c46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8e4fd2b1a0a4793" /><Relationship Type="http://schemas.openxmlformats.org/officeDocument/2006/relationships/chart" Target="/xl/drawings/charts/chart2.xml" Id="R93e517442ecb45c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Valor estimado</c:v>
          </c:tx>
          <c:cat>
            <c:strRef>
              <c:f>'09 Dashboard'!$A$18:$A$24</c:f>
              <c:strCache>
                <c:ptCount val="0"/>
              </c:strCache>
            </c:strRef>
          </c:cat>
          <c:val>
            <c:numRef>
              <c:f>'09 Dashboard'!$C$18:$C$24</c:f>
              <c:numCache>
                <c:formatCode>"$"#,##0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lineChart>
        <c:ser>
          <c:idx val="0"/>
          <c:order val="0"/>
          <c:tx>
            <c:v>Pipeline</c:v>
          </c:tx>
          <c:cat>
            <c:strRef>
              <c:f>'09 Dashboard'!$G$18:$G$29</c:f>
              <c:strCache>
                <c:ptCount val="0"/>
              </c:strCache>
            </c:strRef>
          </c:cat>
          <c:val>
            <c:numRef>
              <c:f>'09 Dashboard'!$H$18:$H$29</c:f>
              <c:numCache>
                <c:formatCode>"$"#,##0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Ponderado</c:v>
          </c:tx>
          <c:cat>
            <c:strRef>
              <c:f>'09 Dashboard'!$G$18:$G$29</c:f>
              <c:strCache>
                <c:ptCount val="0"/>
              </c:strCache>
            </c:strRef>
          </c:cat>
          <c:val>
            <c:numRef>
              <c:f>'09 Dashboard'!$I$18:$I$29</c:f>
              <c:numCache>
                <c:formatCode>"$"#,##0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16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e4fd2b1a0a4793"/>
        </a:graphicData>
      </a:graphic>
    </xdr:graphicFrame>
    <xdr:clientData/>
  </xdr:twoCellAnchor>
  <xdr:twoCellAnchor>
    <xdr:from>
      <xdr:col>10</xdr:col>
      <xdr:colOff>0</xdr:colOff>
      <xdr:row>16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e517442ecb45c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lientesTable" displayName="ClientesTable" ref="A5:N200" headerRowCount="1">
  <x:tableColumns count="14">
    <x:tableColumn id="1" name="ID Cliente"/>
    <x:tableColumn id="2" name="Cliente / Empresa"/>
    <x:tableColumn id="3" name="Tipo"/>
    <x:tableColumn id="4" name="Industria"/>
    <x:tableColumn id="5" name="Ciudad / Estado"/>
    <x:tableColumn id="6" name="Contacto principal"/>
    <x:tableColumn id="7" name="Teléfono"/>
    <x:tableColumn id="8" name="Email"/>
    <x:tableColumn id="9" name="Fuente"/>
    <x:tableColumn id="10" name="Estado"/>
    <x:tableColumn id="11" name="Segmento"/>
    <x:tableColumn id="12" name="Valor potencial"/>
    <x:tableColumn id="13" name="Próximo seguimiento"/>
    <x:tableColumn id="14" name="Observaciones"/>
  </x:tableColumns>
  <x:tableStyleInfo name="TableStyleMedium2" showRowStripes="1"/>
</x:table>
</file>

<file path=xl/tables/table2.xml><?xml version="1.0" encoding="utf-8"?>
<x:table xmlns:x="http://schemas.openxmlformats.org/spreadsheetml/2006/main" id="2" name="ContactosTable" displayName="ContactosTable" ref="A5:K200" headerRowCount="1">
  <x:tableColumns count="11">
    <x:tableColumn id="1" name="Fecha"/>
    <x:tableColumn id="2" name="ID Cliente"/>
    <x:tableColumn id="3" name="Cliente"/>
    <x:tableColumn id="4" name="Canal"/>
    <x:tableColumn id="5" name="Motivo"/>
    <x:tableColumn id="6" name="Resultado"/>
    <x:tableColumn id="7" name="Responsable"/>
    <x:tableColumn id="8" name="Próxima acción"/>
    <x:tableColumn id="9" name="Fecha próxima acción"/>
    <x:tableColumn id="10" name="Prioridad"/>
    <x:tableColumn id="11" name="Notas"/>
  </x:tableColumns>
  <x:tableStyleInfo name="TableStyleMedium2" showRowStripes="1"/>
</x:table>
</file>

<file path=xl/tables/table3.xml><?xml version="1.0" encoding="utf-8"?>
<x:table xmlns:x="http://schemas.openxmlformats.org/spreadsheetml/2006/main" id="3" name="ActividadesTable" displayName="ActividadesTable" ref="A5:J200" headerRowCount="1">
  <x:tableColumns count="10">
    <x:tableColumn id="1" name="ID Actividad"/>
    <x:tableColumn id="2" name="Fecha creación"/>
    <x:tableColumn id="3" name="Responsable"/>
    <x:tableColumn id="4" name="Cliente"/>
    <x:tableColumn id="5" name="Actividad"/>
    <x:tableColumn id="6" name="Fecha compromiso"/>
    <x:tableColumn id="7" name="Estatus"/>
    <x:tableColumn id="8" name="Prioridad"/>
    <x:tableColumn id="9" name="Días para vencer"/>
    <x:tableColumn id="10" name="Notas"/>
  </x:tableColumns>
  <x:tableStyleInfo name="TableStyleMedium2" showRowStripes="1"/>
</x:table>
</file>

<file path=xl/tables/table4.xml><?xml version="1.0" encoding="utf-8"?>
<x:table xmlns:x="http://schemas.openxmlformats.org/spreadsheetml/2006/main" id="4" name="OportunidadesTable" displayName="OportunidadesTable" ref="A5:M200" headerRowCount="1">
  <x:tableColumns count="13">
    <x:tableColumn id="1" name="ID Oportunidad"/>
    <x:tableColumn id="2" name="ID Cliente"/>
    <x:tableColumn id="3" name="Cliente"/>
    <x:tableColumn id="4" name="Producto / Servicio"/>
    <x:tableColumn id="5" name="Etapa"/>
    <x:tableColumn id="6" name="Probabilidad"/>
    <x:tableColumn id="7" name="Valor estimado"/>
    <x:tableColumn id="8" name="Valor ponderado"/>
    <x:tableColumn id="9" name="Fecha creación"/>
    <x:tableColumn id="10" name="Cierre proyectado"/>
    <x:tableColumn id="11" name="Responsable"/>
    <x:tableColumn id="12" name="Estatus"/>
    <x:tableColumn id="13" name="Próximo paso"/>
  </x:tableColumns>
  <x:tableStyleInfo name="TableStyleMedium2" showRowStripes="1"/>
</x:table>
</file>

<file path=xl/tables/table5.xml><?xml version="1.0" encoding="utf-8"?>
<x:table xmlns:x="http://schemas.openxmlformats.org/spreadsheetml/2006/main" id="5" name="PropuestasTable" displayName="PropuestasTable" ref="A5:K200" headerRowCount="1">
  <x:tableColumns count="11">
    <x:tableColumn id="1" name="ID Propuesta"/>
    <x:tableColumn id="2" name="ID Oportunidad"/>
    <x:tableColumn id="3" name="Cliente"/>
    <x:tableColumn id="4" name="Fecha envío"/>
    <x:tableColumn id="5" name="Monto propuesto"/>
    <x:tableColumn id="6" name="Estatus"/>
    <x:tableColumn id="7" name="Vigencia hasta"/>
    <x:tableColumn id="8" name="Días vigencia"/>
    <x:tableColumn id="9" name="Responsable"/>
    <x:tableColumn id="10" name="Link / Archivo"/>
    <x:tableColumn id="11" name="Observaciones"/>
  </x:tableColumns>
  <x:tableStyleInfo name="TableStyleMedium2" showRowStripes="1"/>
</x:table>
</file>

<file path=xl/tables/table6.xml><?xml version="1.0" encoding="utf-8"?>
<x:table xmlns:x="http://schemas.openxmlformats.org/spreadsheetml/2006/main" id="6" name="SeguimientoTable" displayName="SeguimientoTable" ref="A5:I200" headerRowCount="1">
  <x:tableColumns count="9">
    <x:tableColumn id="1" name="Fecha acción"/>
    <x:tableColumn id="2" name="Cliente"/>
    <x:tableColumn id="3" name="Oportunidad"/>
    <x:tableColumn id="4" name="Responsable"/>
    <x:tableColumn id="5" name="Acción pendiente"/>
    <x:tableColumn id="6" name="Prioridad"/>
    <x:tableColumn id="7" name="Fecha límite"/>
    <x:tableColumn id="8" name="Estatus"/>
    <x:tableColumn id="9" name="Alerta"/>
  </x:tableColumns>
  <x:tableStyleInfo name="TableStyleMedium2" showRowStripes="1"/>
</x:table>
</file>

<file path=xl/tables/table7.xml><?xml version="1.0" encoding="utf-8"?>
<x:table xmlns:x="http://schemas.openxmlformats.org/spreadsheetml/2006/main" id="7" name="CatalogosTable" displayName="CatalogosTable" ref="A5:C49" headerRowCount="1">
  <x:tableColumns count="3">
    <x:tableColumn id="1" name="Categoría"/>
    <x:tableColumn id="2" name="Valor"/>
    <x:tableColumn id="3" name="Descripció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64d07ecb9f024b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8c4fcb52b18e45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ae49d0763ebd4e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5041c48b910d4ad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10bf4365b31f49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41ecfe0c5b8d498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c7c59beec06549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7.xml" Id="R9c566d6d4b2f463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>
      <x:c r="A1" s="160"/>
      <x:c r="B1" s="160"/>
      <x:c r="C1" s="160"/>
      <x:c r="D1" s="160"/>
      <x:c r="E1" s="160"/>
      <x:c r="F1" s="160"/>
      <x:c r="G1" s="160"/>
      <x:c r="H1" s="160"/>
      <x:c r="I1" s="160"/>
      <x:c r="J1" s="160"/>
      <x:c r="K1" s="160"/>
      <x:c r="L1" s="161"/>
      <x:c r="M1" s="161"/>
      <x:c r="N1" s="161"/>
      <x:c r="O1" s="161"/>
      <x:c r="P1" s="161"/>
      <x:c r="Q1" s="161"/>
      <x:c r="R1" s="161"/>
      <x:c r="S1" s="161"/>
      <x:c r="T1" s="161"/>
      <x:c r="U1" s="161"/>
      <x:c r="V1" s="161"/>
      <x:c r="W1" s="161"/>
      <x:c r="X1" s="161"/>
      <x:c r="Y1" s="161"/>
      <x:c r="Z1" s="161"/>
    </x:row>
    <x:row r="2">
      <x:c r="A2" s="160"/>
      <x:c r="B2" s="160"/>
      <x:c r="C2" s="160"/>
      <x:c r="D2" s="160"/>
      <x:c r="E2" s="160"/>
      <x:c r="F2" s="160"/>
      <x:c r="G2" s="160"/>
      <x:c r="H2" s="160"/>
      <x:c r="I2" s="160"/>
      <x:c r="J2" s="160"/>
      <x:c r="K2" s="160"/>
      <x:c r="L2" s="161"/>
      <x:c r="M2" s="161"/>
      <x:c r="N2" s="161"/>
      <x:c r="O2" s="161"/>
      <x:c r="P2" s="161"/>
      <x:c r="Q2" s="161"/>
      <x:c r="R2" s="161"/>
      <x:c r="S2" s="161"/>
      <x:c r="T2" s="161"/>
      <x:c r="U2" s="161"/>
      <x:c r="V2" s="161"/>
      <x:c r="W2" s="161"/>
      <x:c r="X2" s="161"/>
      <x:c r="Y2" s="161"/>
      <x:c r="Z2" s="161"/>
    </x:row>
    <x:row r="3">
      <x:c r="A3" s="160"/>
      <x:c r="B3" s="162" t="str">
        <x:v>ICADEM VIP CLUB · PLANTILLAS PREMIUM</x:v>
      </x:c>
      <x:c r="C3" s="160"/>
      <x:c r="D3" s="160"/>
      <x:c r="E3" s="160"/>
      <x:c r="F3" s="160"/>
      <x:c r="G3" s="160"/>
      <x:c r="H3" s="160"/>
      <x:c r="I3" s="160"/>
      <x:c r="J3" s="160"/>
      <x:c r="K3" s="160"/>
      <x:c r="L3" s="161"/>
      <x:c r="M3" s="161"/>
      <x:c r="N3" s="161"/>
      <x:c r="O3" s="161"/>
      <x:c r="P3" s="161"/>
      <x:c r="Q3" s="161"/>
      <x:c r="R3" s="161"/>
      <x:c r="S3" s="161"/>
      <x:c r="T3" s="161"/>
      <x:c r="U3" s="161"/>
      <x:c r="V3" s="161"/>
      <x:c r="W3" s="161"/>
      <x:c r="X3" s="161"/>
      <x:c r="Y3" s="161"/>
      <x:c r="Z3" s="161"/>
    </x:row>
    <x:row r="4">
      <x:c r="A4" s="160"/>
      <x:c r="B4" s="160"/>
      <x:c r="C4" s="160"/>
      <x:c r="D4" s="160"/>
      <x:c r="E4" s="160"/>
      <x:c r="F4" s="160"/>
      <x:c r="G4" s="160"/>
      <x:c r="H4" s="160"/>
      <x:c r="I4" s="160"/>
      <x:c r="J4" s="160"/>
      <x:c r="K4" s="160"/>
      <x:c r="L4" s="161"/>
      <x:c r="M4" s="161"/>
      <x:c r="N4" s="161"/>
      <x:c r="O4" s="161"/>
      <x:c r="P4" s="161"/>
      <x:c r="Q4" s="161"/>
      <x:c r="R4" s="161"/>
      <x:c r="S4" s="161"/>
      <x:c r="T4" s="161"/>
      <x:c r="U4" s="161"/>
      <x:c r="V4" s="161"/>
      <x:c r="W4" s="161"/>
      <x:c r="X4" s="161"/>
      <x:c r="Y4" s="161"/>
      <x:c r="Z4" s="161"/>
    </x:row>
    <x:row r="5">
      <x:c r="A5" s="160"/>
      <x:c r="B5" s="10" t="str">
        <x:v>CRM Básico de Clientes</x:v>
      </x:c>
      <x:c r="C5" s="160"/>
      <x:c r="D5" s="160"/>
      <x:c r="E5" s="160"/>
      <x:c r="F5" s="160"/>
      <x:c r="G5" s="160"/>
      <x:c r="H5" s="160"/>
      <x:c r="I5" s="160"/>
      <x:c r="J5" s="160"/>
      <x:c r="K5" s="160"/>
      <x:c r="L5" s="161"/>
      <x:c r="M5" s="161"/>
      <x:c r="N5" s="161"/>
      <x:c r="O5" s="161"/>
      <x:c r="P5" s="161"/>
      <x:c r="Q5" s="161"/>
      <x:c r="R5" s="161"/>
      <x:c r="S5" s="161"/>
      <x:c r="T5" s="161"/>
      <x:c r="U5" s="161"/>
      <x:c r="V5" s="161"/>
      <x:c r="W5" s="161"/>
      <x:c r="X5" s="161"/>
      <x:c r="Y5" s="161"/>
      <x:c r="Z5" s="161"/>
    </x:row>
    <x:row r="6">
      <x:c r="A6" s="160"/>
      <x:c r="B6" s="160"/>
      <x:c r="C6" s="160"/>
      <x:c r="D6" s="160"/>
      <x:c r="E6" s="160"/>
      <x:c r="F6" s="160"/>
      <x:c r="G6" s="160"/>
      <x:c r="H6" s="160"/>
      <x:c r="I6" s="160"/>
      <x:c r="J6" s="160"/>
      <x:c r="K6" s="160"/>
      <x:c r="L6" s="161"/>
      <x:c r="M6" s="161"/>
      <x:c r="N6" s="161"/>
      <x:c r="O6" s="161"/>
      <x:c r="P6" s="161"/>
      <x:c r="Q6" s="161"/>
      <x:c r="R6" s="161"/>
      <x:c r="S6" s="161"/>
      <x:c r="T6" s="161"/>
      <x:c r="U6" s="161"/>
      <x:c r="V6" s="161"/>
      <x:c r="W6" s="161"/>
      <x:c r="X6" s="161"/>
      <x:c r="Y6" s="161"/>
      <x:c r="Z6" s="161"/>
    </x:row>
    <x:row r="7">
      <x:c r="A7" s="160"/>
      <x:c r="B7" s="160"/>
      <x:c r="C7" s="160"/>
      <x:c r="D7" s="160"/>
      <x:c r="E7" s="160"/>
      <x:c r="F7" s="160"/>
      <x:c r="G7" s="160"/>
      <x:c r="H7" s="160"/>
      <x:c r="I7" s="160"/>
      <x:c r="J7" s="160"/>
      <x:c r="K7" s="160"/>
      <x:c r="L7" s="161"/>
      <x:c r="M7" s="161"/>
      <x:c r="N7" s="161"/>
      <x:c r="O7" s="161"/>
      <x:c r="P7" s="161"/>
      <x:c r="Q7" s="161"/>
      <x:c r="R7" s="161"/>
      <x:c r="S7" s="161"/>
      <x:c r="T7" s="161"/>
      <x:c r="U7" s="161"/>
      <x:c r="V7" s="161"/>
      <x:c r="W7" s="161"/>
      <x:c r="X7" s="161"/>
      <x:c r="Y7" s="161"/>
      <x:c r="Z7" s="161"/>
    </x:row>
    <x:row r="8">
      <x:c r="A8" s="160"/>
      <x:c r="B8" s="17" t="str">
        <x:v>Gestiona tu cartera de clientes: historial de contacto, oportunidades activas, seguimiento de propuestas y fechas de cierre proyectadas.</x:v>
      </x:c>
      <x:c r="C8" s="160"/>
      <x:c r="D8" s="160"/>
      <x:c r="E8" s="160"/>
      <x:c r="F8" s="160"/>
      <x:c r="G8" s="160"/>
      <x:c r="H8" s="160"/>
      <x:c r="I8" s="160"/>
      <x:c r="J8" s="160"/>
      <x:c r="K8" s="160"/>
      <x:c r="L8" s="161"/>
      <x:c r="M8" s="161"/>
      <x:c r="N8" s="161"/>
      <x:c r="O8" s="161"/>
      <x:c r="P8" s="161"/>
      <x:c r="Q8" s="161"/>
      <x:c r="R8" s="161"/>
      <x:c r="S8" s="161"/>
      <x:c r="T8" s="161"/>
      <x:c r="U8" s="161"/>
      <x:c r="V8" s="161"/>
      <x:c r="W8" s="161"/>
      <x:c r="X8" s="161"/>
      <x:c r="Y8" s="161"/>
      <x:c r="Z8" s="161"/>
    </x:row>
    <x:row r="9">
      <x:c r="A9" s="160"/>
      <x:c r="B9" s="160"/>
      <x:c r="C9" s="160"/>
      <x:c r="D9" s="160"/>
      <x:c r="E9" s="160"/>
      <x:c r="F9" s="160"/>
      <x:c r="G9" s="160"/>
      <x:c r="H9" s="160"/>
      <x:c r="I9" s="160"/>
      <x:c r="J9" s="160"/>
      <x:c r="K9" s="160"/>
      <x:c r="L9" s="161"/>
      <x:c r="M9" s="161"/>
      <x:c r="N9" s="161"/>
      <x:c r="O9" s="161"/>
      <x:c r="P9" s="161"/>
      <x:c r="Q9" s="161"/>
      <x:c r="R9" s="161"/>
      <x:c r="S9" s="161"/>
      <x:c r="T9" s="161"/>
      <x:c r="U9" s="161"/>
      <x:c r="V9" s="161"/>
      <x:c r="W9" s="161"/>
      <x:c r="X9" s="161"/>
      <x:c r="Y9" s="161"/>
      <x:c r="Z9" s="161"/>
    </x:row>
    <x:row r="10">
      <x:c r="A10" s="160"/>
      <x:c r="B10" s="160"/>
      <x:c r="C10" s="160"/>
      <x:c r="D10" s="160"/>
      <x:c r="E10" s="160"/>
      <x:c r="F10" s="160"/>
      <x:c r="G10" s="160"/>
      <x:c r="H10" s="160"/>
      <x:c r="I10" s="160"/>
      <x:c r="J10" s="160"/>
      <x:c r="K10" s="160"/>
      <x:c r="L10" s="161"/>
      <x:c r="M10" s="161"/>
      <x:c r="N10" s="161"/>
      <x:c r="O10" s="161"/>
      <x:c r="P10" s="161"/>
      <x:c r="Q10" s="161"/>
      <x:c r="R10" s="161"/>
      <x:c r="S10" s="161"/>
      <x:c r="T10" s="161"/>
      <x:c r="U10" s="161"/>
      <x:c r="V10" s="161"/>
      <x:c r="W10" s="161"/>
      <x:c r="X10" s="161"/>
      <x:c r="Y10" s="161"/>
      <x:c r="Z10" s="161"/>
    </x:row>
    <x:row r="11">
      <x:c r="A11" s="160"/>
      <x:c r="B11" s="160"/>
      <x:c r="C11" s="160"/>
      <x:c r="D11" s="160"/>
      <x:c r="E11" s="160"/>
      <x:c r="F11" s="160"/>
      <x:c r="G11" s="160"/>
      <x:c r="H11" s="160"/>
      <x:c r="I11" s="160"/>
      <x:c r="J11" s="160"/>
      <x:c r="K11" s="160"/>
      <x:c r="L11" s="161"/>
      <x:c r="M11" s="161"/>
      <x:c r="N11" s="161"/>
      <x:c r="O11" s="161"/>
      <x:c r="P11" s="161"/>
      <x:c r="Q11" s="161"/>
      <x:c r="R11" s="161"/>
      <x:c r="S11" s="161"/>
      <x:c r="T11" s="161"/>
      <x:c r="U11" s="161"/>
      <x:c r="V11" s="161"/>
      <x:c r="W11" s="161"/>
      <x:c r="X11" s="161"/>
      <x:c r="Y11" s="161"/>
      <x:c r="Z11" s="161"/>
    </x:row>
    <x:row r="12">
      <x:c r="A12" s="160"/>
      <x:c r="B12" s="160"/>
      <x:c r="C12" s="160"/>
      <x:c r="D12" s="160"/>
      <x:c r="E12" s="160"/>
      <x:c r="F12" s="160"/>
      <x:c r="G12" s="160"/>
      <x:c r="H12" s="160"/>
      <x:c r="I12" s="160"/>
      <x:c r="J12" s="160"/>
      <x:c r="K12" s="160"/>
      <x:c r="L12" s="161"/>
      <x:c r="M12" s="161"/>
      <x:c r="N12" s="161"/>
      <x:c r="O12" s="161"/>
      <x:c r="P12" s="161"/>
      <x:c r="Q12" s="161"/>
      <x:c r="R12" s="161"/>
      <x:c r="S12" s="161"/>
      <x:c r="T12" s="161"/>
      <x:c r="U12" s="161"/>
      <x:c r="V12" s="161"/>
      <x:c r="W12" s="161"/>
      <x:c r="X12" s="161"/>
      <x:c r="Y12" s="161"/>
      <x:c r="Z12" s="161"/>
    </x:row>
    <x:row r="13">
      <x:c r="A13" s="160"/>
      <x:c r="B13" s="26" t="str">
        <x:v>CLIENTES
Centraliza datos comerciales, contacto, segmento y valor potencial.</x:v>
      </x:c>
      <x:c r="C13" s="160"/>
      <x:c r="D13" s="160"/>
      <x:c r="E13" s="160"/>
      <x:c r="F13" s="160"/>
      <x:c r="G13" s="26" t="str">
        <x:v>OPORTUNIDADES
Controla etapa, probabilidad, valor estimado y cierre proyectado.</x:v>
      </x:c>
      <x:c r="H13" s="160"/>
      <x:c r="I13" s="160"/>
      <x:c r="J13" s="160"/>
      <x:c r="K13" s="160"/>
      <x:c r="L13" s="161"/>
      <x:c r="M13" s="161"/>
      <x:c r="N13" s="161"/>
      <x:c r="O13" s="161"/>
      <x:c r="P13" s="161"/>
      <x:c r="Q13" s="161"/>
      <x:c r="R13" s="161"/>
      <x:c r="S13" s="161"/>
      <x:c r="T13" s="161"/>
      <x:c r="U13" s="161"/>
      <x:c r="V13" s="161"/>
      <x:c r="W13" s="161"/>
      <x:c r="X13" s="161"/>
      <x:c r="Y13" s="161"/>
      <x:c r="Z13" s="161"/>
    </x:row>
    <x:row r="14">
      <x:c r="A14" s="160"/>
      <x:c r="B14" s="160"/>
      <x:c r="C14" s="160"/>
      <x:c r="D14" s="160"/>
      <x:c r="E14" s="160"/>
      <x:c r="F14" s="160"/>
      <x:c r="G14" s="160"/>
      <x:c r="H14" s="160"/>
      <x:c r="I14" s="160"/>
      <x:c r="J14" s="160"/>
      <x:c r="K14" s="160"/>
      <x:c r="L14" s="161"/>
      <x:c r="M14" s="161"/>
      <x:c r="N14" s="161"/>
      <x:c r="O14" s="161"/>
      <x:c r="P14" s="161"/>
      <x:c r="Q14" s="161"/>
      <x:c r="R14" s="161"/>
      <x:c r="S14" s="161"/>
      <x:c r="T14" s="161"/>
      <x:c r="U14" s="161"/>
      <x:c r="V14" s="161"/>
      <x:c r="W14" s="161"/>
      <x:c r="X14" s="161"/>
      <x:c r="Y14" s="161"/>
      <x:c r="Z14" s="161"/>
    </x:row>
    <x:row r="15">
      <x:c r="A15" s="160"/>
      <x:c r="B15" s="160"/>
      <x:c r="C15" s="160"/>
      <x:c r="D15" s="160"/>
      <x:c r="E15" s="160"/>
      <x:c r="F15" s="160"/>
      <x:c r="G15" s="160"/>
      <x:c r="H15" s="160"/>
      <x:c r="I15" s="160"/>
      <x:c r="J15" s="160"/>
      <x:c r="K15" s="160"/>
      <x:c r="L15" s="161"/>
      <x:c r="M15" s="161"/>
      <x:c r="N15" s="161"/>
      <x:c r="O15" s="161"/>
      <x:c r="P15" s="161"/>
      <x:c r="Q15" s="161"/>
      <x:c r="R15" s="161"/>
      <x:c r="S15" s="161"/>
      <x:c r="T15" s="161"/>
      <x:c r="U15" s="161"/>
      <x:c r="V15" s="161"/>
      <x:c r="W15" s="161"/>
      <x:c r="X15" s="161"/>
      <x:c r="Y15" s="161"/>
      <x:c r="Z15" s="161"/>
    </x:row>
    <x:row r="16">
      <x:c r="A16" s="160"/>
      <x:c r="B16" s="160"/>
      <x:c r="C16" s="160"/>
      <x:c r="D16" s="160"/>
      <x:c r="E16" s="160"/>
      <x:c r="F16" s="160"/>
      <x:c r="G16" s="160"/>
      <x:c r="H16" s="160"/>
      <x:c r="I16" s="160"/>
      <x:c r="J16" s="160"/>
      <x:c r="K16" s="160"/>
      <x:c r="L16" s="161"/>
      <x:c r="M16" s="161"/>
      <x:c r="N16" s="161"/>
      <x:c r="O16" s="161"/>
      <x:c r="P16" s="161"/>
      <x:c r="Q16" s="161"/>
      <x:c r="R16" s="161"/>
      <x:c r="S16" s="161"/>
      <x:c r="T16" s="161"/>
      <x:c r="U16" s="161"/>
      <x:c r="V16" s="161"/>
      <x:c r="W16" s="161"/>
      <x:c r="X16" s="161"/>
      <x:c r="Y16" s="161"/>
      <x:c r="Z16" s="161"/>
    </x:row>
    <x:row r="17">
      <x:c r="A17" s="160"/>
      <x:c r="B17" s="160"/>
      <x:c r="C17" s="160"/>
      <x:c r="D17" s="160"/>
      <x:c r="E17" s="160"/>
      <x:c r="F17" s="160"/>
      <x:c r="G17" s="160"/>
      <x:c r="H17" s="160"/>
      <x:c r="I17" s="160"/>
      <x:c r="J17" s="160"/>
      <x:c r="K17" s="160"/>
      <x:c r="L17" s="161"/>
      <x:c r="M17" s="161"/>
      <x:c r="N17" s="161"/>
      <x:c r="O17" s="161"/>
      <x:c r="P17" s="161"/>
      <x:c r="Q17" s="161"/>
      <x:c r="R17" s="161"/>
      <x:c r="S17" s="161"/>
      <x:c r="T17" s="161"/>
      <x:c r="U17" s="161"/>
      <x:c r="V17" s="161"/>
      <x:c r="W17" s="161"/>
      <x:c r="X17" s="161"/>
      <x:c r="Y17" s="161"/>
      <x:c r="Z17" s="161"/>
    </x:row>
    <x:row r="18">
      <x:c r="A18" s="160"/>
      <x:c r="B18" s="26" t="str">
        <x:v>SEGUIMIENTO
Registra tareas, responsables, próximas acciones y alertas.</x:v>
      </x:c>
      <x:c r="C18" s="160"/>
      <x:c r="D18" s="160"/>
      <x:c r="E18" s="160"/>
      <x:c r="F18" s="160"/>
      <x:c r="G18" s="26" t="str">
        <x:v>DASHBOARD
Visualiza KPIs, embudo de ventas, pipeline y oportunidades críticas.</x:v>
      </x:c>
      <x:c r="H18" s="160"/>
      <x:c r="I18" s="160"/>
      <x:c r="J18" s="160"/>
      <x:c r="K18" s="160"/>
      <x:c r="L18" s="161"/>
      <x:c r="M18" s="161"/>
      <x:c r="N18" s="161"/>
      <x:c r="O18" s="161"/>
      <x:c r="P18" s="161"/>
      <x:c r="Q18" s="161"/>
      <x:c r="R18" s="161"/>
      <x:c r="S18" s="161"/>
      <x:c r="T18" s="161"/>
      <x:c r="U18" s="161"/>
      <x:c r="V18" s="161"/>
      <x:c r="W18" s="161"/>
      <x:c r="X18" s="161"/>
      <x:c r="Y18" s="161"/>
      <x:c r="Z18" s="161"/>
    </x:row>
    <x:row r="19">
      <x:c r="A19" s="160"/>
      <x:c r="B19" s="160"/>
      <x:c r="C19" s="160"/>
      <x:c r="D19" s="160"/>
      <x:c r="E19" s="160"/>
      <x:c r="F19" s="160"/>
      <x:c r="G19" s="160"/>
      <x:c r="H19" s="160"/>
      <x:c r="I19" s="160"/>
      <x:c r="J19" s="160"/>
      <x:c r="K19" s="160"/>
      <x:c r="L19" s="161"/>
      <x:c r="M19" s="161"/>
      <x:c r="N19" s="161"/>
      <x:c r="O19" s="161"/>
      <x:c r="P19" s="161"/>
      <x:c r="Q19" s="161"/>
      <x:c r="R19" s="161"/>
      <x:c r="S19" s="161"/>
      <x:c r="T19" s="161"/>
      <x:c r="U19" s="161"/>
      <x:c r="V19" s="161"/>
      <x:c r="W19" s="161"/>
      <x:c r="X19" s="161"/>
      <x:c r="Y19" s="161"/>
      <x:c r="Z19" s="161"/>
    </x:row>
    <x:row r="20">
      <x:c r="A20" s="160"/>
      <x:c r="B20" s="160"/>
      <x:c r="C20" s="160"/>
      <x:c r="D20" s="160"/>
      <x:c r="E20" s="160"/>
      <x:c r="F20" s="160"/>
      <x:c r="G20" s="160"/>
      <x:c r="H20" s="160"/>
      <x:c r="I20" s="160"/>
      <x:c r="J20" s="160"/>
      <x:c r="K20" s="160"/>
      <x:c r="L20" s="161"/>
      <x:c r="M20" s="161"/>
      <x:c r="N20" s="161"/>
      <x:c r="O20" s="161"/>
      <x:c r="P20" s="161"/>
      <x:c r="Q20" s="161"/>
      <x:c r="R20" s="161"/>
      <x:c r="S20" s="161"/>
      <x:c r="T20" s="161"/>
      <x:c r="U20" s="161"/>
      <x:c r="V20" s="161"/>
      <x:c r="W20" s="161"/>
      <x:c r="X20" s="161"/>
      <x:c r="Y20" s="161"/>
      <x:c r="Z20" s="161"/>
    </x:row>
    <x:row r="21">
      <x:c r="A21" s="160"/>
      <x:c r="B21" s="160"/>
      <x:c r="C21" s="160"/>
      <x:c r="D21" s="160"/>
      <x:c r="E21" s="160"/>
      <x:c r="F21" s="160"/>
      <x:c r="G21" s="160"/>
      <x:c r="H21" s="160"/>
      <x:c r="I21" s="160"/>
      <x:c r="J21" s="160"/>
      <x:c r="K21" s="160"/>
      <x:c r="L21" s="161"/>
      <x:c r="M21" s="161"/>
      <x:c r="N21" s="161"/>
      <x:c r="O21" s="161"/>
      <x:c r="P21" s="161"/>
      <x:c r="Q21" s="161"/>
      <x:c r="R21" s="161"/>
      <x:c r="S21" s="161"/>
      <x:c r="T21" s="161"/>
      <x:c r="U21" s="161"/>
      <x:c r="V21" s="161"/>
      <x:c r="W21" s="161"/>
      <x:c r="X21" s="161"/>
      <x:c r="Y21" s="161"/>
      <x:c r="Z21" s="161"/>
    </x:row>
    <x:row r="22">
      <x:c r="A22" s="160"/>
      <x:c r="B22" s="160"/>
      <x:c r="C22" s="160"/>
      <x:c r="D22" s="160"/>
      <x:c r="E22" s="160"/>
      <x:c r="F22" s="160"/>
      <x:c r="G22" s="160"/>
      <x:c r="H22" s="160"/>
      <x:c r="I22" s="160"/>
      <x:c r="J22" s="160"/>
      <x:c r="K22" s="160"/>
      <x:c r="L22" s="161"/>
      <x:c r="M22" s="161"/>
      <x:c r="N22" s="161"/>
      <x:c r="O22" s="161"/>
      <x:c r="P22" s="161"/>
      <x:c r="Q22" s="161"/>
      <x:c r="R22" s="161"/>
      <x:c r="S22" s="161"/>
      <x:c r="T22" s="161"/>
      <x:c r="U22" s="161"/>
      <x:c r="V22" s="161"/>
      <x:c r="W22" s="161"/>
      <x:c r="X22" s="161"/>
      <x:c r="Y22" s="161"/>
      <x:c r="Z22" s="161"/>
    </x:row>
    <x:row r="23">
      <x:c r="A23" s="160"/>
      <x:c r="B23" s="160"/>
      <x:c r="C23" s="160"/>
      <x:c r="D23" s="160"/>
      <x:c r="E23" s="160"/>
      <x:c r="F23" s="160"/>
      <x:c r="G23" s="160"/>
      <x:c r="H23" s="160"/>
      <x:c r="I23" s="160"/>
      <x:c r="J23" s="160"/>
      <x:c r="K23" s="160"/>
      <x:c r="L23" s="161"/>
      <x:c r="M23" s="161"/>
      <x:c r="N23" s="161"/>
      <x:c r="O23" s="161"/>
      <x:c r="P23" s="161"/>
      <x:c r="Q23" s="161"/>
      <x:c r="R23" s="161"/>
      <x:c r="S23" s="161"/>
      <x:c r="T23" s="161"/>
      <x:c r="U23" s="161"/>
      <x:c r="V23" s="161"/>
      <x:c r="W23" s="161"/>
      <x:c r="X23" s="161"/>
      <x:c r="Y23" s="161"/>
      <x:c r="Z23" s="161"/>
    </x:row>
    <x:row r="24">
      <x:c r="A24" s="160"/>
      <x:c r="B24" s="160"/>
      <x:c r="C24" s="160"/>
      <x:c r="D24" s="160"/>
      <x:c r="E24" s="160"/>
      <x:c r="F24" s="160"/>
      <x:c r="G24" s="160"/>
      <x:c r="H24" s="160"/>
      <x:c r="I24" s="160"/>
      <x:c r="J24" s="160"/>
      <x:c r="K24" s="160"/>
      <x:c r="L24" s="161"/>
      <x:c r="M24" s="161"/>
      <x:c r="N24" s="161"/>
      <x:c r="O24" s="161"/>
      <x:c r="P24" s="161"/>
      <x:c r="Q24" s="161"/>
      <x:c r="R24" s="161"/>
      <x:c r="S24" s="161"/>
      <x:c r="T24" s="161"/>
      <x:c r="U24" s="161"/>
      <x:c r="V24" s="161"/>
      <x:c r="W24" s="161"/>
      <x:c r="X24" s="161"/>
      <x:c r="Y24" s="161"/>
      <x:c r="Z24" s="161"/>
    </x:row>
    <x:row r="25">
      <x:c r="A25" s="160"/>
      <x:c r="B25" s="36" t="str">
        <x:v>Uso recomendado: inicia en la hoja 01 Guía y captura únicamente las celdas marcadas como editables.</x:v>
      </x:c>
      <x:c r="C25" s="160"/>
      <x:c r="D25" s="160"/>
      <x:c r="E25" s="160"/>
      <x:c r="F25" s="160"/>
      <x:c r="G25" s="160"/>
      <x:c r="H25" s="160"/>
      <x:c r="I25" s="160"/>
      <x:c r="J25" s="160"/>
      <x:c r="K25" s="160"/>
      <x:c r="L25" s="161"/>
      <x:c r="M25" s="161"/>
      <x:c r="N25" s="161"/>
      <x:c r="O25" s="161"/>
      <x:c r="P25" s="161"/>
      <x:c r="Q25" s="161"/>
      <x:c r="R25" s="161"/>
      <x:c r="S25" s="161"/>
      <x:c r="T25" s="161"/>
      <x:c r="U25" s="161"/>
      <x:c r="V25" s="161"/>
      <x:c r="W25" s="161"/>
      <x:c r="X25" s="161"/>
      <x:c r="Y25" s="161"/>
      <x:c r="Z25" s="161"/>
    </x:row>
    <x:row r="26">
      <x:c r="A26" s="160"/>
      <x:c r="B26" s="160"/>
      <x:c r="C26" s="160"/>
      <x:c r="D26" s="160"/>
      <x:c r="E26" s="160"/>
      <x:c r="F26" s="160"/>
      <x:c r="G26" s="160"/>
      <x:c r="H26" s="160"/>
      <x:c r="I26" s="160"/>
      <x:c r="J26" s="160"/>
      <x:c r="K26" s="160"/>
      <x:c r="L26" s="161"/>
      <x:c r="M26" s="161"/>
      <x:c r="N26" s="161"/>
      <x:c r="O26" s="161"/>
      <x:c r="P26" s="161"/>
      <x:c r="Q26" s="161"/>
      <x:c r="R26" s="161"/>
      <x:c r="S26" s="161"/>
      <x:c r="T26" s="161"/>
      <x:c r="U26" s="161"/>
      <x:c r="V26" s="161"/>
      <x:c r="W26" s="161"/>
      <x:c r="X26" s="161"/>
      <x:c r="Y26" s="161"/>
      <x:c r="Z26" s="161"/>
    </x:row>
    <x:row r="27">
      <x:c r="A27" s="160"/>
      <x:c r="B27" s="160"/>
      <x:c r="C27" s="160"/>
      <x:c r="D27" s="160"/>
      <x:c r="E27" s="160"/>
      <x:c r="F27" s="160"/>
      <x:c r="G27" s="160"/>
      <x:c r="H27" s="160"/>
      <x:c r="I27" s="160"/>
      <x:c r="J27" s="160"/>
      <x:c r="K27" s="160"/>
      <x:c r="L27" s="161"/>
      <x:c r="M27" s="161"/>
      <x:c r="N27" s="161"/>
      <x:c r="O27" s="161"/>
      <x:c r="P27" s="161"/>
      <x:c r="Q27" s="161"/>
      <x:c r="R27" s="161"/>
      <x:c r="S27" s="161"/>
      <x:c r="T27" s="161"/>
      <x:c r="U27" s="161"/>
      <x:c r="V27" s="161"/>
      <x:c r="W27" s="161"/>
      <x:c r="X27" s="161"/>
      <x:c r="Y27" s="161"/>
      <x:c r="Z27" s="161"/>
    </x:row>
    <x:row r="28">
      <x:c r="A28" s="160"/>
      <x:c r="B28" s="160"/>
      <x:c r="C28" s="160"/>
      <x:c r="D28" s="160"/>
      <x:c r="E28" s="160"/>
      <x:c r="F28" s="160"/>
      <x:c r="G28" s="160"/>
      <x:c r="H28" s="160"/>
      <x:c r="I28" s="160"/>
      <x:c r="J28" s="160"/>
      <x:c r="K28" s="160"/>
      <x:c r="L28" s="161"/>
      <x:c r="M28" s="161"/>
      <x:c r="N28" s="161"/>
      <x:c r="O28" s="161"/>
      <x:c r="P28" s="161"/>
      <x:c r="Q28" s="161"/>
      <x:c r="R28" s="161"/>
      <x:c r="S28" s="161"/>
      <x:c r="T28" s="161"/>
      <x:c r="U28" s="161"/>
      <x:c r="V28" s="161"/>
      <x:c r="W28" s="161"/>
      <x:c r="X28" s="161"/>
      <x:c r="Y28" s="161"/>
      <x:c r="Z28" s="161"/>
    </x:row>
    <x:row r="29">
      <x:c r="A29" s="160"/>
      <x:c r="B29" s="160"/>
      <x:c r="C29" s="160"/>
      <x:c r="D29" s="160"/>
      <x:c r="E29" s="160"/>
      <x:c r="F29" s="160"/>
      <x:c r="G29" s="160"/>
      <x:c r="H29" s="160"/>
      <x:c r="I29" s="160"/>
      <x:c r="J29" s="160"/>
      <x:c r="K29" s="160"/>
      <x:c r="L29" s="161"/>
      <x:c r="M29" s="161"/>
      <x:c r="N29" s="161"/>
      <x:c r="O29" s="161"/>
      <x:c r="P29" s="161"/>
      <x:c r="Q29" s="161"/>
      <x:c r="R29" s="161"/>
      <x:c r="S29" s="161"/>
      <x:c r="T29" s="161"/>
      <x:c r="U29" s="161"/>
      <x:c r="V29" s="161"/>
      <x:c r="W29" s="161"/>
      <x:c r="X29" s="161"/>
      <x:c r="Y29" s="161"/>
      <x:c r="Z29" s="161"/>
    </x:row>
    <x:row r="30">
      <x:c r="A30" s="160"/>
      <x:c r="B30" s="160"/>
      <x:c r="C30" s="160"/>
      <x:c r="D30" s="160"/>
      <x:c r="E30" s="160"/>
      <x:c r="F30" s="160"/>
      <x:c r="G30" s="160"/>
      <x:c r="H30" s="160"/>
      <x:c r="I30" s="160"/>
      <x:c r="J30" s="160"/>
      <x:c r="K30" s="160"/>
      <x:c r="L30" s="161"/>
      <x:c r="M30" s="161"/>
      <x:c r="N30" s="161"/>
      <x:c r="O30" s="161"/>
      <x:c r="P30" s="161"/>
      <x:c r="Q30" s="161"/>
      <x:c r="R30" s="161"/>
      <x:c r="S30" s="161"/>
      <x:c r="T30" s="161"/>
      <x:c r="U30" s="161"/>
      <x:c r="V30" s="161"/>
      <x:c r="W30" s="161"/>
      <x:c r="X30" s="161"/>
      <x:c r="Y30" s="161"/>
      <x:c r="Z30" s="161"/>
    </x:row>
    <x:row r="31">
      <x:c r="A31" s="161"/>
      <x:c r="B31" s="161"/>
      <x:c r="C31" s="161"/>
      <x:c r="D31" s="161"/>
      <x:c r="E31" s="161"/>
      <x:c r="F31" s="161"/>
      <x:c r="G31" s="161"/>
      <x:c r="H31" s="161"/>
      <x:c r="I31" s="161"/>
      <x:c r="J31" s="161"/>
      <x:c r="K31" s="161"/>
      <x:c r="L31" s="161"/>
      <x:c r="M31" s="161"/>
      <x:c r="N31" s="161"/>
      <x:c r="O31" s="161"/>
      <x:c r="P31" s="161"/>
      <x:c r="Q31" s="161"/>
      <x:c r="R31" s="161"/>
      <x:c r="S31" s="161"/>
      <x:c r="T31" s="161"/>
      <x:c r="U31" s="161"/>
      <x:c r="V31" s="161"/>
      <x:c r="W31" s="161"/>
      <x:c r="X31" s="161"/>
      <x:c r="Y31" s="161"/>
      <x:c r="Z31" s="161"/>
    </x:row>
    <x:row r="32">
      <x:c r="A32" s="161"/>
      <x:c r="B32" s="161"/>
      <x:c r="C32" s="161"/>
      <x:c r="D32" s="161"/>
      <x:c r="E32" s="161"/>
      <x:c r="F32" s="161"/>
      <x:c r="G32" s="161"/>
      <x:c r="H32" s="161"/>
      <x:c r="I32" s="161"/>
      <x:c r="J32" s="161"/>
      <x:c r="K32" s="161"/>
      <x:c r="L32" s="161"/>
      <x:c r="M32" s="161"/>
      <x:c r="N32" s="161"/>
      <x:c r="O32" s="161"/>
      <x:c r="P32" s="161"/>
      <x:c r="Q32" s="161"/>
      <x:c r="R32" s="161"/>
      <x:c r="S32" s="161"/>
      <x:c r="T32" s="161"/>
      <x:c r="U32" s="161"/>
      <x:c r="V32" s="161"/>
      <x:c r="W32" s="161"/>
      <x:c r="X32" s="161"/>
      <x:c r="Y32" s="161"/>
      <x:c r="Z32" s="161"/>
    </x:row>
    <x:row r="33">
      <x:c r="A33" s="161"/>
      <x:c r="B33" s="161"/>
      <x:c r="C33" s="161"/>
      <x:c r="D33" s="161"/>
      <x:c r="E33" s="161"/>
      <x:c r="F33" s="161"/>
      <x:c r="G33" s="161"/>
      <x:c r="H33" s="161"/>
      <x:c r="I33" s="161"/>
      <x:c r="J33" s="161"/>
      <x:c r="K33" s="161"/>
      <x:c r="L33" s="161"/>
      <x:c r="M33" s="161"/>
      <x:c r="N33" s="161"/>
      <x:c r="O33" s="161"/>
      <x:c r="P33" s="161"/>
      <x:c r="Q33" s="161"/>
      <x:c r="R33" s="161"/>
      <x:c r="S33" s="161"/>
      <x:c r="T33" s="161"/>
      <x:c r="U33" s="161"/>
      <x:c r="V33" s="161"/>
      <x:c r="W33" s="161"/>
      <x:c r="X33" s="161"/>
      <x:c r="Y33" s="161"/>
      <x:c r="Z33" s="161"/>
    </x:row>
    <x:row r="34">
      <x:c r="A34" s="161"/>
      <x:c r="B34" s="161"/>
      <x:c r="C34" s="161"/>
      <x:c r="D34" s="161"/>
      <x:c r="E34" s="161"/>
      <x:c r="F34" s="161"/>
      <x:c r="G34" s="161"/>
      <x:c r="H34" s="161"/>
      <x:c r="I34" s="161"/>
      <x:c r="J34" s="161"/>
      <x:c r="K34" s="161"/>
      <x:c r="L34" s="161"/>
      <x:c r="M34" s="161"/>
      <x:c r="N34" s="161"/>
      <x:c r="O34" s="161"/>
      <x:c r="P34" s="161"/>
      <x:c r="Q34" s="161"/>
      <x:c r="R34" s="161"/>
      <x:c r="S34" s="161"/>
      <x:c r="T34" s="161"/>
      <x:c r="U34" s="161"/>
      <x:c r="V34" s="161"/>
      <x:c r="W34" s="161"/>
      <x:c r="X34" s="161"/>
      <x:c r="Y34" s="161"/>
      <x:c r="Z34" s="161"/>
    </x:row>
    <x:row r="35">
      <x:c r="A35" s="161"/>
      <x:c r="B35" s="161"/>
      <x:c r="C35" s="161"/>
      <x:c r="D35" s="161"/>
      <x:c r="E35" s="161"/>
      <x:c r="F35" s="161"/>
      <x:c r="G35" s="161"/>
      <x:c r="H35" s="161"/>
      <x:c r="I35" s="161"/>
      <x:c r="J35" s="161"/>
      <x:c r="K35" s="161"/>
      <x:c r="L35" s="161"/>
      <x:c r="M35" s="161"/>
      <x:c r="N35" s="161"/>
      <x:c r="O35" s="161"/>
      <x:c r="P35" s="161"/>
      <x:c r="Q35" s="161"/>
      <x:c r="R35" s="161"/>
      <x:c r="S35" s="161"/>
      <x:c r="T35" s="161"/>
      <x:c r="U35" s="161"/>
      <x:c r="V35" s="161"/>
      <x:c r="W35" s="161"/>
      <x:c r="X35" s="161"/>
      <x:c r="Y35" s="161"/>
      <x:c r="Z35" s="161"/>
    </x:row>
    <x:row r="36">
      <x:c r="A36" s="161"/>
      <x:c r="B36" s="161"/>
      <x:c r="C36" s="161"/>
      <x:c r="D36" s="161"/>
      <x:c r="E36" s="161"/>
      <x:c r="F36" s="161"/>
      <x:c r="G36" s="161"/>
      <x:c r="H36" s="161"/>
      <x:c r="I36" s="161"/>
      <x:c r="J36" s="161"/>
      <x:c r="K36" s="161"/>
      <x:c r="L36" s="161"/>
      <x:c r="M36" s="161"/>
      <x:c r="N36" s="161"/>
      <x:c r="O36" s="161"/>
      <x:c r="P36" s="161"/>
      <x:c r="Q36" s="161"/>
      <x:c r="R36" s="161"/>
      <x:c r="S36" s="161"/>
      <x:c r="T36" s="161"/>
      <x:c r="U36" s="161"/>
      <x:c r="V36" s="161"/>
      <x:c r="W36" s="161"/>
      <x:c r="X36" s="161"/>
      <x:c r="Y36" s="161"/>
      <x:c r="Z36" s="161"/>
    </x:row>
    <x:row r="37">
      <x:c r="A37" s="161"/>
      <x:c r="B37" s="161"/>
      <x:c r="C37" s="161"/>
      <x:c r="D37" s="161"/>
      <x:c r="E37" s="161"/>
      <x:c r="F37" s="161"/>
      <x:c r="G37" s="161"/>
      <x:c r="H37" s="161"/>
      <x:c r="I37" s="161"/>
      <x:c r="J37" s="161"/>
      <x:c r="K37" s="161"/>
      <x:c r="L37" s="161"/>
      <x:c r="M37" s="161"/>
      <x:c r="N37" s="161"/>
      <x:c r="O37" s="161"/>
      <x:c r="P37" s="161"/>
      <x:c r="Q37" s="161"/>
      <x:c r="R37" s="161"/>
      <x:c r="S37" s="161"/>
      <x:c r="T37" s="161"/>
      <x:c r="U37" s="161"/>
      <x:c r="V37" s="161"/>
      <x:c r="W37" s="161"/>
      <x:c r="X37" s="161"/>
      <x:c r="Y37" s="161"/>
      <x:c r="Z37" s="161"/>
    </x:row>
    <x:row r="38">
      <x:c r="A38" s="161"/>
      <x:c r="B38" s="161"/>
      <x:c r="C38" s="161"/>
      <x:c r="D38" s="161"/>
      <x:c r="E38" s="161"/>
      <x:c r="F38" s="161"/>
      <x:c r="G38" s="161"/>
      <x:c r="H38" s="161"/>
      <x:c r="I38" s="161"/>
      <x:c r="J38" s="161"/>
      <x:c r="K38" s="161"/>
      <x:c r="L38" s="161"/>
      <x:c r="M38" s="161"/>
      <x:c r="N38" s="161"/>
      <x:c r="O38" s="161"/>
      <x:c r="P38" s="161"/>
      <x:c r="Q38" s="161"/>
      <x:c r="R38" s="161"/>
      <x:c r="S38" s="161"/>
      <x:c r="T38" s="161"/>
      <x:c r="U38" s="161"/>
      <x:c r="V38" s="161"/>
      <x:c r="W38" s="161"/>
      <x:c r="X38" s="161"/>
      <x:c r="Y38" s="161"/>
      <x:c r="Z38" s="161"/>
    </x:row>
    <x:row r="39">
      <x:c r="A39" s="161"/>
      <x:c r="B39" s="161"/>
      <x:c r="C39" s="161"/>
      <x:c r="D39" s="161"/>
      <x:c r="E39" s="161"/>
      <x:c r="F39" s="161"/>
      <x:c r="G39" s="161"/>
      <x:c r="H39" s="161"/>
      <x:c r="I39" s="161"/>
      <x:c r="J39" s="161"/>
      <x:c r="K39" s="161"/>
      <x:c r="L39" s="161"/>
      <x:c r="M39" s="161"/>
      <x:c r="N39" s="161"/>
      <x:c r="O39" s="161"/>
      <x:c r="P39" s="161"/>
      <x:c r="Q39" s="161"/>
      <x:c r="R39" s="161"/>
      <x:c r="S39" s="161"/>
      <x:c r="T39" s="161"/>
      <x:c r="U39" s="161"/>
      <x:c r="V39" s="161"/>
      <x:c r="W39" s="161"/>
      <x:c r="X39" s="161"/>
      <x:c r="Y39" s="161"/>
      <x:c r="Z39" s="161"/>
    </x:row>
    <x:row r="40">
      <x:c r="A40" s="161"/>
      <x:c r="B40" s="161"/>
      <x:c r="C40" s="161"/>
      <x:c r="D40" s="161"/>
      <x:c r="E40" s="161"/>
      <x:c r="F40" s="161"/>
      <x:c r="G40" s="161"/>
      <x:c r="H40" s="161"/>
      <x:c r="I40" s="161"/>
      <x:c r="J40" s="161"/>
      <x:c r="K40" s="161"/>
      <x:c r="L40" s="161"/>
      <x:c r="M40" s="161"/>
      <x:c r="N40" s="161"/>
      <x:c r="O40" s="161"/>
      <x:c r="P40" s="161"/>
      <x:c r="Q40" s="161"/>
      <x:c r="R40" s="161"/>
      <x:c r="S40" s="161"/>
      <x:c r="T40" s="161"/>
      <x:c r="U40" s="161"/>
      <x:c r="V40" s="161"/>
      <x:c r="W40" s="161"/>
      <x:c r="X40" s="161"/>
      <x:c r="Y40" s="161"/>
      <x:c r="Z40" s="161"/>
    </x:row>
    <x:row r="41">
      <x:c r="A41" s="161"/>
      <x:c r="B41" s="161"/>
      <x:c r="C41" s="161"/>
      <x:c r="D41" s="161"/>
      <x:c r="E41" s="161"/>
      <x:c r="F41" s="161"/>
      <x:c r="G41" s="161"/>
      <x:c r="H41" s="161"/>
      <x:c r="I41" s="161"/>
      <x:c r="J41" s="161"/>
      <x:c r="K41" s="161"/>
      <x:c r="L41" s="161"/>
      <x:c r="M41" s="161"/>
      <x:c r="N41" s="161"/>
      <x:c r="O41" s="161"/>
      <x:c r="P41" s="161"/>
      <x:c r="Q41" s="161"/>
      <x:c r="R41" s="161"/>
      <x:c r="S41" s="161"/>
      <x:c r="T41" s="161"/>
      <x:c r="U41" s="161"/>
      <x:c r="V41" s="161"/>
      <x:c r="W41" s="161"/>
      <x:c r="X41" s="161"/>
      <x:c r="Y41" s="161"/>
      <x:c r="Z41" s="161"/>
    </x:row>
    <x:row r="42">
      <x:c r="A42" s="161"/>
      <x:c r="B42" s="161"/>
      <x:c r="C42" s="161"/>
      <x:c r="D42" s="161"/>
      <x:c r="E42" s="161"/>
      <x:c r="F42" s="161"/>
      <x:c r="G42" s="161"/>
      <x:c r="H42" s="161"/>
      <x:c r="I42" s="161"/>
      <x:c r="J42" s="161"/>
      <x:c r="K42" s="161"/>
      <x:c r="L42" s="161"/>
      <x:c r="M42" s="161"/>
      <x:c r="N42" s="161"/>
      <x:c r="O42" s="161"/>
      <x:c r="P42" s="161"/>
      <x:c r="Q42" s="161"/>
      <x:c r="R42" s="161"/>
      <x:c r="S42" s="161"/>
      <x:c r="T42" s="161"/>
      <x:c r="U42" s="161"/>
      <x:c r="V42" s="161"/>
      <x:c r="W42" s="161"/>
      <x:c r="X42" s="161"/>
      <x:c r="Y42" s="161"/>
      <x:c r="Z42" s="161"/>
    </x:row>
    <x:row r="43">
      <x:c r="A43" s="161"/>
      <x:c r="B43" s="161"/>
      <x:c r="C43" s="161"/>
      <x:c r="D43" s="161"/>
      <x:c r="E43" s="161"/>
      <x:c r="F43" s="161"/>
      <x:c r="G43" s="161"/>
      <x:c r="H43" s="161"/>
      <x:c r="I43" s="161"/>
      <x:c r="J43" s="161"/>
      <x:c r="K43" s="161"/>
      <x:c r="L43" s="161"/>
      <x:c r="M43" s="161"/>
      <x:c r="N43" s="161"/>
      <x:c r="O43" s="161"/>
      <x:c r="P43" s="161"/>
      <x:c r="Q43" s="161"/>
      <x:c r="R43" s="161"/>
      <x:c r="S43" s="161"/>
      <x:c r="T43" s="161"/>
      <x:c r="U43" s="161"/>
      <x:c r="V43" s="161"/>
      <x:c r="W43" s="161"/>
      <x:c r="X43" s="161"/>
      <x:c r="Y43" s="161"/>
      <x:c r="Z43" s="161"/>
    </x:row>
    <x:row r="44">
      <x:c r="A44" s="161"/>
      <x:c r="B44" s="161"/>
      <x:c r="C44" s="161"/>
      <x:c r="D44" s="161"/>
      <x:c r="E44" s="161"/>
      <x:c r="F44" s="161"/>
      <x:c r="G44" s="161"/>
      <x:c r="H44" s="161"/>
      <x:c r="I44" s="161"/>
      <x:c r="J44" s="161"/>
      <x:c r="K44" s="161"/>
      <x:c r="L44" s="161"/>
      <x:c r="M44" s="161"/>
      <x:c r="N44" s="161"/>
      <x:c r="O44" s="161"/>
      <x:c r="P44" s="161"/>
      <x:c r="Q44" s="161"/>
      <x:c r="R44" s="161"/>
      <x:c r="S44" s="161"/>
      <x:c r="T44" s="161"/>
      <x:c r="U44" s="161"/>
      <x:c r="V44" s="161"/>
      <x:c r="W44" s="161"/>
      <x:c r="X44" s="161"/>
      <x:c r="Y44" s="161"/>
      <x:c r="Z44" s="161"/>
    </x:row>
    <x:row r="45">
      <x:c r="A45" s="161"/>
      <x:c r="B45" s="161"/>
      <x:c r="C45" s="161"/>
      <x:c r="D45" s="161"/>
      <x:c r="E45" s="161"/>
      <x:c r="F45" s="161"/>
      <x:c r="G45" s="161"/>
      <x:c r="H45" s="161"/>
      <x:c r="I45" s="161"/>
      <x:c r="J45" s="161"/>
      <x:c r="K45" s="161"/>
      <x:c r="L45" s="161"/>
      <x:c r="M45" s="161"/>
      <x:c r="N45" s="161"/>
      <x:c r="O45" s="161"/>
      <x:c r="P45" s="161"/>
      <x:c r="Q45" s="161"/>
      <x:c r="R45" s="161"/>
      <x:c r="S45" s="161"/>
      <x:c r="T45" s="161"/>
      <x:c r="U45" s="161"/>
      <x:c r="V45" s="161"/>
      <x:c r="W45" s="161"/>
      <x:c r="X45" s="161"/>
      <x:c r="Y45" s="161"/>
      <x:c r="Z45" s="161"/>
    </x:row>
    <x:row r="46">
      <x:c r="A46" s="161"/>
      <x:c r="B46" s="161"/>
      <x:c r="C46" s="161"/>
      <x:c r="D46" s="161"/>
      <x:c r="E46" s="161"/>
      <x:c r="F46" s="161"/>
      <x:c r="G46" s="161"/>
      <x:c r="H46" s="161"/>
      <x:c r="I46" s="161"/>
      <x:c r="J46" s="161"/>
      <x:c r="K46" s="161"/>
      <x:c r="L46" s="161"/>
      <x:c r="M46" s="161"/>
      <x:c r="N46" s="161"/>
      <x:c r="O46" s="161"/>
      <x:c r="P46" s="161"/>
      <x:c r="Q46" s="161"/>
      <x:c r="R46" s="161"/>
      <x:c r="S46" s="161"/>
      <x:c r="T46" s="161"/>
      <x:c r="U46" s="161"/>
      <x:c r="V46" s="161"/>
      <x:c r="W46" s="161"/>
      <x:c r="X46" s="161"/>
      <x:c r="Y46" s="161"/>
      <x:c r="Z46" s="161"/>
    </x:row>
    <x:row r="47">
      <x:c r="A47" s="161"/>
      <x:c r="B47" s="161"/>
      <x:c r="C47" s="161"/>
      <x:c r="D47" s="161"/>
      <x:c r="E47" s="161"/>
      <x:c r="F47" s="161"/>
      <x:c r="G47" s="161"/>
      <x:c r="H47" s="161"/>
      <x:c r="I47" s="161"/>
      <x:c r="J47" s="161"/>
      <x:c r="K47" s="161"/>
      <x:c r="L47" s="161"/>
      <x:c r="M47" s="161"/>
      <x:c r="N47" s="161"/>
      <x:c r="O47" s="161"/>
      <x:c r="P47" s="161"/>
      <x:c r="Q47" s="161"/>
      <x:c r="R47" s="161"/>
      <x:c r="S47" s="161"/>
      <x:c r="T47" s="161"/>
      <x:c r="U47" s="161"/>
      <x:c r="V47" s="161"/>
      <x:c r="W47" s="161"/>
      <x:c r="X47" s="161"/>
      <x:c r="Y47" s="161"/>
      <x:c r="Z47" s="161"/>
    </x:row>
    <x:row r="48">
      <x:c r="A48" s="161"/>
      <x:c r="B48" s="161"/>
      <x:c r="C48" s="161"/>
      <x:c r="D48" s="161"/>
      <x:c r="E48" s="161"/>
      <x:c r="F48" s="161"/>
      <x:c r="G48" s="161"/>
      <x:c r="H48" s="161"/>
      <x:c r="I48" s="161"/>
      <x:c r="J48" s="161"/>
      <x:c r="K48" s="161"/>
      <x:c r="L48" s="161"/>
      <x:c r="M48" s="161"/>
      <x:c r="N48" s="161"/>
      <x:c r="O48" s="161"/>
      <x:c r="P48" s="161"/>
      <x:c r="Q48" s="161"/>
      <x:c r="R48" s="161"/>
      <x:c r="S48" s="161"/>
      <x:c r="T48" s="161"/>
      <x:c r="U48" s="161"/>
      <x:c r="V48" s="161"/>
      <x:c r="W48" s="161"/>
      <x:c r="X48" s="161"/>
      <x:c r="Y48" s="161"/>
      <x:c r="Z48" s="161"/>
    </x:row>
    <x:row r="49">
      <x:c r="A49" s="161"/>
      <x:c r="B49" s="161"/>
      <x:c r="C49" s="161"/>
      <x:c r="D49" s="161"/>
      <x:c r="E49" s="161"/>
      <x:c r="F49" s="161"/>
      <x:c r="G49" s="161"/>
      <x:c r="H49" s="161"/>
      <x:c r="I49" s="161"/>
      <x:c r="J49" s="161"/>
      <x:c r="K49" s="161"/>
      <x:c r="L49" s="161"/>
      <x:c r="M49" s="161"/>
      <x:c r="N49" s="161"/>
      <x:c r="O49" s="161"/>
      <x:c r="P49" s="161"/>
      <x:c r="Q49" s="161"/>
      <x:c r="R49" s="161"/>
      <x:c r="S49" s="161"/>
      <x:c r="T49" s="161"/>
      <x:c r="U49" s="161"/>
      <x:c r="V49" s="161"/>
      <x:c r="W49" s="161"/>
      <x:c r="X49" s="161"/>
      <x:c r="Y49" s="161"/>
      <x:c r="Z49" s="161"/>
    </x:row>
    <x:row r="50">
      <x:c r="A50" s="161"/>
      <x:c r="B50" s="161"/>
      <x:c r="C50" s="161"/>
      <x:c r="D50" s="161"/>
      <x:c r="E50" s="161"/>
      <x:c r="F50" s="161"/>
      <x:c r="G50" s="161"/>
      <x:c r="H50" s="161"/>
      <x:c r="I50" s="161"/>
      <x:c r="J50" s="161"/>
      <x:c r="K50" s="161"/>
      <x:c r="L50" s="161"/>
      <x:c r="M50" s="161"/>
      <x:c r="N50" s="161"/>
      <x:c r="O50" s="161"/>
      <x:c r="P50" s="161"/>
      <x:c r="Q50" s="161"/>
      <x:c r="R50" s="161"/>
      <x:c r="S50" s="161"/>
      <x:c r="T50" s="161"/>
      <x:c r="U50" s="161"/>
      <x:c r="V50" s="161"/>
      <x:c r="W50" s="161"/>
      <x:c r="X50" s="161"/>
      <x:c r="Y50" s="161"/>
      <x:c r="Z50" s="161"/>
    </x:row>
    <x:row r="51">
      <x:c r="A51" s="161"/>
      <x:c r="B51" s="161"/>
      <x:c r="C51" s="161"/>
      <x:c r="D51" s="161"/>
      <x:c r="E51" s="161"/>
      <x:c r="F51" s="161"/>
      <x:c r="G51" s="161"/>
      <x:c r="H51" s="161"/>
      <x:c r="I51" s="161"/>
      <x:c r="J51" s="161"/>
      <x:c r="K51" s="161"/>
      <x:c r="L51" s="161"/>
      <x:c r="M51" s="161"/>
      <x:c r="N51" s="161"/>
      <x:c r="O51" s="161"/>
      <x:c r="P51" s="161"/>
      <x:c r="Q51" s="161"/>
      <x:c r="R51" s="161"/>
      <x:c r="S51" s="161"/>
      <x:c r="T51" s="161"/>
      <x:c r="U51" s="161"/>
      <x:c r="V51" s="161"/>
      <x:c r="W51" s="161"/>
      <x:c r="X51" s="161"/>
      <x:c r="Y51" s="161"/>
      <x:c r="Z51" s="161"/>
    </x:row>
    <x:row r="52">
      <x:c r="A52" s="161"/>
      <x:c r="B52" s="161"/>
      <x:c r="C52" s="161"/>
      <x:c r="D52" s="161"/>
      <x:c r="E52" s="161"/>
      <x:c r="F52" s="161"/>
      <x:c r="G52" s="161"/>
      <x:c r="H52" s="161"/>
      <x:c r="I52" s="161"/>
      <x:c r="J52" s="161"/>
      <x:c r="K52" s="161"/>
      <x:c r="L52" s="161"/>
      <x:c r="M52" s="161"/>
      <x:c r="N52" s="161"/>
      <x:c r="O52" s="161"/>
      <x:c r="P52" s="161"/>
      <x:c r="Q52" s="161"/>
      <x:c r="R52" s="161"/>
      <x:c r="S52" s="161"/>
      <x:c r="T52" s="161"/>
      <x:c r="U52" s="161"/>
      <x:c r="V52" s="161"/>
      <x:c r="W52" s="161"/>
      <x:c r="X52" s="161"/>
      <x:c r="Y52" s="161"/>
      <x:c r="Z52" s="161"/>
    </x:row>
    <x:row r="53">
      <x:c r="A53" s="161"/>
      <x:c r="B53" s="161"/>
      <x:c r="C53" s="161"/>
      <x:c r="D53" s="161"/>
      <x:c r="E53" s="161"/>
      <x:c r="F53" s="161"/>
      <x:c r="G53" s="161"/>
      <x:c r="H53" s="161"/>
      <x:c r="I53" s="161"/>
      <x:c r="J53" s="161"/>
      <x:c r="K53" s="161"/>
      <x:c r="L53" s="161"/>
      <x:c r="M53" s="161"/>
      <x:c r="N53" s="161"/>
      <x:c r="O53" s="161"/>
      <x:c r="P53" s="161"/>
      <x:c r="Q53" s="161"/>
      <x:c r="R53" s="161"/>
      <x:c r="S53" s="161"/>
      <x:c r="T53" s="161"/>
      <x:c r="U53" s="161"/>
      <x:c r="V53" s="161"/>
      <x:c r="W53" s="161"/>
      <x:c r="X53" s="161"/>
      <x:c r="Y53" s="161"/>
      <x:c r="Z53" s="161"/>
    </x:row>
    <x:row r="54">
      <x:c r="A54" s="161"/>
      <x:c r="B54" s="161"/>
      <x:c r="C54" s="161"/>
      <x:c r="D54" s="161"/>
      <x:c r="E54" s="161"/>
      <x:c r="F54" s="161"/>
      <x:c r="G54" s="161"/>
      <x:c r="H54" s="161"/>
      <x:c r="I54" s="161"/>
      <x:c r="J54" s="161"/>
      <x:c r="K54" s="161"/>
      <x:c r="L54" s="161"/>
      <x:c r="M54" s="161"/>
      <x:c r="N54" s="161"/>
      <x:c r="O54" s="161"/>
      <x:c r="P54" s="161"/>
      <x:c r="Q54" s="161"/>
      <x:c r="R54" s="161"/>
      <x:c r="S54" s="161"/>
      <x:c r="T54" s="161"/>
      <x:c r="U54" s="161"/>
      <x:c r="V54" s="161"/>
      <x:c r="W54" s="161"/>
      <x:c r="X54" s="161"/>
      <x:c r="Y54" s="161"/>
      <x:c r="Z54" s="161"/>
    </x:row>
    <x:row r="55">
      <x:c r="A55" s="161"/>
      <x:c r="B55" s="161"/>
      <x:c r="C55" s="161"/>
      <x:c r="D55" s="161"/>
      <x:c r="E55" s="161"/>
      <x:c r="F55" s="161"/>
      <x:c r="G55" s="161"/>
      <x:c r="H55" s="161"/>
      <x:c r="I55" s="161"/>
      <x:c r="J55" s="161"/>
      <x:c r="K55" s="161"/>
      <x:c r="L55" s="161"/>
      <x:c r="M55" s="161"/>
      <x:c r="N55" s="161"/>
      <x:c r="O55" s="161"/>
      <x:c r="P55" s="161"/>
      <x:c r="Q55" s="161"/>
      <x:c r="R55" s="161"/>
      <x:c r="S55" s="161"/>
      <x:c r="T55" s="161"/>
      <x:c r="U55" s="161"/>
      <x:c r="V55" s="161"/>
      <x:c r="W55" s="161"/>
      <x:c r="X55" s="161"/>
      <x:c r="Y55" s="161"/>
      <x:c r="Z55" s="161"/>
    </x:row>
    <x:row r="56">
      <x:c r="A56" s="161"/>
      <x:c r="B56" s="161"/>
      <x:c r="C56" s="161"/>
      <x:c r="D56" s="161"/>
      <x:c r="E56" s="161"/>
      <x:c r="F56" s="161"/>
      <x:c r="G56" s="161"/>
      <x:c r="H56" s="161"/>
      <x:c r="I56" s="161"/>
      <x:c r="J56" s="161"/>
      <x:c r="K56" s="161"/>
      <x:c r="L56" s="161"/>
      <x:c r="M56" s="161"/>
      <x:c r="N56" s="161"/>
      <x:c r="O56" s="161"/>
      <x:c r="P56" s="161"/>
      <x:c r="Q56" s="161"/>
      <x:c r="R56" s="161"/>
      <x:c r="S56" s="161"/>
      <x:c r="T56" s="161"/>
      <x:c r="U56" s="161"/>
      <x:c r="V56" s="161"/>
      <x:c r="W56" s="161"/>
      <x:c r="X56" s="161"/>
      <x:c r="Y56" s="161"/>
      <x:c r="Z56" s="161"/>
    </x:row>
    <x:row r="57">
      <x:c r="A57" s="161"/>
      <x:c r="B57" s="161"/>
      <x:c r="C57" s="161"/>
      <x:c r="D57" s="161"/>
      <x:c r="E57" s="161"/>
      <x:c r="F57" s="161"/>
      <x:c r="G57" s="161"/>
      <x:c r="H57" s="161"/>
      <x:c r="I57" s="161"/>
      <x:c r="J57" s="161"/>
      <x:c r="K57" s="161"/>
      <x:c r="L57" s="161"/>
      <x:c r="M57" s="161"/>
      <x:c r="N57" s="161"/>
      <x:c r="O57" s="161"/>
      <x:c r="P57" s="161"/>
      <x:c r="Q57" s="161"/>
      <x:c r="R57" s="161"/>
      <x:c r="S57" s="161"/>
      <x:c r="T57" s="161"/>
      <x:c r="U57" s="161"/>
      <x:c r="V57" s="161"/>
      <x:c r="W57" s="161"/>
      <x:c r="X57" s="161"/>
      <x:c r="Y57" s="161"/>
      <x:c r="Z57" s="161"/>
    </x:row>
    <x:row r="58">
      <x:c r="A58" s="161"/>
      <x:c r="B58" s="161"/>
      <x:c r="C58" s="161"/>
      <x:c r="D58" s="161"/>
      <x:c r="E58" s="161"/>
      <x:c r="F58" s="161"/>
      <x:c r="G58" s="161"/>
      <x:c r="H58" s="161"/>
      <x:c r="I58" s="161"/>
      <x:c r="J58" s="161"/>
      <x:c r="K58" s="161"/>
      <x:c r="L58" s="161"/>
      <x:c r="M58" s="161"/>
      <x:c r="N58" s="161"/>
      <x:c r="O58" s="161"/>
      <x:c r="P58" s="161"/>
      <x:c r="Q58" s="161"/>
      <x:c r="R58" s="161"/>
      <x:c r="S58" s="161"/>
      <x:c r="T58" s="161"/>
      <x:c r="U58" s="161"/>
      <x:c r="V58" s="161"/>
      <x:c r="W58" s="161"/>
      <x:c r="X58" s="161"/>
      <x:c r="Y58" s="161"/>
      <x:c r="Z58" s="161"/>
    </x:row>
    <x:row r="59">
      <x:c r="A59" s="161"/>
      <x:c r="B59" s="161"/>
      <x:c r="C59" s="161"/>
      <x:c r="D59" s="161"/>
      <x:c r="E59" s="161"/>
      <x:c r="F59" s="161"/>
      <x:c r="G59" s="161"/>
      <x:c r="H59" s="161"/>
      <x:c r="I59" s="161"/>
      <x:c r="J59" s="161"/>
      <x:c r="K59" s="161"/>
      <x:c r="L59" s="161"/>
      <x:c r="M59" s="161"/>
      <x:c r="N59" s="161"/>
      <x:c r="O59" s="161"/>
      <x:c r="P59" s="161"/>
      <x:c r="Q59" s="161"/>
      <x:c r="R59" s="161"/>
      <x:c r="S59" s="161"/>
      <x:c r="T59" s="161"/>
      <x:c r="U59" s="161"/>
      <x:c r="V59" s="161"/>
      <x:c r="W59" s="161"/>
      <x:c r="X59" s="161"/>
      <x:c r="Y59" s="161"/>
      <x:c r="Z59" s="161"/>
    </x:row>
    <x:row r="60">
      <x:c r="A60" s="161"/>
      <x:c r="B60" s="161"/>
      <x:c r="C60" s="161"/>
      <x:c r="D60" s="161"/>
      <x:c r="E60" s="161"/>
      <x:c r="F60" s="161"/>
      <x:c r="G60" s="161"/>
      <x:c r="H60" s="161"/>
      <x:c r="I60" s="161"/>
      <x:c r="J60" s="161"/>
      <x:c r="K60" s="161"/>
      <x:c r="L60" s="161"/>
      <x:c r="M60" s="161"/>
      <x:c r="N60" s="161"/>
      <x:c r="O60" s="161"/>
      <x:c r="P60" s="161"/>
      <x:c r="Q60" s="161"/>
      <x:c r="R60" s="161"/>
      <x:c r="S60" s="161"/>
      <x:c r="T60" s="161"/>
      <x:c r="U60" s="161"/>
      <x:c r="V60" s="161"/>
      <x:c r="W60" s="161"/>
      <x:c r="X60" s="161"/>
      <x:c r="Y60" s="161"/>
      <x:c r="Z60" s="161"/>
    </x:row>
    <x:row r="61">
      <x:c r="A61" s="161"/>
      <x:c r="B61" s="161"/>
      <x:c r="C61" s="161"/>
      <x:c r="D61" s="161"/>
      <x:c r="E61" s="161"/>
      <x:c r="F61" s="161"/>
      <x:c r="G61" s="161"/>
      <x:c r="H61" s="161"/>
      <x:c r="I61" s="161"/>
      <x:c r="J61" s="161"/>
      <x:c r="K61" s="161"/>
      <x:c r="L61" s="161"/>
      <x:c r="M61" s="161"/>
      <x:c r="N61" s="161"/>
      <x:c r="O61" s="161"/>
      <x:c r="P61" s="161"/>
      <x:c r="Q61" s="161"/>
      <x:c r="R61" s="161"/>
      <x:c r="S61" s="161"/>
      <x:c r="T61" s="161"/>
      <x:c r="U61" s="161"/>
      <x:c r="V61" s="161"/>
      <x:c r="W61" s="161"/>
      <x:c r="X61" s="161"/>
      <x:c r="Y61" s="161"/>
      <x:c r="Z61" s="161"/>
    </x:row>
    <x:row r="62">
      <x:c r="A62" s="161"/>
      <x:c r="B62" s="161"/>
      <x:c r="C62" s="161"/>
      <x:c r="D62" s="161"/>
      <x:c r="E62" s="161"/>
      <x:c r="F62" s="161"/>
      <x:c r="G62" s="161"/>
      <x:c r="H62" s="161"/>
      <x:c r="I62" s="161"/>
      <x:c r="J62" s="161"/>
      <x:c r="K62" s="161"/>
      <x:c r="L62" s="161"/>
      <x:c r="M62" s="161"/>
      <x:c r="N62" s="161"/>
      <x:c r="O62" s="161"/>
      <x:c r="P62" s="161"/>
      <x:c r="Q62" s="161"/>
      <x:c r="R62" s="161"/>
      <x:c r="S62" s="161"/>
      <x:c r="T62" s="161"/>
      <x:c r="U62" s="161"/>
      <x:c r="V62" s="161"/>
      <x:c r="W62" s="161"/>
      <x:c r="X62" s="161"/>
      <x:c r="Y62" s="161"/>
      <x:c r="Z62" s="161"/>
    </x:row>
    <x:row r="63">
      <x:c r="A63" s="161"/>
      <x:c r="B63" s="161"/>
      <x:c r="C63" s="161"/>
      <x:c r="D63" s="161"/>
      <x:c r="E63" s="161"/>
      <x:c r="F63" s="161"/>
      <x:c r="G63" s="161"/>
      <x:c r="H63" s="161"/>
      <x:c r="I63" s="161"/>
      <x:c r="J63" s="161"/>
      <x:c r="K63" s="161"/>
      <x:c r="L63" s="161"/>
      <x:c r="M63" s="161"/>
      <x:c r="N63" s="161"/>
      <x:c r="O63" s="161"/>
      <x:c r="P63" s="161"/>
      <x:c r="Q63" s="161"/>
      <x:c r="R63" s="161"/>
      <x:c r="S63" s="161"/>
      <x:c r="T63" s="161"/>
      <x:c r="U63" s="161"/>
      <x:c r="V63" s="161"/>
      <x:c r="W63" s="161"/>
      <x:c r="X63" s="161"/>
      <x:c r="Y63" s="161"/>
      <x:c r="Z63" s="161"/>
    </x:row>
    <x:row r="64">
      <x:c r="A64" s="161"/>
      <x:c r="B64" s="161"/>
      <x:c r="C64" s="161"/>
      <x:c r="D64" s="161"/>
      <x:c r="E64" s="161"/>
      <x:c r="F64" s="161"/>
      <x:c r="G64" s="161"/>
      <x:c r="H64" s="161"/>
      <x:c r="I64" s="161"/>
      <x:c r="J64" s="161"/>
      <x:c r="K64" s="161"/>
      <x:c r="L64" s="161"/>
      <x:c r="M64" s="161"/>
      <x:c r="N64" s="161"/>
      <x:c r="O64" s="161"/>
      <x:c r="P64" s="161"/>
      <x:c r="Q64" s="161"/>
      <x:c r="R64" s="161"/>
      <x:c r="S64" s="161"/>
      <x:c r="T64" s="161"/>
      <x:c r="U64" s="161"/>
      <x:c r="V64" s="161"/>
      <x:c r="W64" s="161"/>
      <x:c r="X64" s="161"/>
      <x:c r="Y64" s="161"/>
      <x:c r="Z64" s="161"/>
    </x:row>
    <x:row r="65">
      <x:c r="A65" s="161"/>
      <x:c r="B65" s="161"/>
      <x:c r="C65" s="161"/>
      <x:c r="D65" s="161"/>
      <x:c r="E65" s="161"/>
      <x:c r="F65" s="161"/>
      <x:c r="G65" s="161"/>
      <x:c r="H65" s="161"/>
      <x:c r="I65" s="161"/>
      <x:c r="J65" s="161"/>
      <x:c r="K65" s="161"/>
      <x:c r="L65" s="161"/>
      <x:c r="M65" s="161"/>
      <x:c r="N65" s="161"/>
      <x:c r="O65" s="161"/>
      <x:c r="P65" s="161"/>
      <x:c r="Q65" s="161"/>
      <x:c r="R65" s="161"/>
      <x:c r="S65" s="161"/>
      <x:c r="T65" s="161"/>
      <x:c r="U65" s="161"/>
      <x:c r="V65" s="161"/>
      <x:c r="W65" s="161"/>
      <x:c r="X65" s="161"/>
      <x:c r="Y65" s="161"/>
      <x:c r="Z65" s="161"/>
    </x:row>
    <x:row r="66">
      <x:c r="A66" s="161"/>
      <x:c r="B66" s="161"/>
      <x:c r="C66" s="161"/>
      <x:c r="D66" s="161"/>
      <x:c r="E66" s="161"/>
      <x:c r="F66" s="161"/>
      <x:c r="G66" s="161"/>
      <x:c r="H66" s="161"/>
      <x:c r="I66" s="161"/>
      <x:c r="J66" s="161"/>
      <x:c r="K66" s="161"/>
      <x:c r="L66" s="161"/>
      <x:c r="M66" s="161"/>
      <x:c r="N66" s="161"/>
      <x:c r="O66" s="161"/>
      <x:c r="P66" s="161"/>
      <x:c r="Q66" s="161"/>
      <x:c r="R66" s="161"/>
      <x:c r="S66" s="161"/>
      <x:c r="T66" s="161"/>
      <x:c r="U66" s="161"/>
      <x:c r="V66" s="161"/>
      <x:c r="W66" s="161"/>
      <x:c r="X66" s="161"/>
      <x:c r="Y66" s="161"/>
      <x:c r="Z66" s="161"/>
    </x:row>
    <x:row r="67">
      <x:c r="A67" s="161"/>
      <x:c r="B67" s="161"/>
      <x:c r="C67" s="161"/>
      <x:c r="D67" s="161"/>
      <x:c r="E67" s="161"/>
      <x:c r="F67" s="161"/>
      <x:c r="G67" s="161"/>
      <x:c r="H67" s="161"/>
      <x:c r="I67" s="161"/>
      <x:c r="J67" s="161"/>
      <x:c r="K67" s="161"/>
      <x:c r="L67" s="161"/>
      <x:c r="M67" s="161"/>
      <x:c r="N67" s="161"/>
      <x:c r="O67" s="161"/>
      <x:c r="P67" s="161"/>
      <x:c r="Q67" s="161"/>
      <x:c r="R67" s="161"/>
      <x:c r="S67" s="161"/>
      <x:c r="T67" s="161"/>
      <x:c r="U67" s="161"/>
      <x:c r="V67" s="161"/>
      <x:c r="W67" s="161"/>
      <x:c r="X67" s="161"/>
      <x:c r="Y67" s="161"/>
      <x:c r="Z67" s="161"/>
    </x:row>
    <x:row r="68">
      <x:c r="A68" s="161"/>
      <x:c r="B68" s="161"/>
      <x:c r="C68" s="161"/>
      <x:c r="D68" s="161"/>
      <x:c r="E68" s="161"/>
      <x:c r="F68" s="161"/>
      <x:c r="G68" s="161"/>
      <x:c r="H68" s="161"/>
      <x:c r="I68" s="161"/>
      <x:c r="J68" s="161"/>
      <x:c r="K68" s="161"/>
      <x:c r="L68" s="161"/>
      <x:c r="M68" s="161"/>
      <x:c r="N68" s="161"/>
      <x:c r="O68" s="161"/>
      <x:c r="P68" s="161"/>
      <x:c r="Q68" s="161"/>
      <x:c r="R68" s="161"/>
      <x:c r="S68" s="161"/>
      <x:c r="T68" s="161"/>
      <x:c r="U68" s="161"/>
      <x:c r="V68" s="161"/>
      <x:c r="W68" s="161"/>
      <x:c r="X68" s="161"/>
      <x:c r="Y68" s="161"/>
      <x:c r="Z68" s="161"/>
    </x:row>
    <x:row r="69">
      <x:c r="A69" s="161"/>
      <x:c r="B69" s="161"/>
      <x:c r="C69" s="161"/>
      <x:c r="D69" s="161"/>
      <x:c r="E69" s="161"/>
      <x:c r="F69" s="161"/>
      <x:c r="G69" s="161"/>
      <x:c r="H69" s="161"/>
      <x:c r="I69" s="161"/>
      <x:c r="J69" s="161"/>
      <x:c r="K69" s="161"/>
      <x:c r="L69" s="161"/>
      <x:c r="M69" s="161"/>
      <x:c r="N69" s="161"/>
      <x:c r="O69" s="161"/>
      <x:c r="P69" s="161"/>
      <x:c r="Q69" s="161"/>
      <x:c r="R69" s="161"/>
      <x:c r="S69" s="161"/>
      <x:c r="T69" s="161"/>
      <x:c r="U69" s="161"/>
      <x:c r="V69" s="161"/>
      <x:c r="W69" s="161"/>
      <x:c r="X69" s="161"/>
      <x:c r="Y69" s="161"/>
      <x:c r="Z69" s="161"/>
    </x:row>
    <x:row r="70">
      <x:c r="A70" s="161"/>
      <x:c r="B70" s="161"/>
      <x:c r="C70" s="161"/>
      <x:c r="D70" s="161"/>
      <x:c r="E70" s="161"/>
      <x:c r="F70" s="161"/>
      <x:c r="G70" s="161"/>
      <x:c r="H70" s="161"/>
      <x:c r="I70" s="161"/>
      <x:c r="J70" s="161"/>
      <x:c r="K70" s="161"/>
      <x:c r="L70" s="161"/>
      <x:c r="M70" s="161"/>
      <x:c r="N70" s="161"/>
      <x:c r="O70" s="161"/>
      <x:c r="P70" s="161"/>
      <x:c r="Q70" s="161"/>
      <x:c r="R70" s="161"/>
      <x:c r="S70" s="161"/>
      <x:c r="T70" s="161"/>
      <x:c r="U70" s="161"/>
      <x:c r="V70" s="161"/>
      <x:c r="W70" s="161"/>
      <x:c r="X70" s="161"/>
      <x:c r="Y70" s="161"/>
      <x:c r="Z70" s="161"/>
    </x:row>
    <x:row r="71">
      <x:c r="A71" s="161"/>
      <x:c r="B71" s="161"/>
      <x:c r="C71" s="161"/>
      <x:c r="D71" s="161"/>
      <x:c r="E71" s="161"/>
      <x:c r="F71" s="161"/>
      <x:c r="G71" s="161"/>
      <x:c r="H71" s="161"/>
      <x:c r="I71" s="161"/>
      <x:c r="J71" s="161"/>
      <x:c r="K71" s="161"/>
      <x:c r="L71" s="161"/>
      <x:c r="M71" s="161"/>
      <x:c r="N71" s="161"/>
      <x:c r="O71" s="161"/>
      <x:c r="P71" s="161"/>
      <x:c r="Q71" s="161"/>
      <x:c r="R71" s="161"/>
      <x:c r="S71" s="161"/>
      <x:c r="T71" s="161"/>
      <x:c r="U71" s="161"/>
      <x:c r="V71" s="161"/>
      <x:c r="W71" s="161"/>
      <x:c r="X71" s="161"/>
      <x:c r="Y71" s="161"/>
      <x:c r="Z71" s="161"/>
    </x:row>
    <x:row r="72">
      <x:c r="A72" s="161"/>
      <x:c r="B72" s="161"/>
      <x:c r="C72" s="161"/>
      <x:c r="D72" s="161"/>
      <x:c r="E72" s="161"/>
      <x:c r="F72" s="161"/>
      <x:c r="G72" s="161"/>
      <x:c r="H72" s="161"/>
      <x:c r="I72" s="161"/>
      <x:c r="J72" s="161"/>
      <x:c r="K72" s="161"/>
      <x:c r="L72" s="161"/>
      <x:c r="M72" s="161"/>
      <x:c r="N72" s="161"/>
      <x:c r="O72" s="161"/>
      <x:c r="P72" s="161"/>
      <x:c r="Q72" s="161"/>
      <x:c r="R72" s="161"/>
      <x:c r="S72" s="161"/>
      <x:c r="T72" s="161"/>
      <x:c r="U72" s="161"/>
      <x:c r="V72" s="161"/>
      <x:c r="W72" s="161"/>
      <x:c r="X72" s="161"/>
      <x:c r="Y72" s="161"/>
      <x:c r="Z72" s="161"/>
    </x:row>
    <x:row r="73">
      <x:c r="A73" s="161"/>
      <x:c r="B73" s="161"/>
      <x:c r="C73" s="161"/>
      <x:c r="D73" s="161"/>
      <x:c r="E73" s="161"/>
      <x:c r="F73" s="161"/>
      <x:c r="G73" s="161"/>
      <x:c r="H73" s="161"/>
      <x:c r="I73" s="161"/>
      <x:c r="J73" s="161"/>
      <x:c r="K73" s="161"/>
      <x:c r="L73" s="161"/>
      <x:c r="M73" s="161"/>
      <x:c r="N73" s="161"/>
      <x:c r="O73" s="161"/>
      <x:c r="P73" s="161"/>
      <x:c r="Q73" s="161"/>
      <x:c r="R73" s="161"/>
      <x:c r="S73" s="161"/>
      <x:c r="T73" s="161"/>
      <x:c r="U73" s="161"/>
      <x:c r="V73" s="161"/>
      <x:c r="W73" s="161"/>
      <x:c r="X73" s="161"/>
      <x:c r="Y73" s="161"/>
      <x:c r="Z73" s="161"/>
    </x:row>
    <x:row r="74">
      <x:c r="A74" s="161"/>
      <x:c r="B74" s="161"/>
      <x:c r="C74" s="161"/>
      <x:c r="D74" s="161"/>
      <x:c r="E74" s="161"/>
      <x:c r="F74" s="161"/>
      <x:c r="G74" s="161"/>
      <x:c r="H74" s="161"/>
      <x:c r="I74" s="161"/>
      <x:c r="J74" s="161"/>
      <x:c r="K74" s="161"/>
      <x:c r="L74" s="161"/>
      <x:c r="M74" s="161"/>
      <x:c r="N74" s="161"/>
      <x:c r="O74" s="161"/>
      <x:c r="P74" s="161"/>
      <x:c r="Q74" s="161"/>
      <x:c r="R74" s="161"/>
      <x:c r="S74" s="161"/>
      <x:c r="T74" s="161"/>
      <x:c r="U74" s="161"/>
      <x:c r="V74" s="161"/>
      <x:c r="W74" s="161"/>
      <x:c r="X74" s="161"/>
      <x:c r="Y74" s="161"/>
      <x:c r="Z74" s="161"/>
    </x:row>
    <x:row r="75">
      <x:c r="A75" s="161"/>
      <x:c r="B75" s="161"/>
      <x:c r="C75" s="161"/>
      <x:c r="D75" s="161"/>
      <x:c r="E75" s="161"/>
      <x:c r="F75" s="161"/>
      <x:c r="G75" s="161"/>
      <x:c r="H75" s="161"/>
      <x:c r="I75" s="161"/>
      <x:c r="J75" s="161"/>
      <x:c r="K75" s="161"/>
      <x:c r="L75" s="161"/>
      <x:c r="M75" s="161"/>
      <x:c r="N75" s="161"/>
      <x:c r="O75" s="161"/>
      <x:c r="P75" s="161"/>
      <x:c r="Q75" s="161"/>
      <x:c r="R75" s="161"/>
      <x:c r="S75" s="161"/>
      <x:c r="T75" s="161"/>
      <x:c r="U75" s="161"/>
      <x:c r="V75" s="161"/>
      <x:c r="W75" s="161"/>
      <x:c r="X75" s="161"/>
      <x:c r="Y75" s="161"/>
      <x:c r="Z75" s="161"/>
    </x:row>
    <x:row r="76">
      <x:c r="A76" s="161"/>
      <x:c r="B76" s="161"/>
      <x:c r="C76" s="161"/>
      <x:c r="D76" s="161"/>
      <x:c r="E76" s="161"/>
      <x:c r="F76" s="161"/>
      <x:c r="G76" s="161"/>
      <x:c r="H76" s="161"/>
      <x:c r="I76" s="161"/>
      <x:c r="J76" s="161"/>
      <x:c r="K76" s="161"/>
      <x:c r="L76" s="161"/>
      <x:c r="M76" s="161"/>
      <x:c r="N76" s="161"/>
      <x:c r="O76" s="161"/>
      <x:c r="P76" s="161"/>
      <x:c r="Q76" s="161"/>
      <x:c r="R76" s="161"/>
      <x:c r="S76" s="161"/>
      <x:c r="T76" s="161"/>
      <x:c r="U76" s="161"/>
      <x:c r="V76" s="161"/>
      <x:c r="W76" s="161"/>
      <x:c r="X76" s="161"/>
      <x:c r="Y76" s="161"/>
      <x:c r="Z76" s="161"/>
    </x:row>
    <x:row r="77">
      <x:c r="A77" s="161"/>
      <x:c r="B77" s="161"/>
      <x:c r="C77" s="161"/>
      <x:c r="D77" s="161"/>
      <x:c r="E77" s="161"/>
      <x:c r="F77" s="161"/>
      <x:c r="G77" s="161"/>
      <x:c r="H77" s="161"/>
      <x:c r="I77" s="161"/>
      <x:c r="J77" s="161"/>
      <x:c r="K77" s="161"/>
      <x:c r="L77" s="161"/>
      <x:c r="M77" s="161"/>
      <x:c r="N77" s="161"/>
      <x:c r="O77" s="161"/>
      <x:c r="P77" s="161"/>
      <x:c r="Q77" s="161"/>
      <x:c r="R77" s="161"/>
      <x:c r="S77" s="161"/>
      <x:c r="T77" s="161"/>
      <x:c r="U77" s="161"/>
      <x:c r="V77" s="161"/>
      <x:c r="W77" s="161"/>
      <x:c r="X77" s="161"/>
      <x:c r="Y77" s="161"/>
      <x:c r="Z77" s="161"/>
    </x:row>
    <x:row r="78">
      <x:c r="A78" s="161"/>
      <x:c r="B78" s="161"/>
      <x:c r="C78" s="161"/>
      <x:c r="D78" s="161"/>
      <x:c r="E78" s="161"/>
      <x:c r="F78" s="161"/>
      <x:c r="G78" s="161"/>
      <x:c r="H78" s="161"/>
      <x:c r="I78" s="161"/>
      <x:c r="J78" s="161"/>
      <x:c r="K78" s="161"/>
      <x:c r="L78" s="161"/>
      <x:c r="M78" s="161"/>
      <x:c r="N78" s="161"/>
      <x:c r="O78" s="161"/>
      <x:c r="P78" s="161"/>
      <x:c r="Q78" s="161"/>
      <x:c r="R78" s="161"/>
      <x:c r="S78" s="161"/>
      <x:c r="T78" s="161"/>
      <x:c r="U78" s="161"/>
      <x:c r="V78" s="161"/>
      <x:c r="W78" s="161"/>
      <x:c r="X78" s="161"/>
      <x:c r="Y78" s="161"/>
      <x:c r="Z78" s="161"/>
    </x:row>
    <x:row r="79">
      <x:c r="A79" s="161"/>
      <x:c r="B79" s="161"/>
      <x:c r="C79" s="161"/>
      <x:c r="D79" s="161"/>
      <x:c r="E79" s="161"/>
      <x:c r="F79" s="161"/>
      <x:c r="G79" s="161"/>
      <x:c r="H79" s="161"/>
      <x:c r="I79" s="161"/>
      <x:c r="J79" s="161"/>
      <x:c r="K79" s="161"/>
      <x:c r="L79" s="161"/>
      <x:c r="M79" s="161"/>
      <x:c r="N79" s="161"/>
      <x:c r="O79" s="161"/>
      <x:c r="P79" s="161"/>
      <x:c r="Q79" s="161"/>
      <x:c r="R79" s="161"/>
      <x:c r="S79" s="161"/>
      <x:c r="T79" s="161"/>
      <x:c r="U79" s="161"/>
      <x:c r="V79" s="161"/>
      <x:c r="W79" s="161"/>
      <x:c r="X79" s="161"/>
      <x:c r="Y79" s="161"/>
      <x:c r="Z79" s="161"/>
    </x:row>
    <x:row r="80">
      <x:c r="A80" s="161"/>
      <x:c r="B80" s="161"/>
      <x:c r="C80" s="161"/>
      <x:c r="D80" s="161"/>
      <x:c r="E80" s="161"/>
      <x:c r="F80" s="161"/>
      <x:c r="G80" s="161"/>
      <x:c r="H80" s="161"/>
      <x:c r="I80" s="161"/>
      <x:c r="J80" s="161"/>
      <x:c r="K80" s="161"/>
      <x:c r="L80" s="161"/>
      <x:c r="M80" s="161"/>
      <x:c r="N80" s="161"/>
      <x:c r="O80" s="161"/>
      <x:c r="P80" s="161"/>
      <x:c r="Q80" s="161"/>
      <x:c r="R80" s="161"/>
      <x:c r="S80" s="161"/>
      <x:c r="T80" s="161"/>
      <x:c r="U80" s="161"/>
      <x:c r="V80" s="161"/>
      <x:c r="W80" s="161"/>
      <x:c r="X80" s="161"/>
      <x:c r="Y80" s="161"/>
      <x:c r="Z80" s="161"/>
    </x:row>
    <x:row r="81">
      <x:c r="A81" s="161"/>
      <x:c r="B81" s="161"/>
      <x:c r="C81" s="161"/>
      <x:c r="D81" s="161"/>
      <x:c r="E81" s="161"/>
      <x:c r="F81" s="161"/>
      <x:c r="G81" s="161"/>
      <x:c r="H81" s="161"/>
      <x:c r="I81" s="161"/>
      <x:c r="J81" s="161"/>
      <x:c r="K81" s="161"/>
      <x:c r="L81" s="161"/>
      <x:c r="M81" s="161"/>
      <x:c r="N81" s="161"/>
      <x:c r="O81" s="161"/>
      <x:c r="P81" s="161"/>
      <x:c r="Q81" s="161"/>
      <x:c r="R81" s="161"/>
      <x:c r="S81" s="161"/>
      <x:c r="T81" s="161"/>
      <x:c r="U81" s="161"/>
      <x:c r="V81" s="161"/>
      <x:c r="W81" s="161"/>
      <x:c r="X81" s="161"/>
      <x:c r="Y81" s="161"/>
      <x:c r="Z81" s="161"/>
    </x:row>
    <x:row r="82">
      <x:c r="A82" s="161"/>
      <x:c r="B82" s="161"/>
      <x:c r="C82" s="161"/>
      <x:c r="D82" s="161"/>
      <x:c r="E82" s="161"/>
      <x:c r="F82" s="161"/>
      <x:c r="G82" s="161"/>
      <x:c r="H82" s="161"/>
      <x:c r="I82" s="161"/>
      <x:c r="J82" s="161"/>
      <x:c r="K82" s="161"/>
      <x:c r="L82" s="161"/>
      <x:c r="M82" s="161"/>
      <x:c r="N82" s="161"/>
      <x:c r="O82" s="161"/>
      <x:c r="P82" s="161"/>
      <x:c r="Q82" s="161"/>
      <x:c r="R82" s="161"/>
      <x:c r="S82" s="161"/>
      <x:c r="T82" s="161"/>
      <x:c r="U82" s="161"/>
      <x:c r="V82" s="161"/>
      <x:c r="W82" s="161"/>
      <x:c r="X82" s="161"/>
      <x:c r="Y82" s="161"/>
      <x:c r="Z82" s="161"/>
    </x:row>
    <x:row r="83">
      <x:c r="A83" s="161"/>
      <x:c r="B83" s="161"/>
      <x:c r="C83" s="161"/>
      <x:c r="D83" s="161"/>
      <x:c r="E83" s="161"/>
      <x:c r="F83" s="161"/>
      <x:c r="G83" s="161"/>
      <x:c r="H83" s="161"/>
      <x:c r="I83" s="161"/>
      <x:c r="J83" s="161"/>
      <x:c r="K83" s="161"/>
      <x:c r="L83" s="161"/>
      <x:c r="M83" s="161"/>
      <x:c r="N83" s="161"/>
      <x:c r="O83" s="161"/>
      <x:c r="P83" s="161"/>
      <x:c r="Q83" s="161"/>
      <x:c r="R83" s="161"/>
      <x:c r="S83" s="161"/>
      <x:c r="T83" s="161"/>
      <x:c r="U83" s="161"/>
      <x:c r="V83" s="161"/>
      <x:c r="W83" s="161"/>
      <x:c r="X83" s="161"/>
      <x:c r="Y83" s="161"/>
      <x:c r="Z83" s="161"/>
    </x:row>
    <x:row r="84">
      <x:c r="A84" s="161"/>
      <x:c r="B84" s="161"/>
      <x:c r="C84" s="161"/>
      <x:c r="D84" s="161"/>
      <x:c r="E84" s="161"/>
      <x:c r="F84" s="161"/>
      <x:c r="G84" s="161"/>
      <x:c r="H84" s="161"/>
      <x:c r="I84" s="161"/>
      <x:c r="J84" s="161"/>
      <x:c r="K84" s="161"/>
      <x:c r="L84" s="161"/>
      <x:c r="M84" s="161"/>
      <x:c r="N84" s="161"/>
      <x:c r="O84" s="161"/>
      <x:c r="P84" s="161"/>
      <x:c r="Q84" s="161"/>
      <x:c r="R84" s="161"/>
      <x:c r="S84" s="161"/>
      <x:c r="T84" s="161"/>
      <x:c r="U84" s="161"/>
      <x:c r="V84" s="161"/>
      <x:c r="W84" s="161"/>
      <x:c r="X84" s="161"/>
      <x:c r="Y84" s="161"/>
      <x:c r="Z84" s="161"/>
    </x:row>
    <x:row r="85">
      <x:c r="A85" s="161"/>
      <x:c r="B85" s="161"/>
      <x:c r="C85" s="161"/>
      <x:c r="D85" s="161"/>
      <x:c r="E85" s="161"/>
      <x:c r="F85" s="161"/>
      <x:c r="G85" s="161"/>
      <x:c r="H85" s="161"/>
      <x:c r="I85" s="161"/>
      <x:c r="J85" s="161"/>
      <x:c r="K85" s="161"/>
      <x:c r="L85" s="161"/>
      <x:c r="M85" s="161"/>
      <x:c r="N85" s="161"/>
      <x:c r="O85" s="161"/>
      <x:c r="P85" s="161"/>
      <x:c r="Q85" s="161"/>
      <x:c r="R85" s="161"/>
      <x:c r="S85" s="161"/>
      <x:c r="T85" s="161"/>
      <x:c r="U85" s="161"/>
      <x:c r="V85" s="161"/>
      <x:c r="W85" s="161"/>
      <x:c r="X85" s="161"/>
      <x:c r="Y85" s="161"/>
      <x:c r="Z85" s="161"/>
    </x:row>
    <x:row r="86">
      <x:c r="A86" s="161"/>
      <x:c r="B86" s="161"/>
      <x:c r="C86" s="161"/>
      <x:c r="D86" s="161"/>
      <x:c r="E86" s="161"/>
      <x:c r="F86" s="161"/>
      <x:c r="G86" s="161"/>
      <x:c r="H86" s="161"/>
      <x:c r="I86" s="161"/>
      <x:c r="J86" s="161"/>
      <x:c r="K86" s="161"/>
      <x:c r="L86" s="161"/>
      <x:c r="M86" s="161"/>
      <x:c r="N86" s="161"/>
      <x:c r="O86" s="161"/>
      <x:c r="P86" s="161"/>
      <x:c r="Q86" s="161"/>
      <x:c r="R86" s="161"/>
      <x:c r="S86" s="161"/>
      <x:c r="T86" s="161"/>
      <x:c r="U86" s="161"/>
      <x:c r="V86" s="161"/>
      <x:c r="W86" s="161"/>
      <x:c r="X86" s="161"/>
      <x:c r="Y86" s="161"/>
      <x:c r="Z86" s="161"/>
    </x:row>
    <x:row r="87">
      <x:c r="A87" s="161"/>
      <x:c r="B87" s="161"/>
      <x:c r="C87" s="161"/>
      <x:c r="D87" s="161"/>
      <x:c r="E87" s="161"/>
      <x:c r="F87" s="161"/>
      <x:c r="G87" s="161"/>
      <x:c r="H87" s="161"/>
      <x:c r="I87" s="161"/>
      <x:c r="J87" s="161"/>
      <x:c r="K87" s="161"/>
      <x:c r="L87" s="161"/>
      <x:c r="M87" s="161"/>
      <x:c r="N87" s="161"/>
      <x:c r="O87" s="161"/>
      <x:c r="P87" s="161"/>
      <x:c r="Q87" s="161"/>
      <x:c r="R87" s="161"/>
      <x:c r="S87" s="161"/>
      <x:c r="T87" s="161"/>
      <x:c r="U87" s="161"/>
      <x:c r="V87" s="161"/>
      <x:c r="W87" s="161"/>
      <x:c r="X87" s="161"/>
      <x:c r="Y87" s="161"/>
      <x:c r="Z87" s="161"/>
    </x:row>
    <x:row r="88">
      <x:c r="A88" s="161"/>
      <x:c r="B88" s="161"/>
      <x:c r="C88" s="161"/>
      <x:c r="D88" s="161"/>
      <x:c r="E88" s="161"/>
      <x:c r="F88" s="161"/>
      <x:c r="G88" s="161"/>
      <x:c r="H88" s="161"/>
      <x:c r="I88" s="161"/>
      <x:c r="J88" s="161"/>
      <x:c r="K88" s="161"/>
      <x:c r="L88" s="161"/>
      <x:c r="M88" s="161"/>
      <x:c r="N88" s="161"/>
      <x:c r="O88" s="161"/>
      <x:c r="P88" s="161"/>
      <x:c r="Q88" s="161"/>
      <x:c r="R88" s="161"/>
      <x:c r="S88" s="161"/>
      <x:c r="T88" s="161"/>
      <x:c r="U88" s="161"/>
      <x:c r="V88" s="161"/>
      <x:c r="W88" s="161"/>
      <x:c r="X88" s="161"/>
      <x:c r="Y88" s="161"/>
      <x:c r="Z88" s="161"/>
    </x:row>
    <x:row r="89">
      <x:c r="A89" s="161"/>
      <x:c r="B89" s="161"/>
      <x:c r="C89" s="161"/>
      <x:c r="D89" s="161"/>
      <x:c r="E89" s="161"/>
      <x:c r="F89" s="161"/>
      <x:c r="G89" s="161"/>
      <x:c r="H89" s="161"/>
      <x:c r="I89" s="161"/>
      <x:c r="J89" s="161"/>
      <x:c r="K89" s="161"/>
      <x:c r="L89" s="161"/>
      <x:c r="M89" s="161"/>
      <x:c r="N89" s="161"/>
      <x:c r="O89" s="161"/>
      <x:c r="P89" s="161"/>
      <x:c r="Q89" s="161"/>
      <x:c r="R89" s="161"/>
      <x:c r="S89" s="161"/>
      <x:c r="T89" s="161"/>
      <x:c r="U89" s="161"/>
      <x:c r="V89" s="161"/>
      <x:c r="W89" s="161"/>
      <x:c r="X89" s="161"/>
      <x:c r="Y89" s="161"/>
      <x:c r="Z89" s="161"/>
    </x:row>
    <x:row r="90">
      <x:c r="A90" s="161"/>
      <x:c r="B90" s="161"/>
      <x:c r="C90" s="161"/>
      <x:c r="D90" s="161"/>
      <x:c r="E90" s="161"/>
      <x:c r="F90" s="161"/>
      <x:c r="G90" s="161"/>
      <x:c r="H90" s="161"/>
      <x:c r="I90" s="161"/>
      <x:c r="J90" s="161"/>
      <x:c r="K90" s="161"/>
      <x:c r="L90" s="161"/>
      <x:c r="M90" s="161"/>
      <x:c r="N90" s="161"/>
      <x:c r="O90" s="161"/>
      <x:c r="P90" s="161"/>
      <x:c r="Q90" s="161"/>
      <x:c r="R90" s="161"/>
      <x:c r="S90" s="161"/>
      <x:c r="T90" s="161"/>
      <x:c r="U90" s="161"/>
      <x:c r="V90" s="161"/>
      <x:c r="W90" s="161"/>
      <x:c r="X90" s="161"/>
      <x:c r="Y90" s="161"/>
      <x:c r="Z90" s="161"/>
    </x:row>
    <x:row r="91">
      <x:c r="A91" s="161"/>
      <x:c r="B91" s="161"/>
      <x:c r="C91" s="161"/>
      <x:c r="D91" s="161"/>
      <x:c r="E91" s="161"/>
      <x:c r="F91" s="161"/>
      <x:c r="G91" s="161"/>
      <x:c r="H91" s="161"/>
      <x:c r="I91" s="161"/>
      <x:c r="J91" s="161"/>
      <x:c r="K91" s="161"/>
      <x:c r="L91" s="161"/>
      <x:c r="M91" s="161"/>
      <x:c r="N91" s="161"/>
      <x:c r="O91" s="161"/>
      <x:c r="P91" s="161"/>
      <x:c r="Q91" s="161"/>
      <x:c r="R91" s="161"/>
      <x:c r="S91" s="161"/>
      <x:c r="T91" s="161"/>
      <x:c r="U91" s="161"/>
      <x:c r="V91" s="161"/>
      <x:c r="W91" s="161"/>
      <x:c r="X91" s="161"/>
      <x:c r="Y91" s="161"/>
      <x:c r="Z91" s="161"/>
    </x:row>
    <x:row r="92">
      <x:c r="A92" s="161"/>
      <x:c r="B92" s="161"/>
      <x:c r="C92" s="161"/>
      <x:c r="D92" s="161"/>
      <x:c r="E92" s="161"/>
      <x:c r="F92" s="161"/>
      <x:c r="G92" s="161"/>
      <x:c r="H92" s="161"/>
      <x:c r="I92" s="161"/>
      <x:c r="J92" s="161"/>
      <x:c r="K92" s="161"/>
      <x:c r="L92" s="161"/>
      <x:c r="M92" s="161"/>
      <x:c r="N92" s="161"/>
      <x:c r="O92" s="161"/>
      <x:c r="P92" s="161"/>
      <x:c r="Q92" s="161"/>
      <x:c r="R92" s="161"/>
      <x:c r="S92" s="161"/>
      <x:c r="T92" s="161"/>
      <x:c r="U92" s="161"/>
      <x:c r="V92" s="161"/>
      <x:c r="W92" s="161"/>
      <x:c r="X92" s="161"/>
      <x:c r="Y92" s="161"/>
      <x:c r="Z92" s="161"/>
    </x:row>
    <x:row r="93">
      <x:c r="A93" s="161"/>
      <x:c r="B93" s="161"/>
      <x:c r="C93" s="161"/>
      <x:c r="D93" s="161"/>
      <x:c r="E93" s="161"/>
      <x:c r="F93" s="161"/>
      <x:c r="G93" s="161"/>
      <x:c r="H93" s="161"/>
      <x:c r="I93" s="161"/>
      <x:c r="J93" s="161"/>
      <x:c r="K93" s="161"/>
      <x:c r="L93" s="161"/>
      <x:c r="M93" s="161"/>
      <x:c r="N93" s="161"/>
      <x:c r="O93" s="161"/>
      <x:c r="P93" s="161"/>
      <x:c r="Q93" s="161"/>
      <x:c r="R93" s="161"/>
      <x:c r="S93" s="161"/>
      <x:c r="T93" s="161"/>
      <x:c r="U93" s="161"/>
      <x:c r="V93" s="161"/>
      <x:c r="W93" s="161"/>
      <x:c r="X93" s="161"/>
      <x:c r="Y93" s="161"/>
      <x:c r="Z93" s="161"/>
    </x:row>
    <x:row r="94">
      <x:c r="A94" s="161"/>
      <x:c r="B94" s="161"/>
      <x:c r="C94" s="161"/>
      <x:c r="D94" s="161"/>
      <x:c r="E94" s="161"/>
      <x:c r="F94" s="161"/>
      <x:c r="G94" s="161"/>
      <x:c r="H94" s="161"/>
      <x:c r="I94" s="161"/>
      <x:c r="J94" s="161"/>
      <x:c r="K94" s="161"/>
      <x:c r="L94" s="161"/>
      <x:c r="M94" s="161"/>
      <x:c r="N94" s="161"/>
      <x:c r="O94" s="161"/>
      <x:c r="P94" s="161"/>
      <x:c r="Q94" s="161"/>
      <x:c r="R94" s="161"/>
      <x:c r="S94" s="161"/>
      <x:c r="T94" s="161"/>
      <x:c r="U94" s="161"/>
      <x:c r="V94" s="161"/>
      <x:c r="W94" s="161"/>
      <x:c r="X94" s="161"/>
      <x:c r="Y94" s="161"/>
      <x:c r="Z94" s="161"/>
    </x:row>
    <x:row r="95">
      <x:c r="A95" s="161"/>
      <x:c r="B95" s="161"/>
      <x:c r="C95" s="161"/>
      <x:c r="D95" s="161"/>
      <x:c r="E95" s="161"/>
      <x:c r="F95" s="161"/>
      <x:c r="G95" s="161"/>
      <x:c r="H95" s="161"/>
      <x:c r="I95" s="161"/>
      <x:c r="J95" s="161"/>
      <x:c r="K95" s="161"/>
      <x:c r="L95" s="161"/>
      <x:c r="M95" s="161"/>
      <x:c r="N95" s="161"/>
      <x:c r="O95" s="161"/>
      <x:c r="P95" s="161"/>
      <x:c r="Q95" s="161"/>
      <x:c r="R95" s="161"/>
      <x:c r="S95" s="161"/>
      <x:c r="T95" s="161"/>
      <x:c r="U95" s="161"/>
      <x:c r="V95" s="161"/>
      <x:c r="W95" s="161"/>
      <x:c r="X95" s="161"/>
      <x:c r="Y95" s="161"/>
      <x:c r="Z95" s="161"/>
    </x:row>
    <x:row r="96">
      <x:c r="A96" s="161"/>
      <x:c r="B96" s="161"/>
      <x:c r="C96" s="161"/>
      <x:c r="D96" s="161"/>
      <x:c r="E96" s="161"/>
      <x:c r="F96" s="161"/>
      <x:c r="G96" s="161"/>
      <x:c r="H96" s="161"/>
      <x:c r="I96" s="161"/>
      <x:c r="J96" s="161"/>
      <x:c r="K96" s="161"/>
      <x:c r="L96" s="161"/>
      <x:c r="M96" s="161"/>
      <x:c r="N96" s="161"/>
      <x:c r="O96" s="161"/>
      <x:c r="P96" s="161"/>
      <x:c r="Q96" s="161"/>
      <x:c r="R96" s="161"/>
      <x:c r="S96" s="161"/>
      <x:c r="T96" s="161"/>
      <x:c r="U96" s="161"/>
      <x:c r="V96" s="161"/>
      <x:c r="W96" s="161"/>
      <x:c r="X96" s="161"/>
      <x:c r="Y96" s="161"/>
      <x:c r="Z96" s="161"/>
    </x:row>
    <x:row r="97">
      <x:c r="A97" s="161"/>
      <x:c r="B97" s="161"/>
      <x:c r="C97" s="161"/>
      <x:c r="D97" s="161"/>
      <x:c r="E97" s="161"/>
      <x:c r="F97" s="161"/>
      <x:c r="G97" s="161"/>
      <x:c r="H97" s="161"/>
      <x:c r="I97" s="161"/>
      <x:c r="J97" s="161"/>
      <x:c r="K97" s="161"/>
      <x:c r="L97" s="161"/>
      <x:c r="M97" s="161"/>
      <x:c r="N97" s="161"/>
      <x:c r="O97" s="161"/>
      <x:c r="P97" s="161"/>
      <x:c r="Q97" s="161"/>
      <x:c r="R97" s="161"/>
      <x:c r="S97" s="161"/>
      <x:c r="T97" s="161"/>
      <x:c r="U97" s="161"/>
      <x:c r="V97" s="161"/>
      <x:c r="W97" s="161"/>
      <x:c r="X97" s="161"/>
      <x:c r="Y97" s="161"/>
      <x:c r="Z97" s="161"/>
    </x:row>
    <x:row r="98">
      <x:c r="A98" s="161"/>
      <x:c r="B98" s="161"/>
      <x:c r="C98" s="161"/>
      <x:c r="D98" s="161"/>
      <x:c r="E98" s="161"/>
      <x:c r="F98" s="161"/>
      <x:c r="G98" s="161"/>
      <x:c r="H98" s="161"/>
      <x:c r="I98" s="161"/>
      <x:c r="J98" s="161"/>
      <x:c r="K98" s="161"/>
      <x:c r="L98" s="161"/>
      <x:c r="M98" s="161"/>
      <x:c r="N98" s="161"/>
      <x:c r="O98" s="161"/>
      <x:c r="P98" s="161"/>
      <x:c r="Q98" s="161"/>
      <x:c r="R98" s="161"/>
      <x:c r="S98" s="161"/>
      <x:c r="T98" s="161"/>
      <x:c r="U98" s="161"/>
      <x:c r="V98" s="161"/>
      <x:c r="W98" s="161"/>
      <x:c r="X98" s="161"/>
      <x:c r="Y98" s="161"/>
      <x:c r="Z98" s="161"/>
    </x:row>
    <x:row r="99">
      <x:c r="A99" s="161"/>
      <x:c r="B99" s="161"/>
      <x:c r="C99" s="161"/>
      <x:c r="D99" s="161"/>
      <x:c r="E99" s="161"/>
      <x:c r="F99" s="161"/>
      <x:c r="G99" s="161"/>
      <x:c r="H99" s="161"/>
      <x:c r="I99" s="161"/>
      <x:c r="J99" s="161"/>
      <x:c r="K99" s="161"/>
      <x:c r="L99" s="161"/>
      <x:c r="M99" s="161"/>
      <x:c r="N99" s="161"/>
      <x:c r="O99" s="161"/>
      <x:c r="P99" s="161"/>
      <x:c r="Q99" s="161"/>
      <x:c r="R99" s="161"/>
      <x:c r="S99" s="161"/>
      <x:c r="T99" s="161"/>
      <x:c r="U99" s="161"/>
      <x:c r="V99" s="161"/>
      <x:c r="W99" s="161"/>
      <x:c r="X99" s="161"/>
      <x:c r="Y99" s="161"/>
      <x:c r="Z99" s="161"/>
    </x:row>
    <x:row r="100">
      <x:c r="A100" s="161"/>
      <x:c r="B100" s="161"/>
      <x:c r="C100" s="161"/>
      <x:c r="D100" s="161"/>
      <x:c r="E100" s="161"/>
      <x:c r="F100" s="161"/>
      <x:c r="G100" s="161"/>
      <x:c r="H100" s="161"/>
      <x:c r="I100" s="161"/>
      <x:c r="J100" s="161"/>
      <x:c r="K100" s="161"/>
      <x:c r="L100" s="161"/>
      <x:c r="M100" s="161"/>
      <x:c r="N100" s="161"/>
      <x:c r="O100" s="161"/>
      <x:c r="P100" s="161"/>
      <x:c r="Q100" s="161"/>
      <x:c r="R100" s="161"/>
      <x:c r="S100" s="161"/>
      <x:c r="T100" s="161"/>
      <x:c r="U100" s="161"/>
      <x:c r="V100" s="161"/>
      <x:c r="W100" s="161"/>
      <x:c r="X100" s="161"/>
      <x:c r="Y100" s="161"/>
      <x:c r="Z100" s="161"/>
    </x:row>
    <x:row r="101">
      <x:c r="A101" s="161"/>
      <x:c r="B101" s="161"/>
      <x:c r="C101" s="161"/>
      <x:c r="D101" s="161"/>
      <x:c r="E101" s="161"/>
      <x:c r="F101" s="161"/>
      <x:c r="G101" s="161"/>
      <x:c r="H101" s="161"/>
      <x:c r="I101" s="161"/>
      <x:c r="J101" s="161"/>
      <x:c r="K101" s="161"/>
      <x:c r="L101" s="161"/>
      <x:c r="M101" s="161"/>
      <x:c r="N101" s="161"/>
      <x:c r="O101" s="161"/>
      <x:c r="P101" s="161"/>
      <x:c r="Q101" s="161"/>
      <x:c r="R101" s="161"/>
      <x:c r="S101" s="161"/>
      <x:c r="T101" s="161"/>
      <x:c r="U101" s="161"/>
      <x:c r="V101" s="161"/>
      <x:c r="W101" s="161"/>
      <x:c r="X101" s="161"/>
      <x:c r="Y101" s="161"/>
      <x:c r="Z101" s="161"/>
    </x:row>
    <x:row r="102">
      <x:c r="A102" s="161"/>
      <x:c r="B102" s="161"/>
      <x:c r="C102" s="161"/>
      <x:c r="D102" s="161"/>
      <x:c r="E102" s="161"/>
      <x:c r="F102" s="161"/>
      <x:c r="G102" s="161"/>
      <x:c r="H102" s="161"/>
      <x:c r="I102" s="161"/>
      <x:c r="J102" s="161"/>
      <x:c r="K102" s="161"/>
      <x:c r="L102" s="161"/>
      <x:c r="M102" s="161"/>
      <x:c r="N102" s="161"/>
      <x:c r="O102" s="161"/>
      <x:c r="P102" s="161"/>
      <x:c r="Q102" s="161"/>
      <x:c r="R102" s="161"/>
      <x:c r="S102" s="161"/>
      <x:c r="T102" s="161"/>
      <x:c r="U102" s="161"/>
      <x:c r="V102" s="161"/>
      <x:c r="W102" s="161"/>
      <x:c r="X102" s="161"/>
      <x:c r="Y102" s="161"/>
      <x:c r="Z102" s="161"/>
    </x:row>
    <x:row r="103">
      <x:c r="A103" s="161"/>
      <x:c r="B103" s="161"/>
      <x:c r="C103" s="161"/>
      <x:c r="D103" s="161"/>
      <x:c r="E103" s="161"/>
      <x:c r="F103" s="161"/>
      <x:c r="G103" s="161"/>
      <x:c r="H103" s="161"/>
      <x:c r="I103" s="161"/>
      <x:c r="J103" s="161"/>
      <x:c r="K103" s="161"/>
      <x:c r="L103" s="161"/>
      <x:c r="M103" s="161"/>
      <x:c r="N103" s="161"/>
      <x:c r="O103" s="161"/>
      <x:c r="P103" s="161"/>
      <x:c r="Q103" s="161"/>
      <x:c r="R103" s="161"/>
      <x:c r="S103" s="161"/>
      <x:c r="T103" s="161"/>
      <x:c r="U103" s="161"/>
      <x:c r="V103" s="161"/>
      <x:c r="W103" s="161"/>
      <x:c r="X103" s="161"/>
      <x:c r="Y103" s="161"/>
      <x:c r="Z103" s="161"/>
    </x:row>
    <x:row r="104">
      <x:c r="A104" s="161"/>
      <x:c r="B104" s="161"/>
      <x:c r="C104" s="161"/>
      <x:c r="D104" s="161"/>
      <x:c r="E104" s="161"/>
      <x:c r="F104" s="161"/>
      <x:c r="G104" s="161"/>
      <x:c r="H104" s="161"/>
      <x:c r="I104" s="161"/>
      <x:c r="J104" s="161"/>
      <x:c r="K104" s="161"/>
      <x:c r="L104" s="161"/>
      <x:c r="M104" s="161"/>
      <x:c r="N104" s="161"/>
      <x:c r="O104" s="161"/>
      <x:c r="P104" s="161"/>
      <x:c r="Q104" s="161"/>
      <x:c r="R104" s="161"/>
      <x:c r="S104" s="161"/>
      <x:c r="T104" s="161"/>
      <x:c r="U104" s="161"/>
      <x:c r="V104" s="161"/>
      <x:c r="W104" s="161"/>
      <x:c r="X104" s="161"/>
      <x:c r="Y104" s="161"/>
      <x:c r="Z104" s="161"/>
    </x:row>
    <x:row r="105">
      <x:c r="A105" s="161"/>
      <x:c r="B105" s="161"/>
      <x:c r="C105" s="161"/>
      <x:c r="D105" s="161"/>
      <x:c r="E105" s="161"/>
      <x:c r="F105" s="161"/>
      <x:c r="G105" s="161"/>
      <x:c r="H105" s="161"/>
      <x:c r="I105" s="161"/>
      <x:c r="J105" s="161"/>
      <x:c r="K105" s="161"/>
      <x:c r="L105" s="161"/>
      <x:c r="M105" s="161"/>
      <x:c r="N105" s="161"/>
      <x:c r="O105" s="161"/>
      <x:c r="P105" s="161"/>
      <x:c r="Q105" s="161"/>
      <x:c r="R105" s="161"/>
      <x:c r="S105" s="161"/>
      <x:c r="T105" s="161"/>
      <x:c r="U105" s="161"/>
      <x:c r="V105" s="161"/>
      <x:c r="W105" s="161"/>
      <x:c r="X105" s="161"/>
      <x:c r="Y105" s="161"/>
      <x:c r="Z105" s="161"/>
    </x:row>
    <x:row r="106">
      <x:c r="A106" s="161"/>
      <x:c r="B106" s="161"/>
      <x:c r="C106" s="161"/>
      <x:c r="D106" s="161"/>
      <x:c r="E106" s="161"/>
      <x:c r="F106" s="161"/>
      <x:c r="G106" s="161"/>
      <x:c r="H106" s="161"/>
      <x:c r="I106" s="161"/>
      <x:c r="J106" s="161"/>
      <x:c r="K106" s="161"/>
      <x:c r="L106" s="161"/>
      <x:c r="M106" s="161"/>
      <x:c r="N106" s="161"/>
      <x:c r="O106" s="161"/>
      <x:c r="P106" s="161"/>
      <x:c r="Q106" s="161"/>
      <x:c r="R106" s="161"/>
      <x:c r="S106" s="161"/>
      <x:c r="T106" s="161"/>
      <x:c r="U106" s="161"/>
      <x:c r="V106" s="161"/>
      <x:c r="W106" s="161"/>
      <x:c r="X106" s="161"/>
      <x:c r="Y106" s="161"/>
      <x:c r="Z106" s="161"/>
    </x:row>
    <x:row r="107">
      <x:c r="A107" s="161"/>
      <x:c r="B107" s="161"/>
      <x:c r="C107" s="161"/>
      <x:c r="D107" s="161"/>
      <x:c r="E107" s="161"/>
      <x:c r="F107" s="161"/>
      <x:c r="G107" s="161"/>
      <x:c r="H107" s="161"/>
      <x:c r="I107" s="161"/>
      <x:c r="J107" s="161"/>
      <x:c r="K107" s="161"/>
      <x:c r="L107" s="161"/>
      <x:c r="M107" s="161"/>
      <x:c r="N107" s="161"/>
      <x:c r="O107" s="161"/>
      <x:c r="P107" s="161"/>
      <x:c r="Q107" s="161"/>
      <x:c r="R107" s="161"/>
      <x:c r="S107" s="161"/>
      <x:c r="T107" s="161"/>
      <x:c r="U107" s="161"/>
      <x:c r="V107" s="161"/>
      <x:c r="W107" s="161"/>
      <x:c r="X107" s="161"/>
      <x:c r="Y107" s="161"/>
      <x:c r="Z107" s="161"/>
    </x:row>
    <x:row r="108">
      <x:c r="A108" s="161"/>
      <x:c r="B108" s="161"/>
      <x:c r="C108" s="161"/>
      <x:c r="D108" s="161"/>
      <x:c r="E108" s="161"/>
      <x:c r="F108" s="161"/>
      <x:c r="G108" s="161"/>
      <x:c r="H108" s="161"/>
      <x:c r="I108" s="161"/>
      <x:c r="J108" s="161"/>
      <x:c r="K108" s="161"/>
      <x:c r="L108" s="161"/>
      <x:c r="M108" s="161"/>
      <x:c r="N108" s="161"/>
      <x:c r="O108" s="161"/>
      <x:c r="P108" s="161"/>
      <x:c r="Q108" s="161"/>
      <x:c r="R108" s="161"/>
      <x:c r="S108" s="161"/>
      <x:c r="T108" s="161"/>
      <x:c r="U108" s="161"/>
      <x:c r="V108" s="161"/>
      <x:c r="W108" s="161"/>
      <x:c r="X108" s="161"/>
      <x:c r="Y108" s="161"/>
      <x:c r="Z108" s="161"/>
    </x:row>
    <x:row r="109">
      <x:c r="A109" s="161"/>
      <x:c r="B109" s="161"/>
      <x:c r="C109" s="161"/>
      <x:c r="D109" s="161"/>
      <x:c r="E109" s="161"/>
      <x:c r="F109" s="161"/>
      <x:c r="G109" s="161"/>
      <x:c r="H109" s="161"/>
      <x:c r="I109" s="161"/>
      <x:c r="J109" s="161"/>
      <x:c r="K109" s="161"/>
      <x:c r="L109" s="161"/>
      <x:c r="M109" s="161"/>
      <x:c r="N109" s="161"/>
      <x:c r="O109" s="161"/>
      <x:c r="P109" s="161"/>
      <x:c r="Q109" s="161"/>
      <x:c r="R109" s="161"/>
      <x:c r="S109" s="161"/>
      <x:c r="T109" s="161"/>
      <x:c r="U109" s="161"/>
      <x:c r="V109" s="161"/>
      <x:c r="W109" s="161"/>
      <x:c r="X109" s="161"/>
      <x:c r="Y109" s="161"/>
      <x:c r="Z109" s="161"/>
    </x:row>
    <x:row r="110">
      <x:c r="A110" s="161"/>
      <x:c r="B110" s="161"/>
      <x:c r="C110" s="161"/>
      <x:c r="D110" s="161"/>
      <x:c r="E110" s="161"/>
      <x:c r="F110" s="161"/>
      <x:c r="G110" s="161"/>
      <x:c r="H110" s="161"/>
      <x:c r="I110" s="161"/>
      <x:c r="J110" s="161"/>
      <x:c r="K110" s="161"/>
      <x:c r="L110" s="161"/>
      <x:c r="M110" s="161"/>
      <x:c r="N110" s="161"/>
      <x:c r="O110" s="161"/>
      <x:c r="P110" s="161"/>
      <x:c r="Q110" s="161"/>
      <x:c r="R110" s="161"/>
      <x:c r="S110" s="161"/>
      <x:c r="T110" s="161"/>
      <x:c r="U110" s="161"/>
      <x:c r="V110" s="161"/>
      <x:c r="W110" s="161"/>
      <x:c r="X110" s="161"/>
      <x:c r="Y110" s="161"/>
      <x:c r="Z110" s="161"/>
    </x:row>
    <x:row r="111">
      <x:c r="A111" s="161"/>
      <x:c r="B111" s="161"/>
      <x:c r="C111" s="161"/>
      <x:c r="D111" s="161"/>
      <x:c r="E111" s="161"/>
      <x:c r="F111" s="161"/>
      <x:c r="G111" s="161"/>
      <x:c r="H111" s="161"/>
      <x:c r="I111" s="161"/>
      <x:c r="J111" s="161"/>
      <x:c r="K111" s="161"/>
      <x:c r="L111" s="161"/>
      <x:c r="M111" s="161"/>
      <x:c r="N111" s="161"/>
      <x:c r="O111" s="161"/>
      <x:c r="P111" s="161"/>
      <x:c r="Q111" s="161"/>
      <x:c r="R111" s="161"/>
      <x:c r="S111" s="161"/>
      <x:c r="T111" s="161"/>
      <x:c r="U111" s="161"/>
      <x:c r="V111" s="161"/>
      <x:c r="W111" s="161"/>
      <x:c r="X111" s="161"/>
      <x:c r="Y111" s="161"/>
      <x:c r="Z111" s="161"/>
    </x:row>
    <x:row r="112">
      <x:c r="A112" s="161"/>
      <x:c r="B112" s="161"/>
      <x:c r="C112" s="161"/>
      <x:c r="D112" s="161"/>
      <x:c r="E112" s="161"/>
      <x:c r="F112" s="161"/>
      <x:c r="G112" s="161"/>
      <x:c r="H112" s="161"/>
      <x:c r="I112" s="161"/>
      <x:c r="J112" s="161"/>
      <x:c r="K112" s="161"/>
      <x:c r="L112" s="161"/>
      <x:c r="M112" s="161"/>
      <x:c r="N112" s="161"/>
      <x:c r="O112" s="161"/>
      <x:c r="P112" s="161"/>
      <x:c r="Q112" s="161"/>
      <x:c r="R112" s="161"/>
      <x:c r="S112" s="161"/>
      <x:c r="T112" s="161"/>
      <x:c r="U112" s="161"/>
      <x:c r="V112" s="161"/>
      <x:c r="W112" s="161"/>
      <x:c r="X112" s="161"/>
      <x:c r="Y112" s="161"/>
      <x:c r="Z112" s="161"/>
    </x:row>
    <x:row r="113">
      <x:c r="A113" s="161"/>
      <x:c r="B113" s="161"/>
      <x:c r="C113" s="161"/>
      <x:c r="D113" s="161"/>
      <x:c r="E113" s="161"/>
      <x:c r="F113" s="161"/>
      <x:c r="G113" s="161"/>
      <x:c r="H113" s="161"/>
      <x:c r="I113" s="161"/>
      <x:c r="J113" s="161"/>
      <x:c r="K113" s="161"/>
      <x:c r="L113" s="161"/>
      <x:c r="M113" s="161"/>
      <x:c r="N113" s="161"/>
      <x:c r="O113" s="161"/>
      <x:c r="P113" s="161"/>
      <x:c r="Q113" s="161"/>
      <x:c r="R113" s="161"/>
      <x:c r="S113" s="161"/>
      <x:c r="T113" s="161"/>
      <x:c r="U113" s="161"/>
      <x:c r="V113" s="161"/>
      <x:c r="W113" s="161"/>
      <x:c r="X113" s="161"/>
      <x:c r="Y113" s="161"/>
      <x:c r="Z113" s="161"/>
    </x:row>
    <x:row r="114">
      <x:c r="A114" s="161"/>
      <x:c r="B114" s="161"/>
      <x:c r="C114" s="161"/>
      <x:c r="D114" s="161"/>
      <x:c r="E114" s="161"/>
      <x:c r="F114" s="161"/>
      <x:c r="G114" s="161"/>
      <x:c r="H114" s="161"/>
      <x:c r="I114" s="161"/>
      <x:c r="J114" s="161"/>
      <x:c r="K114" s="161"/>
      <x:c r="L114" s="161"/>
      <x:c r="M114" s="161"/>
      <x:c r="N114" s="161"/>
      <x:c r="O114" s="161"/>
      <x:c r="P114" s="161"/>
      <x:c r="Q114" s="161"/>
      <x:c r="R114" s="161"/>
      <x:c r="S114" s="161"/>
      <x:c r="T114" s="161"/>
      <x:c r="U114" s="161"/>
      <x:c r="V114" s="161"/>
      <x:c r="W114" s="161"/>
      <x:c r="X114" s="161"/>
      <x:c r="Y114" s="161"/>
      <x:c r="Z114" s="161"/>
    </x:row>
    <x:row r="115">
      <x:c r="A115" s="161"/>
      <x:c r="B115" s="161"/>
      <x:c r="C115" s="161"/>
      <x:c r="D115" s="161"/>
      <x:c r="E115" s="161"/>
      <x:c r="F115" s="161"/>
      <x:c r="G115" s="161"/>
      <x:c r="H115" s="161"/>
      <x:c r="I115" s="161"/>
      <x:c r="J115" s="161"/>
      <x:c r="K115" s="161"/>
      <x:c r="L115" s="161"/>
      <x:c r="M115" s="161"/>
      <x:c r="N115" s="161"/>
      <x:c r="O115" s="161"/>
      <x:c r="P115" s="161"/>
      <x:c r="Q115" s="161"/>
      <x:c r="R115" s="161"/>
      <x:c r="S115" s="161"/>
      <x:c r="T115" s="161"/>
      <x:c r="U115" s="161"/>
      <x:c r="V115" s="161"/>
      <x:c r="W115" s="161"/>
      <x:c r="X115" s="161"/>
      <x:c r="Y115" s="161"/>
      <x:c r="Z115" s="161"/>
    </x:row>
    <x:row r="116">
      <x:c r="A116" s="161"/>
      <x:c r="B116" s="161"/>
      <x:c r="C116" s="161"/>
      <x:c r="D116" s="161"/>
      <x:c r="E116" s="161"/>
      <x:c r="F116" s="161"/>
      <x:c r="G116" s="161"/>
      <x:c r="H116" s="161"/>
      <x:c r="I116" s="161"/>
      <x:c r="J116" s="161"/>
      <x:c r="K116" s="161"/>
      <x:c r="L116" s="161"/>
      <x:c r="M116" s="161"/>
      <x:c r="N116" s="161"/>
      <x:c r="O116" s="161"/>
      <x:c r="P116" s="161"/>
      <x:c r="Q116" s="161"/>
      <x:c r="R116" s="161"/>
      <x:c r="S116" s="161"/>
      <x:c r="T116" s="161"/>
      <x:c r="U116" s="161"/>
      <x:c r="V116" s="161"/>
      <x:c r="W116" s="161"/>
      <x:c r="X116" s="161"/>
      <x:c r="Y116" s="161"/>
      <x:c r="Z116" s="161"/>
    </x:row>
    <x:row r="117">
      <x:c r="A117" s="161"/>
      <x:c r="B117" s="161"/>
      <x:c r="C117" s="161"/>
      <x:c r="D117" s="161"/>
      <x:c r="E117" s="161"/>
      <x:c r="F117" s="161"/>
      <x:c r="G117" s="161"/>
      <x:c r="H117" s="161"/>
      <x:c r="I117" s="161"/>
      <x:c r="J117" s="161"/>
      <x:c r="K117" s="161"/>
      <x:c r="L117" s="161"/>
      <x:c r="M117" s="161"/>
      <x:c r="N117" s="161"/>
      <x:c r="O117" s="161"/>
      <x:c r="P117" s="161"/>
      <x:c r="Q117" s="161"/>
      <x:c r="R117" s="161"/>
      <x:c r="S117" s="161"/>
      <x:c r="T117" s="161"/>
      <x:c r="U117" s="161"/>
      <x:c r="V117" s="161"/>
      <x:c r="W117" s="161"/>
      <x:c r="X117" s="161"/>
      <x:c r="Y117" s="161"/>
      <x:c r="Z117" s="161"/>
    </x:row>
    <x:row r="118">
      <x:c r="A118" s="161"/>
      <x:c r="B118" s="161"/>
      <x:c r="C118" s="161"/>
      <x:c r="D118" s="161"/>
      <x:c r="E118" s="161"/>
      <x:c r="F118" s="161"/>
      <x:c r="G118" s="161"/>
      <x:c r="H118" s="161"/>
      <x:c r="I118" s="161"/>
      <x:c r="J118" s="161"/>
      <x:c r="K118" s="161"/>
      <x:c r="L118" s="161"/>
      <x:c r="M118" s="161"/>
      <x:c r="N118" s="161"/>
      <x:c r="O118" s="161"/>
      <x:c r="P118" s="161"/>
      <x:c r="Q118" s="161"/>
      <x:c r="R118" s="161"/>
      <x:c r="S118" s="161"/>
      <x:c r="T118" s="161"/>
      <x:c r="U118" s="161"/>
      <x:c r="V118" s="161"/>
      <x:c r="W118" s="161"/>
      <x:c r="X118" s="161"/>
      <x:c r="Y118" s="161"/>
      <x:c r="Z118" s="161"/>
    </x:row>
    <x:row r="119">
      <x:c r="A119" s="161"/>
      <x:c r="B119" s="161"/>
      <x:c r="C119" s="161"/>
      <x:c r="D119" s="161"/>
      <x:c r="E119" s="161"/>
      <x:c r="F119" s="161"/>
      <x:c r="G119" s="161"/>
      <x:c r="H119" s="161"/>
      <x:c r="I119" s="161"/>
      <x:c r="J119" s="161"/>
      <x:c r="K119" s="161"/>
      <x:c r="L119" s="161"/>
      <x:c r="M119" s="161"/>
      <x:c r="N119" s="161"/>
      <x:c r="O119" s="161"/>
      <x:c r="P119" s="161"/>
      <x:c r="Q119" s="161"/>
      <x:c r="R119" s="161"/>
      <x:c r="S119" s="161"/>
      <x:c r="T119" s="161"/>
      <x:c r="U119" s="161"/>
      <x:c r="V119" s="161"/>
      <x:c r="W119" s="161"/>
      <x:c r="X119" s="161"/>
      <x:c r="Y119" s="161"/>
      <x:c r="Z119" s="161"/>
    </x:row>
    <x:row r="120">
      <x:c r="A120" s="161"/>
      <x:c r="B120" s="161"/>
      <x:c r="C120" s="161"/>
      <x:c r="D120" s="161"/>
      <x:c r="E120" s="161"/>
      <x:c r="F120" s="161"/>
      <x:c r="G120" s="161"/>
      <x:c r="H120" s="161"/>
      <x:c r="I120" s="161"/>
      <x:c r="J120" s="161"/>
      <x:c r="K120" s="161"/>
      <x:c r="L120" s="161"/>
      <x:c r="M120" s="161"/>
      <x:c r="N120" s="161"/>
      <x:c r="O120" s="161"/>
      <x:c r="P120" s="161"/>
      <x:c r="Q120" s="161"/>
      <x:c r="R120" s="161"/>
      <x:c r="S120" s="161"/>
      <x:c r="T120" s="161"/>
      <x:c r="U120" s="161"/>
      <x:c r="V120" s="161"/>
      <x:c r="W120" s="161"/>
      <x:c r="X120" s="161"/>
      <x:c r="Y120" s="161"/>
      <x:c r="Z120" s="161"/>
    </x:row>
    <x:row r="121">
      <x:c r="A121" s="161"/>
      <x:c r="B121" s="161"/>
      <x:c r="C121" s="161"/>
      <x:c r="D121" s="161"/>
      <x:c r="E121" s="161"/>
      <x:c r="F121" s="161"/>
      <x:c r="G121" s="161"/>
      <x:c r="H121" s="161"/>
      <x:c r="I121" s="161"/>
      <x:c r="J121" s="161"/>
      <x:c r="K121" s="161"/>
      <x:c r="L121" s="161"/>
      <x:c r="M121" s="161"/>
      <x:c r="N121" s="161"/>
      <x:c r="O121" s="161"/>
      <x:c r="P121" s="161"/>
      <x:c r="Q121" s="161"/>
      <x:c r="R121" s="161"/>
      <x:c r="S121" s="161"/>
      <x:c r="T121" s="161"/>
      <x:c r="U121" s="161"/>
      <x:c r="V121" s="161"/>
      <x:c r="W121" s="161"/>
      <x:c r="X121" s="161"/>
      <x:c r="Y121" s="161"/>
      <x:c r="Z121" s="161"/>
    </x:row>
    <x:row r="122">
      <x:c r="A122" s="161"/>
      <x:c r="B122" s="161"/>
      <x:c r="C122" s="161"/>
      <x:c r="D122" s="161"/>
      <x:c r="E122" s="161"/>
      <x:c r="F122" s="161"/>
      <x:c r="G122" s="161"/>
      <x:c r="H122" s="161"/>
      <x:c r="I122" s="161"/>
      <x:c r="J122" s="161"/>
      <x:c r="K122" s="161"/>
      <x:c r="L122" s="161"/>
      <x:c r="M122" s="161"/>
      <x:c r="N122" s="161"/>
      <x:c r="O122" s="161"/>
      <x:c r="P122" s="161"/>
      <x:c r="Q122" s="161"/>
      <x:c r="R122" s="161"/>
      <x:c r="S122" s="161"/>
      <x:c r="T122" s="161"/>
      <x:c r="U122" s="161"/>
      <x:c r="V122" s="161"/>
      <x:c r="W122" s="161"/>
      <x:c r="X122" s="161"/>
      <x:c r="Y122" s="161"/>
      <x:c r="Z122" s="161"/>
    </x:row>
    <x:row r="123">
      <x:c r="A123" s="161"/>
      <x:c r="B123" s="161"/>
      <x:c r="C123" s="161"/>
      <x:c r="D123" s="161"/>
      <x:c r="E123" s="161"/>
      <x:c r="F123" s="161"/>
      <x:c r="G123" s="161"/>
      <x:c r="H123" s="161"/>
      <x:c r="I123" s="161"/>
      <x:c r="J123" s="161"/>
      <x:c r="K123" s="161"/>
      <x:c r="L123" s="161"/>
      <x:c r="M123" s="161"/>
      <x:c r="N123" s="161"/>
      <x:c r="O123" s="161"/>
      <x:c r="P123" s="161"/>
      <x:c r="Q123" s="161"/>
      <x:c r="R123" s="161"/>
      <x:c r="S123" s="161"/>
      <x:c r="T123" s="161"/>
      <x:c r="U123" s="161"/>
      <x:c r="V123" s="161"/>
      <x:c r="W123" s="161"/>
      <x:c r="X123" s="161"/>
      <x:c r="Y123" s="161"/>
      <x:c r="Z123" s="161"/>
    </x:row>
    <x:row r="124">
      <x:c r="A124" s="161"/>
      <x:c r="B124" s="161"/>
      <x:c r="C124" s="161"/>
      <x:c r="D124" s="161"/>
      <x:c r="E124" s="161"/>
      <x:c r="F124" s="161"/>
      <x:c r="G124" s="161"/>
      <x:c r="H124" s="161"/>
      <x:c r="I124" s="161"/>
      <x:c r="J124" s="161"/>
      <x:c r="K124" s="161"/>
      <x:c r="L124" s="161"/>
      <x:c r="M124" s="161"/>
      <x:c r="N124" s="161"/>
      <x:c r="O124" s="161"/>
      <x:c r="P124" s="161"/>
      <x:c r="Q124" s="161"/>
      <x:c r="R124" s="161"/>
      <x:c r="S124" s="161"/>
      <x:c r="T124" s="161"/>
      <x:c r="U124" s="161"/>
      <x:c r="V124" s="161"/>
      <x:c r="W124" s="161"/>
      <x:c r="X124" s="161"/>
      <x:c r="Y124" s="161"/>
      <x:c r="Z124" s="161"/>
    </x:row>
    <x:row r="125">
      <x:c r="A125" s="161"/>
      <x:c r="B125" s="161"/>
      <x:c r="C125" s="161"/>
      <x:c r="D125" s="161"/>
      <x:c r="E125" s="161"/>
      <x:c r="F125" s="161"/>
      <x:c r="G125" s="161"/>
      <x:c r="H125" s="161"/>
      <x:c r="I125" s="161"/>
      <x:c r="J125" s="161"/>
      <x:c r="K125" s="161"/>
      <x:c r="L125" s="161"/>
      <x:c r="M125" s="161"/>
      <x:c r="N125" s="161"/>
      <x:c r="O125" s="161"/>
      <x:c r="P125" s="161"/>
      <x:c r="Q125" s="161"/>
      <x:c r="R125" s="161"/>
      <x:c r="S125" s="161"/>
      <x:c r="T125" s="161"/>
      <x:c r="U125" s="161"/>
      <x:c r="V125" s="161"/>
      <x:c r="W125" s="161"/>
      <x:c r="X125" s="161"/>
      <x:c r="Y125" s="161"/>
      <x:c r="Z125" s="161"/>
    </x:row>
    <x:row r="126">
      <x:c r="A126" s="161"/>
      <x:c r="B126" s="161"/>
      <x:c r="C126" s="161"/>
      <x:c r="D126" s="161"/>
      <x:c r="E126" s="161"/>
      <x:c r="F126" s="161"/>
      <x:c r="G126" s="161"/>
      <x:c r="H126" s="161"/>
      <x:c r="I126" s="161"/>
      <x:c r="J126" s="161"/>
      <x:c r="K126" s="161"/>
      <x:c r="L126" s="161"/>
      <x:c r="M126" s="161"/>
      <x:c r="N126" s="161"/>
      <x:c r="O126" s="161"/>
      <x:c r="P126" s="161"/>
      <x:c r="Q126" s="161"/>
      <x:c r="R126" s="161"/>
      <x:c r="S126" s="161"/>
      <x:c r="T126" s="161"/>
      <x:c r="U126" s="161"/>
      <x:c r="V126" s="161"/>
      <x:c r="W126" s="161"/>
      <x:c r="X126" s="161"/>
      <x:c r="Y126" s="161"/>
      <x:c r="Z126" s="161"/>
    </x:row>
    <x:row r="127">
      <x:c r="A127" s="161"/>
      <x:c r="B127" s="161"/>
      <x:c r="C127" s="161"/>
      <x:c r="D127" s="161"/>
      <x:c r="E127" s="161"/>
      <x:c r="F127" s="161"/>
      <x:c r="G127" s="161"/>
      <x:c r="H127" s="161"/>
      <x:c r="I127" s="161"/>
      <x:c r="J127" s="161"/>
      <x:c r="K127" s="161"/>
      <x:c r="L127" s="161"/>
      <x:c r="M127" s="161"/>
      <x:c r="N127" s="161"/>
      <x:c r="O127" s="161"/>
      <x:c r="P127" s="161"/>
      <x:c r="Q127" s="161"/>
      <x:c r="R127" s="161"/>
      <x:c r="S127" s="161"/>
      <x:c r="T127" s="161"/>
      <x:c r="U127" s="161"/>
      <x:c r="V127" s="161"/>
      <x:c r="W127" s="161"/>
      <x:c r="X127" s="161"/>
      <x:c r="Y127" s="161"/>
      <x:c r="Z127" s="161"/>
    </x:row>
    <x:row r="128">
      <x:c r="A128" s="161"/>
      <x:c r="B128" s="161"/>
      <x:c r="C128" s="161"/>
      <x:c r="D128" s="161"/>
      <x:c r="E128" s="161"/>
      <x:c r="F128" s="161"/>
      <x:c r="G128" s="161"/>
      <x:c r="H128" s="161"/>
      <x:c r="I128" s="161"/>
      <x:c r="J128" s="161"/>
      <x:c r="K128" s="161"/>
      <x:c r="L128" s="161"/>
      <x:c r="M128" s="161"/>
      <x:c r="N128" s="161"/>
      <x:c r="O128" s="161"/>
      <x:c r="P128" s="161"/>
      <x:c r="Q128" s="161"/>
      <x:c r="R128" s="161"/>
      <x:c r="S128" s="161"/>
      <x:c r="T128" s="161"/>
      <x:c r="U128" s="161"/>
      <x:c r="V128" s="161"/>
      <x:c r="W128" s="161"/>
      <x:c r="X128" s="161"/>
      <x:c r="Y128" s="161"/>
      <x:c r="Z128" s="161"/>
    </x:row>
    <x:row r="129">
      <x:c r="A129" s="161"/>
      <x:c r="B129" s="161"/>
      <x:c r="C129" s="161"/>
      <x:c r="D129" s="161"/>
      <x:c r="E129" s="161"/>
      <x:c r="F129" s="161"/>
      <x:c r="G129" s="161"/>
      <x:c r="H129" s="161"/>
      <x:c r="I129" s="161"/>
      <x:c r="J129" s="161"/>
      <x:c r="K129" s="161"/>
      <x:c r="L129" s="161"/>
      <x:c r="M129" s="161"/>
      <x:c r="N129" s="161"/>
      <x:c r="O129" s="161"/>
      <x:c r="P129" s="161"/>
      <x:c r="Q129" s="161"/>
      <x:c r="R129" s="161"/>
      <x:c r="S129" s="161"/>
      <x:c r="T129" s="161"/>
      <x:c r="U129" s="161"/>
      <x:c r="V129" s="161"/>
      <x:c r="W129" s="161"/>
      <x:c r="X129" s="161"/>
      <x:c r="Y129" s="161"/>
      <x:c r="Z129" s="161"/>
    </x:row>
    <x:row r="130">
      <x:c r="A130" s="161"/>
      <x:c r="B130" s="161"/>
      <x:c r="C130" s="161"/>
      <x:c r="D130" s="161"/>
      <x:c r="E130" s="161"/>
      <x:c r="F130" s="161"/>
      <x:c r="G130" s="161"/>
      <x:c r="H130" s="161"/>
      <x:c r="I130" s="161"/>
      <x:c r="J130" s="161"/>
      <x:c r="K130" s="161"/>
      <x:c r="L130" s="161"/>
      <x:c r="M130" s="161"/>
      <x:c r="N130" s="161"/>
      <x:c r="O130" s="161"/>
      <x:c r="P130" s="161"/>
      <x:c r="Q130" s="161"/>
      <x:c r="R130" s="161"/>
      <x:c r="S130" s="161"/>
      <x:c r="T130" s="161"/>
      <x:c r="U130" s="161"/>
      <x:c r="V130" s="161"/>
      <x:c r="W130" s="161"/>
      <x:c r="X130" s="161"/>
      <x:c r="Y130" s="161"/>
      <x:c r="Z130" s="161"/>
    </x:row>
    <x:row r="131">
      <x:c r="A131" s="161"/>
      <x:c r="B131" s="161"/>
      <x:c r="C131" s="161"/>
      <x:c r="D131" s="161"/>
      <x:c r="E131" s="161"/>
      <x:c r="F131" s="161"/>
      <x:c r="G131" s="161"/>
      <x:c r="H131" s="161"/>
      <x:c r="I131" s="161"/>
      <x:c r="J131" s="161"/>
      <x:c r="K131" s="161"/>
      <x:c r="L131" s="161"/>
      <x:c r="M131" s="161"/>
      <x:c r="N131" s="161"/>
      <x:c r="O131" s="161"/>
      <x:c r="P131" s="161"/>
      <x:c r="Q131" s="161"/>
      <x:c r="R131" s="161"/>
      <x:c r="S131" s="161"/>
      <x:c r="T131" s="161"/>
      <x:c r="U131" s="161"/>
      <x:c r="V131" s="161"/>
      <x:c r="W131" s="161"/>
      <x:c r="X131" s="161"/>
      <x:c r="Y131" s="161"/>
      <x:c r="Z131" s="161"/>
    </x:row>
    <x:row r="132">
      <x:c r="A132" s="161"/>
      <x:c r="B132" s="161"/>
      <x:c r="C132" s="161"/>
      <x:c r="D132" s="161"/>
      <x:c r="E132" s="161"/>
      <x:c r="F132" s="161"/>
      <x:c r="G132" s="161"/>
      <x:c r="H132" s="161"/>
      <x:c r="I132" s="161"/>
      <x:c r="J132" s="161"/>
      <x:c r="K132" s="161"/>
      <x:c r="L132" s="161"/>
      <x:c r="M132" s="161"/>
      <x:c r="N132" s="161"/>
      <x:c r="O132" s="161"/>
      <x:c r="P132" s="161"/>
      <x:c r="Q132" s="161"/>
      <x:c r="R132" s="161"/>
      <x:c r="S132" s="161"/>
      <x:c r="T132" s="161"/>
      <x:c r="U132" s="161"/>
      <x:c r="V132" s="161"/>
      <x:c r="W132" s="161"/>
      <x:c r="X132" s="161"/>
      <x:c r="Y132" s="161"/>
      <x:c r="Z132" s="161"/>
    </x:row>
    <x:row r="133">
      <x:c r="A133" s="161"/>
      <x:c r="B133" s="161"/>
      <x:c r="C133" s="161"/>
      <x:c r="D133" s="161"/>
      <x:c r="E133" s="161"/>
      <x:c r="F133" s="161"/>
      <x:c r="G133" s="161"/>
      <x:c r="H133" s="161"/>
      <x:c r="I133" s="161"/>
      <x:c r="J133" s="161"/>
      <x:c r="K133" s="161"/>
      <x:c r="L133" s="161"/>
      <x:c r="M133" s="161"/>
      <x:c r="N133" s="161"/>
      <x:c r="O133" s="161"/>
      <x:c r="P133" s="161"/>
      <x:c r="Q133" s="161"/>
      <x:c r="R133" s="161"/>
      <x:c r="S133" s="161"/>
      <x:c r="T133" s="161"/>
      <x:c r="U133" s="161"/>
      <x:c r="V133" s="161"/>
      <x:c r="W133" s="161"/>
      <x:c r="X133" s="161"/>
      <x:c r="Y133" s="161"/>
      <x:c r="Z133" s="161"/>
    </x:row>
    <x:row r="134">
      <x:c r="A134" s="161"/>
      <x:c r="B134" s="161"/>
      <x:c r="C134" s="161"/>
      <x:c r="D134" s="161"/>
      <x:c r="E134" s="161"/>
      <x:c r="F134" s="161"/>
      <x:c r="G134" s="161"/>
      <x:c r="H134" s="161"/>
      <x:c r="I134" s="161"/>
      <x:c r="J134" s="161"/>
      <x:c r="K134" s="161"/>
      <x:c r="L134" s="161"/>
      <x:c r="M134" s="161"/>
      <x:c r="N134" s="161"/>
      <x:c r="O134" s="161"/>
      <x:c r="P134" s="161"/>
      <x:c r="Q134" s="161"/>
      <x:c r="R134" s="161"/>
      <x:c r="S134" s="161"/>
      <x:c r="T134" s="161"/>
      <x:c r="U134" s="161"/>
      <x:c r="V134" s="161"/>
      <x:c r="W134" s="161"/>
      <x:c r="X134" s="161"/>
      <x:c r="Y134" s="161"/>
      <x:c r="Z134" s="161"/>
    </x:row>
    <x:row r="135">
      <x:c r="A135" s="161"/>
      <x:c r="B135" s="161"/>
      <x:c r="C135" s="161"/>
      <x:c r="D135" s="161"/>
      <x:c r="E135" s="161"/>
      <x:c r="F135" s="161"/>
      <x:c r="G135" s="161"/>
      <x:c r="H135" s="161"/>
      <x:c r="I135" s="161"/>
      <x:c r="J135" s="161"/>
      <x:c r="K135" s="161"/>
      <x:c r="L135" s="161"/>
      <x:c r="M135" s="161"/>
      <x:c r="N135" s="161"/>
      <x:c r="O135" s="161"/>
      <x:c r="P135" s="161"/>
      <x:c r="Q135" s="161"/>
      <x:c r="R135" s="161"/>
      <x:c r="S135" s="161"/>
      <x:c r="T135" s="161"/>
      <x:c r="U135" s="161"/>
      <x:c r="V135" s="161"/>
      <x:c r="W135" s="161"/>
      <x:c r="X135" s="161"/>
      <x:c r="Y135" s="161"/>
      <x:c r="Z135" s="161"/>
    </x:row>
    <x:row r="136">
      <x:c r="A136" s="161"/>
      <x:c r="B136" s="161"/>
      <x:c r="C136" s="161"/>
      <x:c r="D136" s="161"/>
      <x:c r="E136" s="161"/>
      <x:c r="F136" s="161"/>
      <x:c r="G136" s="161"/>
      <x:c r="H136" s="161"/>
      <x:c r="I136" s="161"/>
      <x:c r="J136" s="161"/>
      <x:c r="K136" s="161"/>
      <x:c r="L136" s="161"/>
      <x:c r="M136" s="161"/>
      <x:c r="N136" s="161"/>
      <x:c r="O136" s="161"/>
      <x:c r="P136" s="161"/>
      <x:c r="Q136" s="161"/>
      <x:c r="R136" s="161"/>
      <x:c r="S136" s="161"/>
      <x:c r="T136" s="161"/>
      <x:c r="U136" s="161"/>
      <x:c r="V136" s="161"/>
      <x:c r="W136" s="161"/>
      <x:c r="X136" s="161"/>
      <x:c r="Y136" s="161"/>
      <x:c r="Z136" s="161"/>
    </x:row>
    <x:row r="137">
      <x:c r="A137" s="161"/>
      <x:c r="B137" s="161"/>
      <x:c r="C137" s="161"/>
      <x:c r="D137" s="161"/>
      <x:c r="E137" s="161"/>
      <x:c r="F137" s="161"/>
      <x:c r="G137" s="161"/>
      <x:c r="H137" s="161"/>
      <x:c r="I137" s="161"/>
      <x:c r="J137" s="161"/>
      <x:c r="K137" s="161"/>
      <x:c r="L137" s="161"/>
      <x:c r="M137" s="161"/>
      <x:c r="N137" s="161"/>
      <x:c r="O137" s="161"/>
      <x:c r="P137" s="161"/>
      <x:c r="Q137" s="161"/>
      <x:c r="R137" s="161"/>
      <x:c r="S137" s="161"/>
      <x:c r="T137" s="161"/>
      <x:c r="U137" s="161"/>
      <x:c r="V137" s="161"/>
      <x:c r="W137" s="161"/>
      <x:c r="X137" s="161"/>
      <x:c r="Y137" s="161"/>
      <x:c r="Z137" s="161"/>
    </x:row>
    <x:row r="138">
      <x:c r="A138" s="161"/>
      <x:c r="B138" s="161"/>
      <x:c r="C138" s="161"/>
      <x:c r="D138" s="161"/>
      <x:c r="E138" s="161"/>
      <x:c r="F138" s="161"/>
      <x:c r="G138" s="161"/>
      <x:c r="H138" s="161"/>
      <x:c r="I138" s="161"/>
      <x:c r="J138" s="161"/>
      <x:c r="K138" s="161"/>
      <x:c r="L138" s="161"/>
      <x:c r="M138" s="161"/>
      <x:c r="N138" s="161"/>
      <x:c r="O138" s="161"/>
      <x:c r="P138" s="161"/>
      <x:c r="Q138" s="161"/>
      <x:c r="R138" s="161"/>
      <x:c r="S138" s="161"/>
      <x:c r="T138" s="161"/>
      <x:c r="U138" s="161"/>
      <x:c r="V138" s="161"/>
      <x:c r="W138" s="161"/>
      <x:c r="X138" s="161"/>
      <x:c r="Y138" s="161"/>
      <x:c r="Z138" s="161"/>
    </x:row>
    <x:row r="139">
      <x:c r="A139" s="161"/>
      <x:c r="B139" s="161"/>
      <x:c r="C139" s="161"/>
      <x:c r="D139" s="161"/>
      <x:c r="E139" s="161"/>
      <x:c r="F139" s="161"/>
      <x:c r="G139" s="161"/>
      <x:c r="H139" s="161"/>
      <x:c r="I139" s="161"/>
      <x:c r="J139" s="161"/>
      <x:c r="K139" s="161"/>
      <x:c r="L139" s="161"/>
      <x:c r="M139" s="161"/>
      <x:c r="N139" s="161"/>
      <x:c r="O139" s="161"/>
      <x:c r="P139" s="161"/>
      <x:c r="Q139" s="161"/>
      <x:c r="R139" s="161"/>
      <x:c r="S139" s="161"/>
      <x:c r="T139" s="161"/>
      <x:c r="U139" s="161"/>
      <x:c r="V139" s="161"/>
      <x:c r="W139" s="161"/>
      <x:c r="X139" s="161"/>
      <x:c r="Y139" s="161"/>
      <x:c r="Z139" s="161"/>
    </x:row>
    <x:row r="140">
      <x:c r="A140" s="161"/>
      <x:c r="B140" s="161"/>
      <x:c r="C140" s="161"/>
      <x:c r="D140" s="161"/>
      <x:c r="E140" s="161"/>
      <x:c r="F140" s="161"/>
      <x:c r="G140" s="161"/>
      <x:c r="H140" s="161"/>
      <x:c r="I140" s="161"/>
      <x:c r="J140" s="161"/>
      <x:c r="K140" s="161"/>
      <x:c r="L140" s="161"/>
      <x:c r="M140" s="161"/>
      <x:c r="N140" s="161"/>
      <x:c r="O140" s="161"/>
      <x:c r="P140" s="161"/>
      <x:c r="Q140" s="161"/>
      <x:c r="R140" s="161"/>
      <x:c r="S140" s="161"/>
      <x:c r="T140" s="161"/>
      <x:c r="U140" s="161"/>
      <x:c r="V140" s="161"/>
      <x:c r="W140" s="161"/>
      <x:c r="X140" s="161"/>
      <x:c r="Y140" s="161"/>
      <x:c r="Z140" s="161"/>
    </x:row>
    <x:row r="141">
      <x:c r="A141" s="161"/>
      <x:c r="B141" s="161"/>
      <x:c r="C141" s="161"/>
      <x:c r="D141" s="161"/>
      <x:c r="E141" s="161"/>
      <x:c r="F141" s="161"/>
      <x:c r="G141" s="161"/>
      <x:c r="H141" s="161"/>
      <x:c r="I141" s="161"/>
      <x:c r="J141" s="161"/>
      <x:c r="K141" s="161"/>
      <x:c r="L141" s="161"/>
      <x:c r="M141" s="161"/>
      <x:c r="N141" s="161"/>
      <x:c r="O141" s="161"/>
      <x:c r="P141" s="161"/>
      <x:c r="Q141" s="161"/>
      <x:c r="R141" s="161"/>
      <x:c r="S141" s="161"/>
      <x:c r="T141" s="161"/>
      <x:c r="U141" s="161"/>
      <x:c r="V141" s="161"/>
      <x:c r="W141" s="161"/>
      <x:c r="X141" s="161"/>
      <x:c r="Y141" s="161"/>
      <x:c r="Z141" s="161"/>
    </x:row>
    <x:row r="142">
      <x:c r="A142" s="161"/>
      <x:c r="B142" s="161"/>
      <x:c r="C142" s="161"/>
      <x:c r="D142" s="161"/>
      <x:c r="E142" s="161"/>
      <x:c r="F142" s="161"/>
      <x:c r="G142" s="161"/>
      <x:c r="H142" s="161"/>
      <x:c r="I142" s="161"/>
      <x:c r="J142" s="161"/>
      <x:c r="K142" s="161"/>
      <x:c r="L142" s="161"/>
      <x:c r="M142" s="161"/>
      <x:c r="N142" s="161"/>
      <x:c r="O142" s="161"/>
      <x:c r="P142" s="161"/>
      <x:c r="Q142" s="161"/>
      <x:c r="R142" s="161"/>
      <x:c r="S142" s="161"/>
      <x:c r="T142" s="161"/>
      <x:c r="U142" s="161"/>
      <x:c r="V142" s="161"/>
      <x:c r="W142" s="161"/>
      <x:c r="X142" s="161"/>
      <x:c r="Y142" s="161"/>
      <x:c r="Z142" s="161"/>
    </x:row>
    <x:row r="143">
      <x:c r="A143" s="161"/>
      <x:c r="B143" s="161"/>
      <x:c r="C143" s="161"/>
      <x:c r="D143" s="161"/>
      <x:c r="E143" s="161"/>
      <x:c r="F143" s="161"/>
      <x:c r="G143" s="161"/>
      <x:c r="H143" s="161"/>
      <x:c r="I143" s="161"/>
      <x:c r="J143" s="161"/>
      <x:c r="K143" s="161"/>
      <x:c r="L143" s="161"/>
      <x:c r="M143" s="161"/>
      <x:c r="N143" s="161"/>
      <x:c r="O143" s="161"/>
      <x:c r="P143" s="161"/>
      <x:c r="Q143" s="161"/>
      <x:c r="R143" s="161"/>
      <x:c r="S143" s="161"/>
      <x:c r="T143" s="161"/>
      <x:c r="U143" s="161"/>
      <x:c r="V143" s="161"/>
      <x:c r="W143" s="161"/>
      <x:c r="X143" s="161"/>
      <x:c r="Y143" s="161"/>
      <x:c r="Z143" s="161"/>
    </x:row>
    <x:row r="144">
      <x:c r="A144" s="161"/>
      <x:c r="B144" s="161"/>
      <x:c r="C144" s="161"/>
      <x:c r="D144" s="161"/>
      <x:c r="E144" s="161"/>
      <x:c r="F144" s="161"/>
      <x:c r="G144" s="161"/>
      <x:c r="H144" s="161"/>
      <x:c r="I144" s="161"/>
      <x:c r="J144" s="161"/>
      <x:c r="K144" s="161"/>
      <x:c r="L144" s="161"/>
      <x:c r="M144" s="161"/>
      <x:c r="N144" s="161"/>
      <x:c r="O144" s="161"/>
      <x:c r="P144" s="161"/>
      <x:c r="Q144" s="161"/>
      <x:c r="R144" s="161"/>
      <x:c r="S144" s="161"/>
      <x:c r="T144" s="161"/>
      <x:c r="U144" s="161"/>
      <x:c r="V144" s="161"/>
      <x:c r="W144" s="161"/>
      <x:c r="X144" s="161"/>
      <x:c r="Y144" s="161"/>
      <x:c r="Z144" s="161"/>
    </x:row>
    <x:row r="145">
      <x:c r="A145" s="161"/>
      <x:c r="B145" s="161"/>
      <x:c r="C145" s="161"/>
      <x:c r="D145" s="161"/>
      <x:c r="E145" s="161"/>
      <x:c r="F145" s="161"/>
      <x:c r="G145" s="161"/>
      <x:c r="H145" s="161"/>
      <x:c r="I145" s="161"/>
      <x:c r="J145" s="161"/>
      <x:c r="K145" s="161"/>
      <x:c r="L145" s="161"/>
      <x:c r="M145" s="161"/>
      <x:c r="N145" s="161"/>
      <x:c r="O145" s="161"/>
      <x:c r="P145" s="161"/>
      <x:c r="Q145" s="161"/>
      <x:c r="R145" s="161"/>
      <x:c r="S145" s="161"/>
      <x:c r="T145" s="161"/>
      <x:c r="U145" s="161"/>
      <x:c r="V145" s="161"/>
      <x:c r="W145" s="161"/>
      <x:c r="X145" s="161"/>
      <x:c r="Y145" s="161"/>
      <x:c r="Z145" s="161"/>
    </x:row>
    <x:row r="146">
      <x:c r="A146" s="161"/>
      <x:c r="B146" s="161"/>
      <x:c r="C146" s="161"/>
      <x:c r="D146" s="161"/>
      <x:c r="E146" s="161"/>
      <x:c r="F146" s="161"/>
      <x:c r="G146" s="161"/>
      <x:c r="H146" s="161"/>
      <x:c r="I146" s="161"/>
      <x:c r="J146" s="161"/>
      <x:c r="K146" s="161"/>
      <x:c r="L146" s="161"/>
      <x:c r="M146" s="161"/>
      <x:c r="N146" s="161"/>
      <x:c r="O146" s="161"/>
      <x:c r="P146" s="161"/>
      <x:c r="Q146" s="161"/>
      <x:c r="R146" s="161"/>
      <x:c r="S146" s="161"/>
      <x:c r="T146" s="161"/>
      <x:c r="U146" s="161"/>
      <x:c r="V146" s="161"/>
      <x:c r="W146" s="161"/>
      <x:c r="X146" s="161"/>
      <x:c r="Y146" s="161"/>
      <x:c r="Z146" s="161"/>
    </x:row>
    <x:row r="147">
      <x:c r="A147" s="161"/>
      <x:c r="B147" s="161"/>
      <x:c r="C147" s="161"/>
      <x:c r="D147" s="161"/>
      <x:c r="E147" s="161"/>
      <x:c r="F147" s="161"/>
      <x:c r="G147" s="161"/>
      <x:c r="H147" s="161"/>
      <x:c r="I147" s="161"/>
      <x:c r="J147" s="161"/>
      <x:c r="K147" s="161"/>
      <x:c r="L147" s="161"/>
      <x:c r="M147" s="161"/>
      <x:c r="N147" s="161"/>
      <x:c r="O147" s="161"/>
      <x:c r="P147" s="161"/>
      <x:c r="Q147" s="161"/>
      <x:c r="R147" s="161"/>
      <x:c r="S147" s="161"/>
      <x:c r="T147" s="161"/>
      <x:c r="U147" s="161"/>
      <x:c r="V147" s="161"/>
      <x:c r="W147" s="161"/>
      <x:c r="X147" s="161"/>
      <x:c r="Y147" s="161"/>
      <x:c r="Z147" s="161"/>
    </x:row>
    <x:row r="148">
      <x:c r="A148" s="161"/>
      <x:c r="B148" s="161"/>
      <x:c r="C148" s="161"/>
      <x:c r="D148" s="161"/>
      <x:c r="E148" s="161"/>
      <x:c r="F148" s="161"/>
      <x:c r="G148" s="161"/>
      <x:c r="H148" s="161"/>
      <x:c r="I148" s="161"/>
      <x:c r="J148" s="161"/>
      <x:c r="K148" s="161"/>
      <x:c r="L148" s="161"/>
      <x:c r="M148" s="161"/>
      <x:c r="N148" s="161"/>
      <x:c r="O148" s="161"/>
      <x:c r="P148" s="161"/>
      <x:c r="Q148" s="161"/>
      <x:c r="R148" s="161"/>
      <x:c r="S148" s="161"/>
      <x:c r="T148" s="161"/>
      <x:c r="U148" s="161"/>
      <x:c r="V148" s="161"/>
      <x:c r="W148" s="161"/>
      <x:c r="X148" s="161"/>
      <x:c r="Y148" s="161"/>
      <x:c r="Z148" s="161"/>
    </x:row>
    <x:row r="149">
      <x:c r="A149" s="161"/>
      <x:c r="B149" s="161"/>
      <x:c r="C149" s="161"/>
      <x:c r="D149" s="161"/>
      <x:c r="E149" s="161"/>
      <x:c r="F149" s="161"/>
      <x:c r="G149" s="161"/>
      <x:c r="H149" s="161"/>
      <x:c r="I149" s="161"/>
      <x:c r="J149" s="161"/>
      <x:c r="K149" s="161"/>
      <x:c r="L149" s="161"/>
      <x:c r="M149" s="161"/>
      <x:c r="N149" s="161"/>
      <x:c r="O149" s="161"/>
      <x:c r="P149" s="161"/>
      <x:c r="Q149" s="161"/>
      <x:c r="R149" s="161"/>
      <x:c r="S149" s="161"/>
      <x:c r="T149" s="161"/>
      <x:c r="U149" s="161"/>
      <x:c r="V149" s="161"/>
      <x:c r="W149" s="161"/>
      <x:c r="X149" s="161"/>
      <x:c r="Y149" s="161"/>
      <x:c r="Z149" s="161"/>
    </x:row>
    <x:row r="150">
      <x:c r="A150" s="161"/>
      <x:c r="B150" s="161"/>
      <x:c r="C150" s="161"/>
      <x:c r="D150" s="161"/>
      <x:c r="E150" s="161"/>
      <x:c r="F150" s="161"/>
      <x:c r="G150" s="161"/>
      <x:c r="H150" s="161"/>
      <x:c r="I150" s="161"/>
      <x:c r="J150" s="161"/>
      <x:c r="K150" s="161"/>
      <x:c r="L150" s="161"/>
      <x:c r="M150" s="161"/>
      <x:c r="N150" s="161"/>
      <x:c r="O150" s="161"/>
      <x:c r="P150" s="161"/>
      <x:c r="Q150" s="161"/>
      <x:c r="R150" s="161"/>
      <x:c r="S150" s="161"/>
      <x:c r="T150" s="161"/>
      <x:c r="U150" s="161"/>
      <x:c r="V150" s="161"/>
      <x:c r="W150" s="161"/>
      <x:c r="X150" s="161"/>
      <x:c r="Y150" s="161"/>
      <x:c r="Z150" s="161"/>
    </x:row>
    <x:row r="151">
      <x:c r="A151" s="161"/>
      <x:c r="B151" s="161"/>
      <x:c r="C151" s="161"/>
      <x:c r="D151" s="161"/>
      <x:c r="E151" s="161"/>
      <x:c r="F151" s="161"/>
      <x:c r="G151" s="161"/>
      <x:c r="H151" s="161"/>
      <x:c r="I151" s="161"/>
      <x:c r="J151" s="161"/>
      <x:c r="K151" s="161"/>
      <x:c r="L151" s="161"/>
      <x:c r="M151" s="161"/>
      <x:c r="N151" s="161"/>
      <x:c r="O151" s="161"/>
      <x:c r="P151" s="161"/>
      <x:c r="Q151" s="161"/>
      <x:c r="R151" s="161"/>
      <x:c r="S151" s="161"/>
      <x:c r="T151" s="161"/>
      <x:c r="U151" s="161"/>
      <x:c r="V151" s="161"/>
      <x:c r="W151" s="161"/>
      <x:c r="X151" s="161"/>
      <x:c r="Y151" s="161"/>
      <x:c r="Z151" s="161"/>
    </x:row>
    <x:row r="152">
      <x:c r="A152" s="161"/>
      <x:c r="B152" s="161"/>
      <x:c r="C152" s="161"/>
      <x:c r="D152" s="161"/>
      <x:c r="E152" s="161"/>
      <x:c r="F152" s="161"/>
      <x:c r="G152" s="161"/>
      <x:c r="H152" s="161"/>
      <x:c r="I152" s="161"/>
      <x:c r="J152" s="161"/>
      <x:c r="K152" s="161"/>
      <x:c r="L152" s="161"/>
      <x:c r="M152" s="161"/>
      <x:c r="N152" s="161"/>
      <x:c r="O152" s="161"/>
      <x:c r="P152" s="161"/>
      <x:c r="Q152" s="161"/>
      <x:c r="R152" s="161"/>
      <x:c r="S152" s="161"/>
      <x:c r="T152" s="161"/>
      <x:c r="U152" s="161"/>
      <x:c r="V152" s="161"/>
      <x:c r="W152" s="161"/>
      <x:c r="X152" s="161"/>
      <x:c r="Y152" s="161"/>
      <x:c r="Z152" s="161"/>
    </x:row>
    <x:row r="153">
      <x:c r="A153" s="161"/>
      <x:c r="B153" s="161"/>
      <x:c r="C153" s="161"/>
      <x:c r="D153" s="161"/>
      <x:c r="E153" s="161"/>
      <x:c r="F153" s="161"/>
      <x:c r="G153" s="161"/>
      <x:c r="H153" s="161"/>
      <x:c r="I153" s="161"/>
      <x:c r="J153" s="161"/>
      <x:c r="K153" s="161"/>
      <x:c r="L153" s="161"/>
      <x:c r="M153" s="161"/>
      <x:c r="N153" s="161"/>
      <x:c r="O153" s="161"/>
      <x:c r="P153" s="161"/>
      <x:c r="Q153" s="161"/>
      <x:c r="R153" s="161"/>
      <x:c r="S153" s="161"/>
      <x:c r="T153" s="161"/>
      <x:c r="U153" s="161"/>
      <x:c r="V153" s="161"/>
      <x:c r="W153" s="161"/>
      <x:c r="X153" s="161"/>
      <x:c r="Y153" s="161"/>
      <x:c r="Z153" s="161"/>
    </x:row>
    <x:row r="154">
      <x:c r="A154" s="161"/>
      <x:c r="B154" s="161"/>
      <x:c r="C154" s="161"/>
      <x:c r="D154" s="161"/>
      <x:c r="E154" s="161"/>
      <x:c r="F154" s="161"/>
      <x:c r="G154" s="161"/>
      <x:c r="H154" s="161"/>
      <x:c r="I154" s="161"/>
      <x:c r="J154" s="161"/>
      <x:c r="K154" s="161"/>
      <x:c r="L154" s="161"/>
      <x:c r="M154" s="161"/>
      <x:c r="N154" s="161"/>
      <x:c r="O154" s="161"/>
      <x:c r="P154" s="161"/>
      <x:c r="Q154" s="161"/>
      <x:c r="R154" s="161"/>
      <x:c r="S154" s="161"/>
      <x:c r="T154" s="161"/>
      <x:c r="U154" s="161"/>
      <x:c r="V154" s="161"/>
      <x:c r="W154" s="161"/>
      <x:c r="X154" s="161"/>
      <x:c r="Y154" s="161"/>
      <x:c r="Z154" s="161"/>
    </x:row>
    <x:row r="155">
      <x:c r="A155" s="161"/>
      <x:c r="B155" s="161"/>
      <x:c r="C155" s="161"/>
      <x:c r="D155" s="161"/>
      <x:c r="E155" s="161"/>
      <x:c r="F155" s="161"/>
      <x:c r="G155" s="161"/>
      <x:c r="H155" s="161"/>
      <x:c r="I155" s="161"/>
      <x:c r="J155" s="161"/>
      <x:c r="K155" s="161"/>
      <x:c r="L155" s="161"/>
      <x:c r="M155" s="161"/>
      <x:c r="N155" s="161"/>
      <x:c r="O155" s="161"/>
      <x:c r="P155" s="161"/>
      <x:c r="Q155" s="161"/>
      <x:c r="R155" s="161"/>
      <x:c r="S155" s="161"/>
      <x:c r="T155" s="161"/>
      <x:c r="U155" s="161"/>
      <x:c r="V155" s="161"/>
      <x:c r="W155" s="161"/>
      <x:c r="X155" s="161"/>
      <x:c r="Y155" s="161"/>
      <x:c r="Z155" s="161"/>
    </x:row>
    <x:row r="156">
      <x:c r="A156" s="161"/>
      <x:c r="B156" s="161"/>
      <x:c r="C156" s="161"/>
      <x:c r="D156" s="161"/>
      <x:c r="E156" s="161"/>
      <x:c r="F156" s="161"/>
      <x:c r="G156" s="161"/>
      <x:c r="H156" s="161"/>
      <x:c r="I156" s="161"/>
      <x:c r="J156" s="161"/>
      <x:c r="K156" s="161"/>
      <x:c r="L156" s="161"/>
      <x:c r="M156" s="161"/>
      <x:c r="N156" s="161"/>
      <x:c r="O156" s="161"/>
      <x:c r="P156" s="161"/>
      <x:c r="Q156" s="161"/>
      <x:c r="R156" s="161"/>
      <x:c r="S156" s="161"/>
      <x:c r="T156" s="161"/>
      <x:c r="U156" s="161"/>
      <x:c r="V156" s="161"/>
      <x:c r="W156" s="161"/>
      <x:c r="X156" s="161"/>
      <x:c r="Y156" s="161"/>
      <x:c r="Z156" s="161"/>
    </x:row>
    <x:row r="157">
      <x:c r="A157" s="161"/>
      <x:c r="B157" s="161"/>
      <x:c r="C157" s="161"/>
      <x:c r="D157" s="161"/>
      <x:c r="E157" s="161"/>
      <x:c r="F157" s="161"/>
      <x:c r="G157" s="161"/>
      <x:c r="H157" s="161"/>
      <x:c r="I157" s="161"/>
      <x:c r="J157" s="161"/>
      <x:c r="K157" s="161"/>
      <x:c r="L157" s="161"/>
      <x:c r="M157" s="161"/>
      <x:c r="N157" s="161"/>
      <x:c r="O157" s="161"/>
      <x:c r="P157" s="161"/>
      <x:c r="Q157" s="161"/>
      <x:c r="R157" s="161"/>
      <x:c r="S157" s="161"/>
      <x:c r="T157" s="161"/>
      <x:c r="U157" s="161"/>
      <x:c r="V157" s="161"/>
      <x:c r="W157" s="161"/>
      <x:c r="X157" s="161"/>
      <x:c r="Y157" s="161"/>
      <x:c r="Z157" s="161"/>
    </x:row>
    <x:row r="158">
      <x:c r="A158" s="161"/>
      <x:c r="B158" s="161"/>
      <x:c r="C158" s="161"/>
      <x:c r="D158" s="161"/>
      <x:c r="E158" s="161"/>
      <x:c r="F158" s="161"/>
      <x:c r="G158" s="161"/>
      <x:c r="H158" s="161"/>
      <x:c r="I158" s="161"/>
      <x:c r="J158" s="161"/>
      <x:c r="K158" s="161"/>
      <x:c r="L158" s="161"/>
      <x:c r="M158" s="161"/>
      <x:c r="N158" s="161"/>
      <x:c r="O158" s="161"/>
      <x:c r="P158" s="161"/>
      <x:c r="Q158" s="161"/>
      <x:c r="R158" s="161"/>
      <x:c r="S158" s="161"/>
      <x:c r="T158" s="161"/>
      <x:c r="U158" s="161"/>
      <x:c r="V158" s="161"/>
      <x:c r="W158" s="161"/>
      <x:c r="X158" s="161"/>
      <x:c r="Y158" s="161"/>
      <x:c r="Z158" s="161"/>
    </x:row>
    <x:row r="159">
      <x:c r="A159" s="161"/>
      <x:c r="B159" s="161"/>
      <x:c r="C159" s="161"/>
      <x:c r="D159" s="161"/>
      <x:c r="E159" s="161"/>
      <x:c r="F159" s="161"/>
      <x:c r="G159" s="161"/>
      <x:c r="H159" s="161"/>
      <x:c r="I159" s="161"/>
      <x:c r="J159" s="161"/>
      <x:c r="K159" s="161"/>
      <x:c r="L159" s="161"/>
      <x:c r="M159" s="161"/>
      <x:c r="N159" s="161"/>
      <x:c r="O159" s="161"/>
      <x:c r="P159" s="161"/>
      <x:c r="Q159" s="161"/>
      <x:c r="R159" s="161"/>
      <x:c r="S159" s="161"/>
      <x:c r="T159" s="161"/>
      <x:c r="U159" s="161"/>
      <x:c r="V159" s="161"/>
      <x:c r="W159" s="161"/>
      <x:c r="X159" s="161"/>
      <x:c r="Y159" s="161"/>
      <x:c r="Z159" s="161"/>
    </x:row>
    <x:row r="160">
      <x:c r="A160" s="161"/>
      <x:c r="B160" s="161"/>
      <x:c r="C160" s="161"/>
      <x:c r="D160" s="161"/>
      <x:c r="E160" s="161"/>
      <x:c r="F160" s="161"/>
      <x:c r="G160" s="161"/>
      <x:c r="H160" s="161"/>
      <x:c r="I160" s="161"/>
      <x:c r="J160" s="161"/>
      <x:c r="K160" s="161"/>
      <x:c r="L160" s="161"/>
      <x:c r="M160" s="161"/>
      <x:c r="N160" s="161"/>
      <x:c r="O160" s="161"/>
      <x:c r="P160" s="161"/>
      <x:c r="Q160" s="161"/>
      <x:c r="R160" s="161"/>
      <x:c r="S160" s="161"/>
      <x:c r="T160" s="161"/>
      <x:c r="U160" s="161"/>
      <x:c r="V160" s="161"/>
      <x:c r="W160" s="161"/>
      <x:c r="X160" s="161"/>
      <x:c r="Y160" s="161"/>
      <x:c r="Z160" s="161"/>
    </x:row>
    <x:row r="161">
      <x:c r="A161" s="161"/>
      <x:c r="B161" s="161"/>
      <x:c r="C161" s="161"/>
      <x:c r="D161" s="161"/>
      <x:c r="E161" s="161"/>
      <x:c r="F161" s="161"/>
      <x:c r="G161" s="161"/>
      <x:c r="H161" s="161"/>
      <x:c r="I161" s="161"/>
      <x:c r="J161" s="161"/>
      <x:c r="K161" s="161"/>
      <x:c r="L161" s="161"/>
      <x:c r="M161" s="161"/>
      <x:c r="N161" s="161"/>
      <x:c r="O161" s="161"/>
      <x:c r="P161" s="161"/>
      <x:c r="Q161" s="161"/>
      <x:c r="R161" s="161"/>
      <x:c r="S161" s="161"/>
      <x:c r="T161" s="161"/>
      <x:c r="U161" s="161"/>
      <x:c r="V161" s="161"/>
      <x:c r="W161" s="161"/>
      <x:c r="X161" s="161"/>
      <x:c r="Y161" s="161"/>
      <x:c r="Z161" s="161"/>
    </x:row>
    <x:row r="162">
      <x:c r="A162" s="161"/>
      <x:c r="B162" s="161"/>
      <x:c r="C162" s="161"/>
      <x:c r="D162" s="161"/>
      <x:c r="E162" s="161"/>
      <x:c r="F162" s="161"/>
      <x:c r="G162" s="161"/>
      <x:c r="H162" s="161"/>
      <x:c r="I162" s="161"/>
      <x:c r="J162" s="161"/>
      <x:c r="K162" s="161"/>
      <x:c r="L162" s="161"/>
      <x:c r="M162" s="161"/>
      <x:c r="N162" s="161"/>
      <x:c r="O162" s="161"/>
      <x:c r="P162" s="161"/>
      <x:c r="Q162" s="161"/>
      <x:c r="R162" s="161"/>
      <x:c r="S162" s="161"/>
      <x:c r="T162" s="161"/>
      <x:c r="U162" s="161"/>
      <x:c r="V162" s="161"/>
      <x:c r="W162" s="161"/>
      <x:c r="X162" s="161"/>
      <x:c r="Y162" s="161"/>
      <x:c r="Z162" s="161"/>
    </x:row>
    <x:row r="163">
      <x:c r="A163" s="161"/>
      <x:c r="B163" s="161"/>
      <x:c r="C163" s="161"/>
      <x:c r="D163" s="161"/>
      <x:c r="E163" s="161"/>
      <x:c r="F163" s="161"/>
      <x:c r="G163" s="161"/>
      <x:c r="H163" s="161"/>
      <x:c r="I163" s="161"/>
      <x:c r="J163" s="161"/>
      <x:c r="K163" s="161"/>
      <x:c r="L163" s="161"/>
      <x:c r="M163" s="161"/>
      <x:c r="N163" s="161"/>
      <x:c r="O163" s="161"/>
      <x:c r="P163" s="161"/>
      <x:c r="Q163" s="161"/>
      <x:c r="R163" s="161"/>
      <x:c r="S163" s="161"/>
      <x:c r="T163" s="161"/>
      <x:c r="U163" s="161"/>
      <x:c r="V163" s="161"/>
      <x:c r="W163" s="161"/>
      <x:c r="X163" s="161"/>
      <x:c r="Y163" s="161"/>
      <x:c r="Z163" s="161"/>
    </x:row>
    <x:row r="164">
      <x:c r="A164" s="161"/>
      <x:c r="B164" s="161"/>
      <x:c r="C164" s="161"/>
      <x:c r="D164" s="161"/>
      <x:c r="E164" s="161"/>
      <x:c r="F164" s="161"/>
      <x:c r="G164" s="161"/>
      <x:c r="H164" s="161"/>
      <x:c r="I164" s="161"/>
      <x:c r="J164" s="161"/>
      <x:c r="K164" s="161"/>
      <x:c r="L164" s="161"/>
      <x:c r="M164" s="161"/>
      <x:c r="N164" s="161"/>
      <x:c r="O164" s="161"/>
      <x:c r="P164" s="161"/>
      <x:c r="Q164" s="161"/>
      <x:c r="R164" s="161"/>
      <x:c r="S164" s="161"/>
      <x:c r="T164" s="161"/>
      <x:c r="U164" s="161"/>
      <x:c r="V164" s="161"/>
      <x:c r="W164" s="161"/>
      <x:c r="X164" s="161"/>
      <x:c r="Y164" s="161"/>
      <x:c r="Z164" s="161"/>
    </x:row>
    <x:row r="165">
      <x:c r="A165" s="161"/>
      <x:c r="B165" s="161"/>
      <x:c r="C165" s="161"/>
      <x:c r="D165" s="161"/>
      <x:c r="E165" s="161"/>
      <x:c r="F165" s="161"/>
      <x:c r="G165" s="161"/>
      <x:c r="H165" s="161"/>
      <x:c r="I165" s="161"/>
      <x:c r="J165" s="161"/>
      <x:c r="K165" s="161"/>
      <x:c r="L165" s="161"/>
      <x:c r="M165" s="161"/>
      <x:c r="N165" s="161"/>
      <x:c r="O165" s="161"/>
      <x:c r="P165" s="161"/>
      <x:c r="Q165" s="161"/>
      <x:c r="R165" s="161"/>
      <x:c r="S165" s="161"/>
      <x:c r="T165" s="161"/>
      <x:c r="U165" s="161"/>
      <x:c r="V165" s="161"/>
      <x:c r="W165" s="161"/>
      <x:c r="X165" s="161"/>
      <x:c r="Y165" s="161"/>
      <x:c r="Z165" s="161"/>
    </x:row>
    <x:row r="166">
      <x:c r="A166" s="161"/>
      <x:c r="B166" s="161"/>
      <x:c r="C166" s="161"/>
      <x:c r="D166" s="161"/>
      <x:c r="E166" s="161"/>
      <x:c r="F166" s="161"/>
      <x:c r="G166" s="161"/>
      <x:c r="H166" s="161"/>
      <x:c r="I166" s="161"/>
      <x:c r="J166" s="161"/>
      <x:c r="K166" s="161"/>
      <x:c r="L166" s="161"/>
      <x:c r="M166" s="161"/>
      <x:c r="N166" s="161"/>
      <x:c r="O166" s="161"/>
      <x:c r="P166" s="161"/>
      <x:c r="Q166" s="161"/>
      <x:c r="R166" s="161"/>
      <x:c r="S166" s="161"/>
      <x:c r="T166" s="161"/>
      <x:c r="U166" s="161"/>
      <x:c r="V166" s="161"/>
      <x:c r="W166" s="161"/>
      <x:c r="X166" s="161"/>
      <x:c r="Y166" s="161"/>
      <x:c r="Z166" s="161"/>
    </x:row>
    <x:row r="167">
      <x:c r="A167" s="161"/>
      <x:c r="B167" s="161"/>
      <x:c r="C167" s="161"/>
      <x:c r="D167" s="161"/>
      <x:c r="E167" s="161"/>
      <x:c r="F167" s="161"/>
      <x:c r="G167" s="161"/>
      <x:c r="H167" s="161"/>
      <x:c r="I167" s="161"/>
      <x:c r="J167" s="161"/>
      <x:c r="K167" s="161"/>
      <x:c r="L167" s="161"/>
      <x:c r="M167" s="161"/>
      <x:c r="N167" s="161"/>
      <x:c r="O167" s="161"/>
      <x:c r="P167" s="161"/>
      <x:c r="Q167" s="161"/>
      <x:c r="R167" s="161"/>
      <x:c r="S167" s="161"/>
      <x:c r="T167" s="161"/>
      <x:c r="U167" s="161"/>
      <x:c r="V167" s="161"/>
      <x:c r="W167" s="161"/>
      <x:c r="X167" s="161"/>
      <x:c r="Y167" s="161"/>
      <x:c r="Z167" s="161"/>
    </x:row>
    <x:row r="168">
      <x:c r="A168" s="161"/>
      <x:c r="B168" s="161"/>
      <x:c r="C168" s="161"/>
      <x:c r="D168" s="161"/>
      <x:c r="E168" s="161"/>
      <x:c r="F168" s="161"/>
      <x:c r="G168" s="161"/>
      <x:c r="H168" s="161"/>
      <x:c r="I168" s="161"/>
      <x:c r="J168" s="161"/>
      <x:c r="K168" s="161"/>
      <x:c r="L168" s="161"/>
      <x:c r="M168" s="161"/>
      <x:c r="N168" s="161"/>
      <x:c r="O168" s="161"/>
      <x:c r="P168" s="161"/>
      <x:c r="Q168" s="161"/>
      <x:c r="R168" s="161"/>
      <x:c r="S168" s="161"/>
      <x:c r="T168" s="161"/>
      <x:c r="U168" s="161"/>
      <x:c r="V168" s="161"/>
      <x:c r="W168" s="161"/>
      <x:c r="X168" s="161"/>
      <x:c r="Y168" s="161"/>
      <x:c r="Z168" s="161"/>
    </x:row>
    <x:row r="169">
      <x:c r="A169" s="161"/>
      <x:c r="B169" s="161"/>
      <x:c r="C169" s="161"/>
      <x:c r="D169" s="161"/>
      <x:c r="E169" s="161"/>
      <x:c r="F169" s="161"/>
      <x:c r="G169" s="161"/>
      <x:c r="H169" s="161"/>
      <x:c r="I169" s="161"/>
      <x:c r="J169" s="161"/>
      <x:c r="K169" s="161"/>
      <x:c r="L169" s="161"/>
      <x:c r="M169" s="161"/>
      <x:c r="N169" s="161"/>
      <x:c r="O169" s="161"/>
      <x:c r="P169" s="161"/>
      <x:c r="Q169" s="161"/>
      <x:c r="R169" s="161"/>
      <x:c r="S169" s="161"/>
      <x:c r="T169" s="161"/>
      <x:c r="U169" s="161"/>
      <x:c r="V169" s="161"/>
      <x:c r="W169" s="161"/>
      <x:c r="X169" s="161"/>
      <x:c r="Y169" s="161"/>
      <x:c r="Z169" s="161"/>
    </x:row>
    <x:row r="170">
      <x:c r="A170" s="161"/>
      <x:c r="B170" s="161"/>
      <x:c r="C170" s="161"/>
      <x:c r="D170" s="161"/>
      <x:c r="E170" s="161"/>
      <x:c r="F170" s="161"/>
      <x:c r="G170" s="161"/>
      <x:c r="H170" s="161"/>
      <x:c r="I170" s="161"/>
      <x:c r="J170" s="161"/>
      <x:c r="K170" s="161"/>
      <x:c r="L170" s="161"/>
      <x:c r="M170" s="161"/>
      <x:c r="N170" s="161"/>
      <x:c r="O170" s="161"/>
      <x:c r="P170" s="161"/>
      <x:c r="Q170" s="161"/>
      <x:c r="R170" s="161"/>
      <x:c r="S170" s="161"/>
      <x:c r="T170" s="161"/>
      <x:c r="U170" s="161"/>
      <x:c r="V170" s="161"/>
      <x:c r="W170" s="161"/>
      <x:c r="X170" s="161"/>
      <x:c r="Y170" s="161"/>
      <x:c r="Z170" s="161"/>
    </x:row>
    <x:row r="171">
      <x:c r="A171" s="161"/>
      <x:c r="B171" s="161"/>
      <x:c r="C171" s="161"/>
      <x:c r="D171" s="161"/>
      <x:c r="E171" s="161"/>
      <x:c r="F171" s="161"/>
      <x:c r="G171" s="161"/>
      <x:c r="H171" s="161"/>
      <x:c r="I171" s="161"/>
      <x:c r="J171" s="161"/>
      <x:c r="K171" s="161"/>
      <x:c r="L171" s="161"/>
      <x:c r="M171" s="161"/>
      <x:c r="N171" s="161"/>
      <x:c r="O171" s="161"/>
      <x:c r="P171" s="161"/>
      <x:c r="Q171" s="161"/>
      <x:c r="R171" s="161"/>
      <x:c r="S171" s="161"/>
      <x:c r="T171" s="161"/>
      <x:c r="U171" s="161"/>
      <x:c r="V171" s="161"/>
      <x:c r="W171" s="161"/>
      <x:c r="X171" s="161"/>
      <x:c r="Y171" s="161"/>
      <x:c r="Z171" s="161"/>
    </x:row>
    <x:row r="172">
      <x:c r="A172" s="161"/>
      <x:c r="B172" s="161"/>
      <x:c r="C172" s="161"/>
      <x:c r="D172" s="161"/>
      <x:c r="E172" s="161"/>
      <x:c r="F172" s="161"/>
      <x:c r="G172" s="161"/>
      <x:c r="H172" s="161"/>
      <x:c r="I172" s="161"/>
      <x:c r="J172" s="161"/>
      <x:c r="K172" s="161"/>
      <x:c r="L172" s="161"/>
      <x:c r="M172" s="161"/>
      <x:c r="N172" s="161"/>
      <x:c r="O172" s="161"/>
      <x:c r="P172" s="161"/>
      <x:c r="Q172" s="161"/>
      <x:c r="R172" s="161"/>
      <x:c r="S172" s="161"/>
      <x:c r="T172" s="161"/>
      <x:c r="U172" s="161"/>
      <x:c r="V172" s="161"/>
      <x:c r="W172" s="161"/>
      <x:c r="X172" s="161"/>
      <x:c r="Y172" s="161"/>
      <x:c r="Z172" s="161"/>
    </x:row>
    <x:row r="173">
      <x:c r="A173" s="161"/>
      <x:c r="B173" s="161"/>
      <x:c r="C173" s="161"/>
      <x:c r="D173" s="161"/>
      <x:c r="E173" s="161"/>
      <x:c r="F173" s="161"/>
      <x:c r="G173" s="161"/>
      <x:c r="H173" s="161"/>
      <x:c r="I173" s="161"/>
      <x:c r="J173" s="161"/>
      <x:c r="K173" s="161"/>
      <x:c r="L173" s="161"/>
      <x:c r="M173" s="161"/>
      <x:c r="N173" s="161"/>
      <x:c r="O173" s="161"/>
      <x:c r="P173" s="161"/>
      <x:c r="Q173" s="161"/>
      <x:c r="R173" s="161"/>
      <x:c r="S173" s="161"/>
      <x:c r="T173" s="161"/>
      <x:c r="U173" s="161"/>
      <x:c r="V173" s="161"/>
      <x:c r="W173" s="161"/>
      <x:c r="X173" s="161"/>
      <x:c r="Y173" s="161"/>
      <x:c r="Z173" s="161"/>
    </x:row>
    <x:row r="174">
      <x:c r="A174" s="161"/>
      <x:c r="B174" s="161"/>
      <x:c r="C174" s="161"/>
      <x:c r="D174" s="161"/>
      <x:c r="E174" s="161"/>
      <x:c r="F174" s="161"/>
      <x:c r="G174" s="161"/>
      <x:c r="H174" s="161"/>
      <x:c r="I174" s="161"/>
      <x:c r="J174" s="161"/>
      <x:c r="K174" s="161"/>
      <x:c r="L174" s="161"/>
      <x:c r="M174" s="161"/>
      <x:c r="N174" s="161"/>
      <x:c r="O174" s="161"/>
      <x:c r="P174" s="161"/>
      <x:c r="Q174" s="161"/>
      <x:c r="R174" s="161"/>
      <x:c r="S174" s="161"/>
      <x:c r="T174" s="161"/>
      <x:c r="U174" s="161"/>
      <x:c r="V174" s="161"/>
      <x:c r="W174" s="161"/>
      <x:c r="X174" s="161"/>
      <x:c r="Y174" s="161"/>
      <x:c r="Z174" s="161"/>
    </x:row>
    <x:row r="175">
      <x:c r="A175" s="161"/>
      <x:c r="B175" s="161"/>
      <x:c r="C175" s="161"/>
      <x:c r="D175" s="161"/>
      <x:c r="E175" s="161"/>
      <x:c r="F175" s="161"/>
      <x:c r="G175" s="161"/>
      <x:c r="H175" s="161"/>
      <x:c r="I175" s="161"/>
      <x:c r="J175" s="161"/>
      <x:c r="K175" s="161"/>
      <x:c r="L175" s="161"/>
      <x:c r="M175" s="161"/>
      <x:c r="N175" s="161"/>
      <x:c r="O175" s="161"/>
      <x:c r="P175" s="161"/>
      <x:c r="Q175" s="161"/>
      <x:c r="R175" s="161"/>
      <x:c r="S175" s="161"/>
      <x:c r="T175" s="161"/>
      <x:c r="U175" s="161"/>
      <x:c r="V175" s="161"/>
      <x:c r="W175" s="161"/>
      <x:c r="X175" s="161"/>
      <x:c r="Y175" s="161"/>
      <x:c r="Z175" s="161"/>
    </x:row>
    <x:row r="176">
      <x:c r="A176" s="161"/>
      <x:c r="B176" s="161"/>
      <x:c r="C176" s="161"/>
      <x:c r="D176" s="161"/>
      <x:c r="E176" s="161"/>
      <x:c r="F176" s="161"/>
      <x:c r="G176" s="161"/>
      <x:c r="H176" s="161"/>
      <x:c r="I176" s="161"/>
      <x:c r="J176" s="161"/>
      <x:c r="K176" s="161"/>
      <x:c r="L176" s="161"/>
      <x:c r="M176" s="161"/>
      <x:c r="N176" s="161"/>
      <x:c r="O176" s="161"/>
      <x:c r="P176" s="161"/>
      <x:c r="Q176" s="161"/>
      <x:c r="R176" s="161"/>
      <x:c r="S176" s="161"/>
      <x:c r="T176" s="161"/>
      <x:c r="U176" s="161"/>
      <x:c r="V176" s="161"/>
      <x:c r="W176" s="161"/>
      <x:c r="X176" s="161"/>
      <x:c r="Y176" s="161"/>
      <x:c r="Z176" s="161"/>
    </x:row>
    <x:row r="177">
      <x:c r="A177" s="161"/>
      <x:c r="B177" s="161"/>
      <x:c r="C177" s="161"/>
      <x:c r="D177" s="161"/>
      <x:c r="E177" s="161"/>
      <x:c r="F177" s="161"/>
      <x:c r="G177" s="161"/>
      <x:c r="H177" s="161"/>
      <x:c r="I177" s="161"/>
      <x:c r="J177" s="161"/>
      <x:c r="K177" s="161"/>
      <x:c r="L177" s="161"/>
      <x:c r="M177" s="161"/>
      <x:c r="N177" s="161"/>
      <x:c r="O177" s="161"/>
      <x:c r="P177" s="161"/>
      <x:c r="Q177" s="161"/>
      <x:c r="R177" s="161"/>
      <x:c r="S177" s="161"/>
      <x:c r="T177" s="161"/>
      <x:c r="U177" s="161"/>
      <x:c r="V177" s="161"/>
      <x:c r="W177" s="161"/>
      <x:c r="X177" s="161"/>
      <x:c r="Y177" s="161"/>
      <x:c r="Z177" s="161"/>
    </x:row>
    <x:row r="178">
      <x:c r="A178" s="161"/>
      <x:c r="B178" s="161"/>
      <x:c r="C178" s="161"/>
      <x:c r="D178" s="161"/>
      <x:c r="E178" s="161"/>
      <x:c r="F178" s="161"/>
      <x:c r="G178" s="161"/>
      <x:c r="H178" s="161"/>
      <x:c r="I178" s="161"/>
      <x:c r="J178" s="161"/>
      <x:c r="K178" s="161"/>
      <x:c r="L178" s="161"/>
      <x:c r="M178" s="161"/>
      <x:c r="N178" s="161"/>
      <x:c r="O178" s="161"/>
      <x:c r="P178" s="161"/>
      <x:c r="Q178" s="161"/>
      <x:c r="R178" s="161"/>
      <x:c r="S178" s="161"/>
      <x:c r="T178" s="161"/>
      <x:c r="U178" s="161"/>
      <x:c r="V178" s="161"/>
      <x:c r="W178" s="161"/>
      <x:c r="X178" s="161"/>
      <x:c r="Y178" s="161"/>
      <x:c r="Z178" s="161"/>
    </x:row>
    <x:row r="179">
      <x:c r="A179" s="161"/>
      <x:c r="B179" s="161"/>
      <x:c r="C179" s="161"/>
      <x:c r="D179" s="161"/>
      <x:c r="E179" s="161"/>
      <x:c r="F179" s="161"/>
      <x:c r="G179" s="161"/>
      <x:c r="H179" s="161"/>
      <x:c r="I179" s="161"/>
      <x:c r="J179" s="161"/>
      <x:c r="K179" s="161"/>
      <x:c r="L179" s="161"/>
      <x:c r="M179" s="161"/>
      <x:c r="N179" s="161"/>
      <x:c r="O179" s="161"/>
      <x:c r="P179" s="161"/>
      <x:c r="Q179" s="161"/>
      <x:c r="R179" s="161"/>
      <x:c r="S179" s="161"/>
      <x:c r="T179" s="161"/>
      <x:c r="U179" s="161"/>
      <x:c r="V179" s="161"/>
      <x:c r="W179" s="161"/>
      <x:c r="X179" s="161"/>
      <x:c r="Y179" s="161"/>
      <x:c r="Z179" s="161"/>
    </x:row>
    <x:row r="180">
      <x:c r="A180" s="161"/>
      <x:c r="B180" s="161"/>
      <x:c r="C180" s="161"/>
      <x:c r="D180" s="161"/>
      <x:c r="E180" s="161"/>
      <x:c r="F180" s="161"/>
      <x:c r="G180" s="161"/>
      <x:c r="H180" s="161"/>
      <x:c r="I180" s="161"/>
      <x:c r="J180" s="161"/>
      <x:c r="K180" s="161"/>
      <x:c r="L180" s="161"/>
      <x:c r="M180" s="161"/>
      <x:c r="N180" s="161"/>
      <x:c r="O180" s="161"/>
      <x:c r="P180" s="161"/>
      <x:c r="Q180" s="161"/>
      <x:c r="R180" s="161"/>
      <x:c r="S180" s="161"/>
      <x:c r="T180" s="161"/>
      <x:c r="U180" s="161"/>
      <x:c r="V180" s="161"/>
      <x:c r="W180" s="161"/>
      <x:c r="X180" s="161"/>
      <x:c r="Y180" s="161"/>
      <x:c r="Z180" s="161"/>
    </x:row>
    <x:row r="181">
      <x:c r="A181" s="161"/>
      <x:c r="B181" s="161"/>
      <x:c r="C181" s="161"/>
      <x:c r="D181" s="161"/>
      <x:c r="E181" s="161"/>
      <x:c r="F181" s="161"/>
      <x:c r="G181" s="161"/>
      <x:c r="H181" s="161"/>
      <x:c r="I181" s="161"/>
      <x:c r="J181" s="161"/>
      <x:c r="K181" s="161"/>
      <x:c r="L181" s="161"/>
      <x:c r="M181" s="161"/>
      <x:c r="N181" s="161"/>
      <x:c r="O181" s="161"/>
      <x:c r="P181" s="161"/>
      <x:c r="Q181" s="161"/>
      <x:c r="R181" s="161"/>
      <x:c r="S181" s="161"/>
      <x:c r="T181" s="161"/>
      <x:c r="U181" s="161"/>
      <x:c r="V181" s="161"/>
      <x:c r="W181" s="161"/>
      <x:c r="X181" s="161"/>
      <x:c r="Y181" s="161"/>
      <x:c r="Z181" s="161"/>
    </x:row>
    <x:row r="182">
      <x:c r="A182" s="161"/>
      <x:c r="B182" s="161"/>
      <x:c r="C182" s="161"/>
      <x:c r="D182" s="161"/>
      <x:c r="E182" s="161"/>
      <x:c r="F182" s="161"/>
      <x:c r="G182" s="161"/>
      <x:c r="H182" s="161"/>
      <x:c r="I182" s="161"/>
      <x:c r="J182" s="161"/>
      <x:c r="K182" s="161"/>
      <x:c r="L182" s="161"/>
      <x:c r="M182" s="161"/>
      <x:c r="N182" s="161"/>
      <x:c r="O182" s="161"/>
      <x:c r="P182" s="161"/>
      <x:c r="Q182" s="161"/>
      <x:c r="R182" s="161"/>
      <x:c r="S182" s="161"/>
      <x:c r="T182" s="161"/>
      <x:c r="U182" s="161"/>
      <x:c r="V182" s="161"/>
      <x:c r="W182" s="161"/>
      <x:c r="X182" s="161"/>
      <x:c r="Y182" s="161"/>
      <x:c r="Z182" s="161"/>
    </x:row>
    <x:row r="183">
      <x:c r="A183" s="161"/>
      <x:c r="B183" s="161"/>
      <x:c r="C183" s="161"/>
      <x:c r="D183" s="161"/>
      <x:c r="E183" s="161"/>
      <x:c r="F183" s="161"/>
      <x:c r="G183" s="161"/>
      <x:c r="H183" s="161"/>
      <x:c r="I183" s="161"/>
      <x:c r="J183" s="161"/>
      <x:c r="K183" s="161"/>
      <x:c r="L183" s="161"/>
      <x:c r="M183" s="161"/>
      <x:c r="N183" s="161"/>
      <x:c r="O183" s="161"/>
      <x:c r="P183" s="161"/>
      <x:c r="Q183" s="161"/>
      <x:c r="R183" s="161"/>
      <x:c r="S183" s="161"/>
      <x:c r="T183" s="161"/>
      <x:c r="U183" s="161"/>
      <x:c r="V183" s="161"/>
      <x:c r="W183" s="161"/>
      <x:c r="X183" s="161"/>
      <x:c r="Y183" s="161"/>
      <x:c r="Z183" s="161"/>
    </x:row>
    <x:row r="184">
      <x:c r="A184" s="161"/>
      <x:c r="B184" s="161"/>
      <x:c r="C184" s="161"/>
      <x:c r="D184" s="161"/>
      <x:c r="E184" s="161"/>
      <x:c r="F184" s="161"/>
      <x:c r="G184" s="161"/>
      <x:c r="H184" s="161"/>
      <x:c r="I184" s="161"/>
      <x:c r="J184" s="161"/>
      <x:c r="K184" s="161"/>
      <x:c r="L184" s="161"/>
      <x:c r="M184" s="161"/>
      <x:c r="N184" s="161"/>
      <x:c r="O184" s="161"/>
      <x:c r="P184" s="161"/>
      <x:c r="Q184" s="161"/>
      <x:c r="R184" s="161"/>
      <x:c r="S184" s="161"/>
      <x:c r="T184" s="161"/>
      <x:c r="U184" s="161"/>
      <x:c r="V184" s="161"/>
      <x:c r="W184" s="161"/>
      <x:c r="X184" s="161"/>
      <x:c r="Y184" s="161"/>
      <x:c r="Z184" s="161"/>
    </x:row>
    <x:row r="185">
      <x:c r="A185" s="161"/>
      <x:c r="B185" s="161"/>
      <x:c r="C185" s="161"/>
      <x:c r="D185" s="161"/>
      <x:c r="E185" s="161"/>
      <x:c r="F185" s="161"/>
      <x:c r="G185" s="161"/>
      <x:c r="H185" s="161"/>
      <x:c r="I185" s="161"/>
      <x:c r="J185" s="161"/>
      <x:c r="K185" s="161"/>
      <x:c r="L185" s="161"/>
      <x:c r="M185" s="161"/>
      <x:c r="N185" s="161"/>
      <x:c r="O185" s="161"/>
      <x:c r="P185" s="161"/>
      <x:c r="Q185" s="161"/>
      <x:c r="R185" s="161"/>
      <x:c r="S185" s="161"/>
      <x:c r="T185" s="161"/>
      <x:c r="U185" s="161"/>
      <x:c r="V185" s="161"/>
      <x:c r="W185" s="161"/>
      <x:c r="X185" s="161"/>
      <x:c r="Y185" s="161"/>
      <x:c r="Z185" s="161"/>
    </x:row>
    <x:row r="186">
      <x:c r="A186" s="161"/>
      <x:c r="B186" s="161"/>
      <x:c r="C186" s="161"/>
      <x:c r="D186" s="161"/>
      <x:c r="E186" s="161"/>
      <x:c r="F186" s="161"/>
      <x:c r="G186" s="161"/>
      <x:c r="H186" s="161"/>
      <x:c r="I186" s="161"/>
      <x:c r="J186" s="161"/>
      <x:c r="K186" s="161"/>
      <x:c r="L186" s="161"/>
      <x:c r="M186" s="161"/>
      <x:c r="N186" s="161"/>
      <x:c r="O186" s="161"/>
      <x:c r="P186" s="161"/>
      <x:c r="Q186" s="161"/>
      <x:c r="R186" s="161"/>
      <x:c r="S186" s="161"/>
      <x:c r="T186" s="161"/>
      <x:c r="U186" s="161"/>
      <x:c r="V186" s="161"/>
      <x:c r="W186" s="161"/>
      <x:c r="X186" s="161"/>
      <x:c r="Y186" s="161"/>
      <x:c r="Z186" s="161"/>
    </x:row>
    <x:row r="187">
      <x:c r="A187" s="161"/>
      <x:c r="B187" s="161"/>
      <x:c r="C187" s="161"/>
      <x:c r="D187" s="161"/>
      <x:c r="E187" s="161"/>
      <x:c r="F187" s="161"/>
      <x:c r="G187" s="161"/>
      <x:c r="H187" s="161"/>
      <x:c r="I187" s="161"/>
      <x:c r="J187" s="161"/>
      <x:c r="K187" s="161"/>
      <x:c r="L187" s="161"/>
      <x:c r="M187" s="161"/>
      <x:c r="N187" s="161"/>
      <x:c r="O187" s="161"/>
      <x:c r="P187" s="161"/>
      <x:c r="Q187" s="161"/>
      <x:c r="R187" s="161"/>
      <x:c r="S187" s="161"/>
      <x:c r="T187" s="161"/>
      <x:c r="U187" s="161"/>
      <x:c r="V187" s="161"/>
      <x:c r="W187" s="161"/>
      <x:c r="X187" s="161"/>
      <x:c r="Y187" s="161"/>
      <x:c r="Z187" s="161"/>
    </x:row>
    <x:row r="188">
      <x:c r="A188" s="161"/>
      <x:c r="B188" s="161"/>
      <x:c r="C188" s="161"/>
      <x:c r="D188" s="161"/>
      <x:c r="E188" s="161"/>
      <x:c r="F188" s="161"/>
      <x:c r="G188" s="161"/>
      <x:c r="H188" s="161"/>
      <x:c r="I188" s="161"/>
      <x:c r="J188" s="161"/>
      <x:c r="K188" s="161"/>
      <x:c r="L188" s="161"/>
      <x:c r="M188" s="161"/>
      <x:c r="N188" s="161"/>
      <x:c r="O188" s="161"/>
      <x:c r="P188" s="161"/>
      <x:c r="Q188" s="161"/>
      <x:c r="R188" s="161"/>
      <x:c r="S188" s="161"/>
      <x:c r="T188" s="161"/>
      <x:c r="U188" s="161"/>
      <x:c r="V188" s="161"/>
      <x:c r="W188" s="161"/>
      <x:c r="X188" s="161"/>
      <x:c r="Y188" s="161"/>
      <x:c r="Z188" s="161"/>
    </x:row>
    <x:row r="189">
      <x:c r="A189" s="161"/>
      <x:c r="B189" s="161"/>
      <x:c r="C189" s="161"/>
      <x:c r="D189" s="161"/>
      <x:c r="E189" s="161"/>
      <x:c r="F189" s="161"/>
      <x:c r="G189" s="161"/>
      <x:c r="H189" s="161"/>
      <x:c r="I189" s="161"/>
      <x:c r="J189" s="161"/>
      <x:c r="K189" s="161"/>
      <x:c r="L189" s="161"/>
      <x:c r="M189" s="161"/>
      <x:c r="N189" s="161"/>
      <x:c r="O189" s="161"/>
      <x:c r="P189" s="161"/>
      <x:c r="Q189" s="161"/>
      <x:c r="R189" s="161"/>
      <x:c r="S189" s="161"/>
      <x:c r="T189" s="161"/>
      <x:c r="U189" s="161"/>
      <x:c r="V189" s="161"/>
      <x:c r="W189" s="161"/>
      <x:c r="X189" s="161"/>
      <x:c r="Y189" s="161"/>
      <x:c r="Z189" s="161"/>
    </x:row>
    <x:row r="190">
      <x:c r="A190" s="161"/>
      <x:c r="B190" s="161"/>
      <x:c r="C190" s="161"/>
      <x:c r="D190" s="161"/>
      <x:c r="E190" s="161"/>
      <x:c r="F190" s="161"/>
      <x:c r="G190" s="161"/>
      <x:c r="H190" s="161"/>
      <x:c r="I190" s="161"/>
      <x:c r="J190" s="161"/>
      <x:c r="K190" s="161"/>
      <x:c r="L190" s="161"/>
      <x:c r="M190" s="161"/>
      <x:c r="N190" s="161"/>
      <x:c r="O190" s="161"/>
      <x:c r="P190" s="161"/>
      <x:c r="Q190" s="161"/>
      <x:c r="R190" s="161"/>
      <x:c r="S190" s="161"/>
      <x:c r="T190" s="161"/>
      <x:c r="U190" s="161"/>
      <x:c r="V190" s="161"/>
      <x:c r="W190" s="161"/>
      <x:c r="X190" s="161"/>
      <x:c r="Y190" s="161"/>
      <x:c r="Z190" s="161"/>
    </x:row>
    <x:row r="191">
      <x:c r="A191" s="161"/>
      <x:c r="B191" s="161"/>
      <x:c r="C191" s="161"/>
      <x:c r="D191" s="161"/>
      <x:c r="E191" s="161"/>
      <x:c r="F191" s="161"/>
      <x:c r="G191" s="161"/>
      <x:c r="H191" s="161"/>
      <x:c r="I191" s="161"/>
      <x:c r="J191" s="161"/>
      <x:c r="K191" s="161"/>
      <x:c r="L191" s="161"/>
      <x:c r="M191" s="161"/>
      <x:c r="N191" s="161"/>
      <x:c r="O191" s="161"/>
      <x:c r="P191" s="161"/>
      <x:c r="Q191" s="161"/>
      <x:c r="R191" s="161"/>
      <x:c r="S191" s="161"/>
      <x:c r="T191" s="161"/>
      <x:c r="U191" s="161"/>
      <x:c r="V191" s="161"/>
      <x:c r="W191" s="161"/>
      <x:c r="X191" s="161"/>
      <x:c r="Y191" s="161"/>
      <x:c r="Z191" s="161"/>
    </x:row>
    <x:row r="192">
      <x:c r="A192" s="161"/>
      <x:c r="B192" s="161"/>
      <x:c r="C192" s="161"/>
      <x:c r="D192" s="161"/>
      <x:c r="E192" s="161"/>
      <x:c r="F192" s="161"/>
      <x:c r="G192" s="161"/>
      <x:c r="H192" s="161"/>
      <x:c r="I192" s="161"/>
      <x:c r="J192" s="161"/>
      <x:c r="K192" s="161"/>
      <x:c r="L192" s="161"/>
      <x:c r="M192" s="161"/>
      <x:c r="N192" s="161"/>
      <x:c r="O192" s="161"/>
      <x:c r="P192" s="161"/>
      <x:c r="Q192" s="161"/>
      <x:c r="R192" s="161"/>
      <x:c r="S192" s="161"/>
      <x:c r="T192" s="161"/>
      <x:c r="U192" s="161"/>
      <x:c r="V192" s="161"/>
      <x:c r="W192" s="161"/>
      <x:c r="X192" s="161"/>
      <x:c r="Y192" s="161"/>
      <x:c r="Z192" s="161"/>
    </x:row>
    <x:row r="193">
      <x:c r="A193" s="161"/>
      <x:c r="B193" s="161"/>
      <x:c r="C193" s="161"/>
      <x:c r="D193" s="161"/>
      <x:c r="E193" s="161"/>
      <x:c r="F193" s="161"/>
      <x:c r="G193" s="161"/>
      <x:c r="H193" s="161"/>
      <x:c r="I193" s="161"/>
      <x:c r="J193" s="161"/>
      <x:c r="K193" s="161"/>
      <x:c r="L193" s="161"/>
      <x:c r="M193" s="161"/>
      <x:c r="N193" s="161"/>
      <x:c r="O193" s="161"/>
      <x:c r="P193" s="161"/>
      <x:c r="Q193" s="161"/>
      <x:c r="R193" s="161"/>
      <x:c r="S193" s="161"/>
      <x:c r="T193" s="161"/>
      <x:c r="U193" s="161"/>
      <x:c r="V193" s="161"/>
      <x:c r="W193" s="161"/>
      <x:c r="X193" s="161"/>
      <x:c r="Y193" s="161"/>
      <x:c r="Z193" s="161"/>
    </x:row>
    <x:row r="194">
      <x:c r="A194" s="161"/>
      <x:c r="B194" s="161"/>
      <x:c r="C194" s="161"/>
      <x:c r="D194" s="161"/>
      <x:c r="E194" s="161"/>
      <x:c r="F194" s="161"/>
      <x:c r="G194" s="161"/>
      <x:c r="H194" s="161"/>
      <x:c r="I194" s="161"/>
      <x:c r="J194" s="161"/>
      <x:c r="K194" s="161"/>
      <x:c r="L194" s="161"/>
      <x:c r="M194" s="161"/>
      <x:c r="N194" s="161"/>
      <x:c r="O194" s="161"/>
      <x:c r="P194" s="161"/>
      <x:c r="Q194" s="161"/>
      <x:c r="R194" s="161"/>
      <x:c r="S194" s="161"/>
      <x:c r="T194" s="161"/>
      <x:c r="U194" s="161"/>
      <x:c r="V194" s="161"/>
      <x:c r="W194" s="161"/>
      <x:c r="X194" s="161"/>
      <x:c r="Y194" s="161"/>
      <x:c r="Z194" s="161"/>
    </x:row>
    <x:row r="195">
      <x:c r="A195" s="161"/>
      <x:c r="B195" s="161"/>
      <x:c r="C195" s="161"/>
      <x:c r="D195" s="161"/>
      <x:c r="E195" s="161"/>
      <x:c r="F195" s="161"/>
      <x:c r="G195" s="161"/>
      <x:c r="H195" s="161"/>
      <x:c r="I195" s="161"/>
      <x:c r="J195" s="161"/>
      <x:c r="K195" s="161"/>
      <x:c r="L195" s="161"/>
      <x:c r="M195" s="161"/>
      <x:c r="N195" s="161"/>
      <x:c r="O195" s="161"/>
      <x:c r="P195" s="161"/>
      <x:c r="Q195" s="161"/>
      <x:c r="R195" s="161"/>
      <x:c r="S195" s="161"/>
      <x:c r="T195" s="161"/>
      <x:c r="U195" s="161"/>
      <x:c r="V195" s="161"/>
      <x:c r="W195" s="161"/>
      <x:c r="X195" s="161"/>
      <x:c r="Y195" s="161"/>
      <x:c r="Z195" s="161"/>
    </x:row>
    <x:row r="196">
      <x:c r="A196" s="161"/>
      <x:c r="B196" s="161"/>
      <x:c r="C196" s="161"/>
      <x:c r="D196" s="161"/>
      <x:c r="E196" s="161"/>
      <x:c r="F196" s="161"/>
      <x:c r="G196" s="161"/>
      <x:c r="H196" s="161"/>
      <x:c r="I196" s="161"/>
      <x:c r="J196" s="161"/>
      <x:c r="K196" s="161"/>
      <x:c r="L196" s="161"/>
      <x:c r="M196" s="161"/>
      <x:c r="N196" s="161"/>
      <x:c r="O196" s="161"/>
      <x:c r="P196" s="161"/>
      <x:c r="Q196" s="161"/>
      <x:c r="R196" s="161"/>
      <x:c r="S196" s="161"/>
      <x:c r="T196" s="161"/>
      <x:c r="U196" s="161"/>
      <x:c r="V196" s="161"/>
      <x:c r="W196" s="161"/>
      <x:c r="X196" s="161"/>
      <x:c r="Y196" s="161"/>
      <x:c r="Z196" s="161"/>
    </x:row>
    <x:row r="197">
      <x:c r="A197" s="161"/>
      <x:c r="B197" s="161"/>
      <x:c r="C197" s="161"/>
      <x:c r="D197" s="161"/>
      <x:c r="E197" s="161"/>
      <x:c r="F197" s="161"/>
      <x:c r="G197" s="161"/>
      <x:c r="H197" s="161"/>
      <x:c r="I197" s="161"/>
      <x:c r="J197" s="161"/>
      <x:c r="K197" s="161"/>
      <x:c r="L197" s="161"/>
      <x:c r="M197" s="161"/>
      <x:c r="N197" s="161"/>
      <x:c r="O197" s="161"/>
      <x:c r="P197" s="161"/>
      <x:c r="Q197" s="161"/>
      <x:c r="R197" s="161"/>
      <x:c r="S197" s="161"/>
      <x:c r="T197" s="161"/>
      <x:c r="U197" s="161"/>
      <x:c r="V197" s="161"/>
      <x:c r="W197" s="161"/>
      <x:c r="X197" s="161"/>
      <x:c r="Y197" s="161"/>
      <x:c r="Z197" s="161"/>
    </x:row>
    <x:row r="198">
      <x:c r="A198" s="161"/>
      <x:c r="B198" s="161"/>
      <x:c r="C198" s="161"/>
      <x:c r="D198" s="161"/>
      <x:c r="E198" s="161"/>
      <x:c r="F198" s="161"/>
      <x:c r="G198" s="161"/>
      <x:c r="H198" s="161"/>
      <x:c r="I198" s="161"/>
      <x:c r="J198" s="161"/>
      <x:c r="K198" s="161"/>
      <x:c r="L198" s="161"/>
      <x:c r="M198" s="161"/>
      <x:c r="N198" s="161"/>
      <x:c r="O198" s="161"/>
      <x:c r="P198" s="161"/>
      <x:c r="Q198" s="161"/>
      <x:c r="R198" s="161"/>
      <x:c r="S198" s="161"/>
      <x:c r="T198" s="161"/>
      <x:c r="U198" s="161"/>
      <x:c r="V198" s="161"/>
      <x:c r="W198" s="161"/>
      <x:c r="X198" s="161"/>
      <x:c r="Y198" s="161"/>
      <x:c r="Z198" s="161"/>
    </x:row>
    <x:row r="199">
      <x:c r="A199" s="161"/>
      <x:c r="B199" s="161"/>
      <x:c r="C199" s="161"/>
      <x:c r="D199" s="161"/>
      <x:c r="E199" s="161"/>
      <x:c r="F199" s="161"/>
      <x:c r="G199" s="161"/>
      <x:c r="H199" s="161"/>
      <x:c r="I199" s="161"/>
      <x:c r="J199" s="161"/>
      <x:c r="K199" s="161"/>
      <x:c r="L199" s="161"/>
      <x:c r="M199" s="161"/>
      <x:c r="N199" s="161"/>
      <x:c r="O199" s="161"/>
      <x:c r="P199" s="161"/>
      <x:c r="Q199" s="161"/>
      <x:c r="R199" s="161"/>
      <x:c r="S199" s="161"/>
      <x:c r="T199" s="161"/>
      <x:c r="U199" s="161"/>
      <x:c r="V199" s="161"/>
      <x:c r="W199" s="161"/>
      <x:c r="X199" s="161"/>
      <x:c r="Y199" s="161"/>
      <x:c r="Z199" s="161"/>
    </x:row>
    <x:row r="200">
      <x:c r="A200" s="161"/>
      <x:c r="B200" s="161"/>
      <x:c r="C200" s="161"/>
      <x:c r="D200" s="161"/>
      <x:c r="E200" s="161"/>
      <x:c r="F200" s="161"/>
      <x:c r="G200" s="161"/>
      <x:c r="H200" s="161"/>
      <x:c r="I200" s="161"/>
      <x:c r="J200" s="161"/>
      <x:c r="K200" s="161"/>
      <x:c r="L200" s="161"/>
      <x:c r="M200" s="161"/>
      <x:c r="N200" s="161"/>
      <x:c r="O200" s="161"/>
      <x:c r="P200" s="161"/>
      <x:c r="Q200" s="161"/>
      <x:c r="R200" s="161"/>
      <x:c r="S200" s="161"/>
      <x:c r="T200" s="161"/>
      <x:c r="U200" s="161"/>
      <x:c r="V200" s="161"/>
      <x:c r="W200" s="161"/>
      <x:c r="X200" s="161"/>
      <x:c r="Y200" s="161"/>
      <x:c r="Z200" s="161"/>
    </x:row>
    <x:row r="201">
      <x:c r="A201" s="161"/>
      <x:c r="B201" s="161"/>
      <x:c r="C201" s="161"/>
      <x:c r="D201" s="161"/>
      <x:c r="E201" s="161"/>
      <x:c r="F201" s="161"/>
      <x:c r="G201" s="161"/>
      <x:c r="H201" s="161"/>
      <x:c r="I201" s="161"/>
      <x:c r="J201" s="161"/>
      <x:c r="K201" s="161"/>
      <x:c r="L201" s="161"/>
      <x:c r="M201" s="161"/>
      <x:c r="N201" s="161"/>
      <x:c r="O201" s="161"/>
      <x:c r="P201" s="161"/>
      <x:c r="Q201" s="161"/>
      <x:c r="R201" s="161"/>
      <x:c r="S201" s="161"/>
      <x:c r="T201" s="161"/>
      <x:c r="U201" s="161"/>
      <x:c r="V201" s="161"/>
      <x:c r="W201" s="161"/>
      <x:c r="X201" s="161"/>
      <x:c r="Y201" s="161"/>
      <x:c r="Z201" s="161"/>
    </x:row>
    <x:row r="202">
      <x:c r="A202" s="161"/>
      <x:c r="B202" s="161"/>
      <x:c r="C202" s="161"/>
      <x:c r="D202" s="161"/>
      <x:c r="E202" s="161"/>
      <x:c r="F202" s="161"/>
      <x:c r="G202" s="161"/>
      <x:c r="H202" s="161"/>
      <x:c r="I202" s="161"/>
      <x:c r="J202" s="161"/>
      <x:c r="K202" s="161"/>
      <x:c r="L202" s="161"/>
      <x:c r="M202" s="161"/>
      <x:c r="N202" s="161"/>
      <x:c r="O202" s="161"/>
      <x:c r="P202" s="161"/>
      <x:c r="Q202" s="161"/>
      <x:c r="R202" s="161"/>
      <x:c r="S202" s="161"/>
      <x:c r="T202" s="161"/>
      <x:c r="U202" s="161"/>
      <x:c r="V202" s="161"/>
      <x:c r="W202" s="161"/>
      <x:c r="X202" s="161"/>
      <x:c r="Y202" s="161"/>
      <x:c r="Z202" s="161"/>
    </x:row>
    <x:row r="203">
      <x:c r="A203" s="161"/>
      <x:c r="B203" s="161"/>
      <x:c r="C203" s="161"/>
      <x:c r="D203" s="161"/>
      <x:c r="E203" s="161"/>
      <x:c r="F203" s="161"/>
      <x:c r="G203" s="161"/>
      <x:c r="H203" s="161"/>
      <x:c r="I203" s="161"/>
      <x:c r="J203" s="161"/>
      <x:c r="K203" s="161"/>
      <x:c r="L203" s="161"/>
      <x:c r="M203" s="161"/>
      <x:c r="N203" s="161"/>
      <x:c r="O203" s="161"/>
      <x:c r="P203" s="161"/>
      <x:c r="Q203" s="161"/>
      <x:c r="R203" s="161"/>
      <x:c r="S203" s="161"/>
      <x:c r="T203" s="161"/>
      <x:c r="U203" s="161"/>
      <x:c r="V203" s="161"/>
      <x:c r="W203" s="161"/>
      <x:c r="X203" s="161"/>
      <x:c r="Y203" s="161"/>
      <x:c r="Z203" s="161"/>
    </x:row>
    <x:row r="204">
      <x:c r="A204" s="161"/>
      <x:c r="B204" s="161"/>
      <x:c r="C204" s="161"/>
      <x:c r="D204" s="161"/>
      <x:c r="E204" s="161"/>
      <x:c r="F204" s="161"/>
      <x:c r="G204" s="161"/>
      <x:c r="H204" s="161"/>
      <x:c r="I204" s="161"/>
      <x:c r="J204" s="161"/>
      <x:c r="K204" s="161"/>
      <x:c r="L204" s="161"/>
      <x:c r="M204" s="161"/>
      <x:c r="N204" s="161"/>
      <x:c r="O204" s="161"/>
      <x:c r="P204" s="161"/>
      <x:c r="Q204" s="161"/>
      <x:c r="R204" s="161"/>
      <x:c r="S204" s="161"/>
      <x:c r="T204" s="161"/>
      <x:c r="U204" s="161"/>
      <x:c r="V204" s="161"/>
      <x:c r="W204" s="161"/>
      <x:c r="X204" s="161"/>
      <x:c r="Y204" s="161"/>
      <x:c r="Z204" s="161"/>
    </x:row>
    <x:row r="205">
      <x:c r="A205" s="161"/>
      <x:c r="B205" s="161"/>
      <x:c r="C205" s="161"/>
      <x:c r="D205" s="161"/>
      <x:c r="E205" s="161"/>
      <x:c r="F205" s="161"/>
      <x:c r="G205" s="161"/>
      <x:c r="H205" s="161"/>
      <x:c r="I205" s="161"/>
      <x:c r="J205" s="161"/>
      <x:c r="K205" s="161"/>
      <x:c r="L205" s="161"/>
      <x:c r="M205" s="161"/>
      <x:c r="N205" s="161"/>
      <x:c r="O205" s="161"/>
      <x:c r="P205" s="161"/>
      <x:c r="Q205" s="161"/>
      <x:c r="R205" s="161"/>
      <x:c r="S205" s="161"/>
      <x:c r="T205" s="161"/>
      <x:c r="U205" s="161"/>
      <x:c r="V205" s="161"/>
      <x:c r="W205" s="161"/>
      <x:c r="X205" s="161"/>
      <x:c r="Y205" s="161"/>
      <x:c r="Z205" s="161"/>
    </x:row>
    <x:row r="206">
      <x:c r="A206" s="161"/>
      <x:c r="B206" s="161"/>
      <x:c r="C206" s="161"/>
      <x:c r="D206" s="161"/>
      <x:c r="E206" s="161"/>
      <x:c r="F206" s="161"/>
      <x:c r="G206" s="161"/>
      <x:c r="H206" s="161"/>
      <x:c r="I206" s="161"/>
      <x:c r="J206" s="161"/>
      <x:c r="K206" s="161"/>
      <x:c r="L206" s="161"/>
      <x:c r="M206" s="161"/>
      <x:c r="N206" s="161"/>
      <x:c r="O206" s="161"/>
      <x:c r="P206" s="161"/>
      <x:c r="Q206" s="161"/>
      <x:c r="R206" s="161"/>
      <x:c r="S206" s="161"/>
      <x:c r="T206" s="161"/>
      <x:c r="U206" s="161"/>
      <x:c r="V206" s="161"/>
      <x:c r="W206" s="161"/>
      <x:c r="X206" s="161"/>
      <x:c r="Y206" s="161"/>
      <x:c r="Z206" s="161"/>
    </x:row>
    <x:row r="207">
      <x:c r="A207" s="161"/>
      <x:c r="B207" s="161"/>
      <x:c r="C207" s="161"/>
      <x:c r="D207" s="161"/>
      <x:c r="E207" s="161"/>
      <x:c r="F207" s="161"/>
      <x:c r="G207" s="161"/>
      <x:c r="H207" s="161"/>
      <x:c r="I207" s="161"/>
      <x:c r="J207" s="161"/>
      <x:c r="K207" s="161"/>
      <x:c r="L207" s="161"/>
      <x:c r="M207" s="161"/>
      <x:c r="N207" s="161"/>
      <x:c r="O207" s="161"/>
      <x:c r="P207" s="161"/>
      <x:c r="Q207" s="161"/>
      <x:c r="R207" s="161"/>
      <x:c r="S207" s="161"/>
      <x:c r="T207" s="161"/>
      <x:c r="U207" s="161"/>
      <x:c r="V207" s="161"/>
      <x:c r="W207" s="161"/>
      <x:c r="X207" s="161"/>
      <x:c r="Y207" s="161"/>
      <x:c r="Z207" s="161"/>
    </x:row>
    <x:row r="208">
      <x:c r="A208" s="161"/>
      <x:c r="B208" s="161"/>
      <x:c r="C208" s="161"/>
      <x:c r="D208" s="161"/>
      <x:c r="E208" s="161"/>
      <x:c r="F208" s="161"/>
      <x:c r="G208" s="161"/>
      <x:c r="H208" s="161"/>
      <x:c r="I208" s="161"/>
      <x:c r="J208" s="161"/>
      <x:c r="K208" s="161"/>
      <x:c r="L208" s="161"/>
      <x:c r="M208" s="161"/>
      <x:c r="N208" s="161"/>
      <x:c r="O208" s="161"/>
      <x:c r="P208" s="161"/>
      <x:c r="Q208" s="161"/>
      <x:c r="R208" s="161"/>
      <x:c r="S208" s="161"/>
      <x:c r="T208" s="161"/>
      <x:c r="U208" s="161"/>
      <x:c r="V208" s="161"/>
      <x:c r="W208" s="161"/>
      <x:c r="X208" s="161"/>
      <x:c r="Y208" s="161"/>
      <x:c r="Z208" s="161"/>
    </x:row>
    <x:row r="209">
      <x:c r="A209" s="161"/>
      <x:c r="B209" s="161"/>
      <x:c r="C209" s="161"/>
      <x:c r="D209" s="161"/>
      <x:c r="E209" s="161"/>
      <x:c r="F209" s="161"/>
      <x:c r="G209" s="161"/>
      <x:c r="H209" s="161"/>
      <x:c r="I209" s="161"/>
      <x:c r="J209" s="161"/>
      <x:c r="K209" s="161"/>
      <x:c r="L209" s="161"/>
      <x:c r="M209" s="161"/>
      <x:c r="N209" s="161"/>
      <x:c r="O209" s="161"/>
      <x:c r="P209" s="161"/>
      <x:c r="Q209" s="161"/>
      <x:c r="R209" s="161"/>
      <x:c r="S209" s="161"/>
      <x:c r="T209" s="161"/>
      <x:c r="U209" s="161"/>
      <x:c r="V209" s="161"/>
      <x:c r="W209" s="161"/>
      <x:c r="X209" s="161"/>
      <x:c r="Y209" s="161"/>
      <x:c r="Z209" s="161"/>
    </x:row>
    <x:row r="210">
      <x:c r="A210" s="161"/>
      <x:c r="B210" s="161"/>
      <x:c r="C210" s="161"/>
      <x:c r="D210" s="161"/>
      <x:c r="E210" s="161"/>
      <x:c r="F210" s="161"/>
      <x:c r="G210" s="161"/>
      <x:c r="H210" s="161"/>
      <x:c r="I210" s="161"/>
      <x:c r="J210" s="161"/>
      <x:c r="K210" s="161"/>
      <x:c r="L210" s="161"/>
      <x:c r="M210" s="161"/>
      <x:c r="N210" s="161"/>
      <x:c r="O210" s="161"/>
      <x:c r="P210" s="161"/>
      <x:c r="Q210" s="161"/>
      <x:c r="R210" s="161"/>
      <x:c r="S210" s="161"/>
      <x:c r="T210" s="161"/>
      <x:c r="U210" s="161"/>
      <x:c r="V210" s="161"/>
      <x:c r="W210" s="161"/>
      <x:c r="X210" s="161"/>
      <x:c r="Y210" s="161"/>
      <x:c r="Z210" s="161"/>
    </x:row>
    <x:row r="211">
      <x:c r="A211" s="161"/>
      <x:c r="B211" s="161"/>
      <x:c r="C211" s="161"/>
      <x:c r="D211" s="161"/>
      <x:c r="E211" s="161"/>
      <x:c r="F211" s="161"/>
      <x:c r="G211" s="161"/>
      <x:c r="H211" s="161"/>
      <x:c r="I211" s="161"/>
      <x:c r="J211" s="161"/>
      <x:c r="K211" s="161"/>
      <x:c r="L211" s="161"/>
      <x:c r="M211" s="161"/>
      <x:c r="N211" s="161"/>
      <x:c r="O211" s="161"/>
      <x:c r="P211" s="161"/>
      <x:c r="Q211" s="161"/>
      <x:c r="R211" s="161"/>
      <x:c r="S211" s="161"/>
      <x:c r="T211" s="161"/>
      <x:c r="U211" s="161"/>
      <x:c r="V211" s="161"/>
      <x:c r="W211" s="161"/>
      <x:c r="X211" s="161"/>
      <x:c r="Y211" s="161"/>
      <x:c r="Z211" s="161"/>
    </x:row>
    <x:row r="212">
      <x:c r="A212" s="161"/>
      <x:c r="B212" s="161"/>
      <x:c r="C212" s="161"/>
      <x:c r="D212" s="161"/>
      <x:c r="E212" s="161"/>
      <x:c r="F212" s="161"/>
      <x:c r="G212" s="161"/>
      <x:c r="H212" s="161"/>
      <x:c r="I212" s="161"/>
      <x:c r="J212" s="161"/>
      <x:c r="K212" s="161"/>
      <x:c r="L212" s="161"/>
      <x:c r="M212" s="161"/>
      <x:c r="N212" s="161"/>
      <x:c r="O212" s="161"/>
      <x:c r="P212" s="161"/>
      <x:c r="Q212" s="161"/>
      <x:c r="R212" s="161"/>
      <x:c r="S212" s="161"/>
      <x:c r="T212" s="161"/>
      <x:c r="U212" s="161"/>
      <x:c r="V212" s="161"/>
      <x:c r="W212" s="161"/>
      <x:c r="X212" s="161"/>
      <x:c r="Y212" s="161"/>
      <x:c r="Z212" s="161"/>
    </x:row>
    <x:row r="213">
      <x:c r="A213" s="161"/>
      <x:c r="B213" s="161"/>
      <x:c r="C213" s="161"/>
      <x:c r="D213" s="161"/>
      <x:c r="E213" s="161"/>
      <x:c r="F213" s="161"/>
      <x:c r="G213" s="161"/>
      <x:c r="H213" s="161"/>
      <x:c r="I213" s="161"/>
      <x:c r="J213" s="161"/>
      <x:c r="K213" s="161"/>
      <x:c r="L213" s="161"/>
      <x:c r="M213" s="161"/>
      <x:c r="N213" s="161"/>
      <x:c r="O213" s="161"/>
      <x:c r="P213" s="161"/>
      <x:c r="Q213" s="161"/>
      <x:c r="R213" s="161"/>
      <x:c r="S213" s="161"/>
      <x:c r="T213" s="161"/>
      <x:c r="U213" s="161"/>
      <x:c r="V213" s="161"/>
      <x:c r="W213" s="161"/>
      <x:c r="X213" s="161"/>
      <x:c r="Y213" s="161"/>
      <x:c r="Z213" s="161"/>
    </x:row>
    <x:row r="214">
      <x:c r="A214" s="161"/>
      <x:c r="B214" s="161"/>
      <x:c r="C214" s="161"/>
      <x:c r="D214" s="161"/>
      <x:c r="E214" s="161"/>
      <x:c r="F214" s="161"/>
      <x:c r="G214" s="161"/>
      <x:c r="H214" s="161"/>
      <x:c r="I214" s="161"/>
      <x:c r="J214" s="161"/>
      <x:c r="K214" s="161"/>
      <x:c r="L214" s="161"/>
      <x:c r="M214" s="161"/>
      <x:c r="N214" s="161"/>
      <x:c r="O214" s="161"/>
      <x:c r="P214" s="161"/>
      <x:c r="Q214" s="161"/>
      <x:c r="R214" s="161"/>
      <x:c r="S214" s="161"/>
      <x:c r="T214" s="161"/>
      <x:c r="U214" s="161"/>
      <x:c r="V214" s="161"/>
      <x:c r="W214" s="161"/>
      <x:c r="X214" s="161"/>
      <x:c r="Y214" s="161"/>
      <x:c r="Z214" s="161"/>
    </x:row>
    <x:row r="215">
      <x:c r="A215" s="161"/>
      <x:c r="B215" s="161"/>
      <x:c r="C215" s="161"/>
      <x:c r="D215" s="161"/>
      <x:c r="E215" s="161"/>
      <x:c r="F215" s="161"/>
      <x:c r="G215" s="161"/>
      <x:c r="H215" s="161"/>
      <x:c r="I215" s="161"/>
      <x:c r="J215" s="161"/>
      <x:c r="K215" s="161"/>
      <x:c r="L215" s="161"/>
      <x:c r="M215" s="161"/>
      <x:c r="N215" s="161"/>
      <x:c r="O215" s="161"/>
      <x:c r="P215" s="161"/>
      <x:c r="Q215" s="161"/>
      <x:c r="R215" s="161"/>
      <x:c r="S215" s="161"/>
      <x:c r="T215" s="161"/>
      <x:c r="U215" s="161"/>
      <x:c r="V215" s="161"/>
      <x:c r="W215" s="161"/>
      <x:c r="X215" s="161"/>
      <x:c r="Y215" s="161"/>
      <x:c r="Z215" s="161"/>
    </x:row>
    <x:row r="216">
      <x:c r="A216" s="161"/>
      <x:c r="B216" s="161"/>
      <x:c r="C216" s="161"/>
      <x:c r="D216" s="161"/>
      <x:c r="E216" s="161"/>
      <x:c r="F216" s="161"/>
      <x:c r="G216" s="161"/>
      <x:c r="H216" s="161"/>
      <x:c r="I216" s="161"/>
      <x:c r="J216" s="161"/>
      <x:c r="K216" s="161"/>
      <x:c r="L216" s="161"/>
      <x:c r="M216" s="161"/>
      <x:c r="N216" s="161"/>
      <x:c r="O216" s="161"/>
      <x:c r="P216" s="161"/>
      <x:c r="Q216" s="161"/>
      <x:c r="R216" s="161"/>
      <x:c r="S216" s="161"/>
      <x:c r="T216" s="161"/>
      <x:c r="U216" s="161"/>
      <x:c r="V216" s="161"/>
      <x:c r="W216" s="161"/>
      <x:c r="X216" s="161"/>
      <x:c r="Y216" s="161"/>
      <x:c r="Z216" s="161"/>
    </x:row>
    <x:row r="217">
      <x:c r="A217" s="161"/>
      <x:c r="B217" s="161"/>
      <x:c r="C217" s="161"/>
      <x:c r="D217" s="161"/>
      <x:c r="E217" s="161"/>
      <x:c r="F217" s="161"/>
      <x:c r="G217" s="161"/>
      <x:c r="H217" s="161"/>
      <x:c r="I217" s="161"/>
      <x:c r="J217" s="161"/>
      <x:c r="K217" s="161"/>
      <x:c r="L217" s="161"/>
      <x:c r="M217" s="161"/>
      <x:c r="N217" s="161"/>
      <x:c r="O217" s="161"/>
      <x:c r="P217" s="161"/>
      <x:c r="Q217" s="161"/>
      <x:c r="R217" s="161"/>
      <x:c r="S217" s="161"/>
      <x:c r="T217" s="161"/>
      <x:c r="U217" s="161"/>
      <x:c r="V217" s="161"/>
      <x:c r="W217" s="161"/>
      <x:c r="X217" s="161"/>
      <x:c r="Y217" s="161"/>
      <x:c r="Z217" s="161"/>
    </x:row>
    <x:row r="218">
      <x:c r="A218" s="161"/>
      <x:c r="B218" s="161"/>
      <x:c r="C218" s="161"/>
      <x:c r="D218" s="161"/>
      <x:c r="E218" s="161"/>
      <x:c r="F218" s="161"/>
      <x:c r="G218" s="161"/>
      <x:c r="H218" s="161"/>
      <x:c r="I218" s="161"/>
      <x:c r="J218" s="161"/>
      <x:c r="K218" s="161"/>
      <x:c r="L218" s="161"/>
      <x:c r="M218" s="161"/>
      <x:c r="N218" s="161"/>
      <x:c r="O218" s="161"/>
      <x:c r="P218" s="161"/>
      <x:c r="Q218" s="161"/>
      <x:c r="R218" s="161"/>
      <x:c r="S218" s="161"/>
      <x:c r="T218" s="161"/>
      <x:c r="U218" s="161"/>
      <x:c r="V218" s="161"/>
      <x:c r="W218" s="161"/>
      <x:c r="X218" s="161"/>
      <x:c r="Y218" s="161"/>
      <x:c r="Z218" s="161"/>
    </x:row>
    <x:row r="219">
      <x:c r="A219" s="161"/>
      <x:c r="B219" s="161"/>
      <x:c r="C219" s="161"/>
      <x:c r="D219" s="161"/>
      <x:c r="E219" s="161"/>
      <x:c r="F219" s="161"/>
      <x:c r="G219" s="161"/>
      <x:c r="H219" s="161"/>
      <x:c r="I219" s="161"/>
      <x:c r="J219" s="161"/>
      <x:c r="K219" s="161"/>
      <x:c r="L219" s="161"/>
      <x:c r="M219" s="161"/>
      <x:c r="N219" s="161"/>
      <x:c r="O219" s="161"/>
      <x:c r="P219" s="161"/>
      <x:c r="Q219" s="161"/>
      <x:c r="R219" s="161"/>
      <x:c r="S219" s="161"/>
      <x:c r="T219" s="161"/>
      <x:c r="U219" s="161"/>
      <x:c r="V219" s="161"/>
      <x:c r="W219" s="161"/>
      <x:c r="X219" s="161"/>
      <x:c r="Y219" s="161"/>
      <x:c r="Z219" s="161"/>
    </x:row>
    <x:row r="220">
      <x:c r="A220" s="161"/>
      <x:c r="B220" s="161"/>
      <x:c r="C220" s="161"/>
      <x:c r="D220" s="161"/>
      <x:c r="E220" s="161"/>
      <x:c r="F220" s="161"/>
      <x:c r="G220" s="161"/>
      <x:c r="H220" s="161"/>
      <x:c r="I220" s="161"/>
      <x:c r="J220" s="161"/>
      <x:c r="K220" s="161"/>
      <x:c r="L220" s="161"/>
      <x:c r="M220" s="161"/>
      <x:c r="N220" s="161"/>
      <x:c r="O220" s="161"/>
      <x:c r="P220" s="161"/>
      <x:c r="Q220" s="161"/>
      <x:c r="R220" s="161"/>
      <x:c r="S220" s="161"/>
      <x:c r="T220" s="161"/>
      <x:c r="U220" s="161"/>
      <x:c r="V220" s="161"/>
      <x:c r="W220" s="161"/>
      <x:c r="X220" s="161"/>
      <x:c r="Y220" s="161"/>
      <x:c r="Z220" s="161"/>
    </x:row>
    <x:row r="221">
      <x:c r="A221" s="161"/>
      <x:c r="B221" s="161"/>
      <x:c r="C221" s="161"/>
      <x:c r="D221" s="161"/>
      <x:c r="E221" s="161"/>
      <x:c r="F221" s="161"/>
      <x:c r="G221" s="161"/>
      <x:c r="H221" s="161"/>
      <x:c r="I221" s="161"/>
      <x:c r="J221" s="161"/>
      <x:c r="K221" s="161"/>
      <x:c r="L221" s="161"/>
      <x:c r="M221" s="161"/>
      <x:c r="N221" s="161"/>
      <x:c r="O221" s="161"/>
      <x:c r="P221" s="161"/>
      <x:c r="Q221" s="161"/>
      <x:c r="R221" s="161"/>
      <x:c r="S221" s="161"/>
      <x:c r="T221" s="161"/>
      <x:c r="U221" s="161"/>
      <x:c r="V221" s="161"/>
      <x:c r="W221" s="161"/>
      <x:c r="X221" s="161"/>
      <x:c r="Y221" s="161"/>
      <x:c r="Z221" s="161"/>
    </x:row>
    <x:row r="222">
      <x:c r="A222" s="161"/>
      <x:c r="B222" s="161"/>
      <x:c r="C222" s="161"/>
      <x:c r="D222" s="161"/>
      <x:c r="E222" s="161"/>
      <x:c r="F222" s="161"/>
      <x:c r="G222" s="161"/>
      <x:c r="H222" s="161"/>
      <x:c r="I222" s="161"/>
      <x:c r="J222" s="161"/>
      <x:c r="K222" s="161"/>
      <x:c r="L222" s="161"/>
      <x:c r="M222" s="161"/>
      <x:c r="N222" s="161"/>
      <x:c r="O222" s="161"/>
      <x:c r="P222" s="161"/>
      <x:c r="Q222" s="161"/>
      <x:c r="R222" s="161"/>
      <x:c r="S222" s="161"/>
      <x:c r="T222" s="161"/>
      <x:c r="U222" s="161"/>
      <x:c r="V222" s="161"/>
      <x:c r="W222" s="161"/>
      <x:c r="X222" s="161"/>
      <x:c r="Y222" s="161"/>
      <x:c r="Z222" s="161"/>
    </x:row>
    <x:row r="223">
      <x:c r="A223" s="161"/>
      <x:c r="B223" s="161"/>
      <x:c r="C223" s="161"/>
      <x:c r="D223" s="161"/>
      <x:c r="E223" s="161"/>
      <x:c r="F223" s="161"/>
      <x:c r="G223" s="161"/>
      <x:c r="H223" s="161"/>
      <x:c r="I223" s="161"/>
      <x:c r="J223" s="161"/>
      <x:c r="K223" s="161"/>
      <x:c r="L223" s="161"/>
      <x:c r="M223" s="161"/>
      <x:c r="N223" s="161"/>
      <x:c r="O223" s="161"/>
      <x:c r="P223" s="161"/>
      <x:c r="Q223" s="161"/>
      <x:c r="R223" s="161"/>
      <x:c r="S223" s="161"/>
      <x:c r="T223" s="161"/>
      <x:c r="U223" s="161"/>
      <x:c r="V223" s="161"/>
      <x:c r="W223" s="161"/>
      <x:c r="X223" s="161"/>
      <x:c r="Y223" s="161"/>
      <x:c r="Z223" s="161"/>
    </x:row>
    <x:row r="224">
      <x:c r="A224" s="161"/>
      <x:c r="B224" s="161"/>
      <x:c r="C224" s="161"/>
      <x:c r="D224" s="161"/>
      <x:c r="E224" s="161"/>
      <x:c r="F224" s="161"/>
      <x:c r="G224" s="161"/>
      <x:c r="H224" s="161"/>
      <x:c r="I224" s="161"/>
      <x:c r="J224" s="161"/>
      <x:c r="K224" s="161"/>
      <x:c r="L224" s="161"/>
      <x:c r="M224" s="161"/>
      <x:c r="N224" s="161"/>
      <x:c r="O224" s="161"/>
      <x:c r="P224" s="161"/>
      <x:c r="Q224" s="161"/>
      <x:c r="R224" s="161"/>
      <x:c r="S224" s="161"/>
      <x:c r="T224" s="161"/>
      <x:c r="U224" s="161"/>
      <x:c r="V224" s="161"/>
      <x:c r="W224" s="161"/>
      <x:c r="X224" s="161"/>
      <x:c r="Y224" s="161"/>
      <x:c r="Z224" s="161"/>
    </x:row>
    <x:row r="225">
      <x:c r="A225" s="161"/>
      <x:c r="B225" s="161"/>
      <x:c r="C225" s="161"/>
      <x:c r="D225" s="161"/>
      <x:c r="E225" s="161"/>
      <x:c r="F225" s="161"/>
      <x:c r="G225" s="161"/>
      <x:c r="H225" s="161"/>
      <x:c r="I225" s="161"/>
      <x:c r="J225" s="161"/>
      <x:c r="K225" s="161"/>
      <x:c r="L225" s="161"/>
      <x:c r="M225" s="161"/>
      <x:c r="N225" s="161"/>
      <x:c r="O225" s="161"/>
      <x:c r="P225" s="161"/>
      <x:c r="Q225" s="161"/>
      <x:c r="R225" s="161"/>
      <x:c r="S225" s="161"/>
      <x:c r="T225" s="161"/>
      <x:c r="U225" s="161"/>
      <x:c r="V225" s="161"/>
      <x:c r="W225" s="161"/>
      <x:c r="X225" s="161"/>
      <x:c r="Y225" s="161"/>
      <x:c r="Z225" s="161"/>
    </x:row>
    <x:row r="226">
      <x:c r="A226" s="161"/>
      <x:c r="B226" s="161"/>
      <x:c r="C226" s="161"/>
      <x:c r="D226" s="161"/>
      <x:c r="E226" s="161"/>
      <x:c r="F226" s="161"/>
      <x:c r="G226" s="161"/>
      <x:c r="H226" s="161"/>
      <x:c r="I226" s="161"/>
      <x:c r="J226" s="161"/>
      <x:c r="K226" s="161"/>
      <x:c r="L226" s="161"/>
      <x:c r="M226" s="161"/>
      <x:c r="N226" s="161"/>
      <x:c r="O226" s="161"/>
      <x:c r="P226" s="161"/>
      <x:c r="Q226" s="161"/>
      <x:c r="R226" s="161"/>
      <x:c r="S226" s="161"/>
      <x:c r="T226" s="161"/>
      <x:c r="U226" s="161"/>
      <x:c r="V226" s="161"/>
      <x:c r="W226" s="161"/>
      <x:c r="X226" s="161"/>
      <x:c r="Y226" s="161"/>
      <x:c r="Z226" s="161"/>
    </x:row>
    <x:row r="227">
      <x:c r="A227" s="161"/>
      <x:c r="B227" s="161"/>
      <x:c r="C227" s="161"/>
      <x:c r="D227" s="161"/>
      <x:c r="E227" s="161"/>
      <x:c r="F227" s="161"/>
      <x:c r="G227" s="161"/>
      <x:c r="H227" s="161"/>
      <x:c r="I227" s="161"/>
      <x:c r="J227" s="161"/>
      <x:c r="K227" s="161"/>
      <x:c r="L227" s="161"/>
      <x:c r="M227" s="161"/>
      <x:c r="N227" s="161"/>
      <x:c r="O227" s="161"/>
      <x:c r="P227" s="161"/>
      <x:c r="Q227" s="161"/>
      <x:c r="R227" s="161"/>
      <x:c r="S227" s="161"/>
      <x:c r="T227" s="161"/>
      <x:c r="U227" s="161"/>
      <x:c r="V227" s="161"/>
      <x:c r="W227" s="161"/>
      <x:c r="X227" s="161"/>
      <x:c r="Y227" s="161"/>
      <x:c r="Z227" s="161"/>
    </x:row>
    <x:row r="228">
      <x:c r="A228" s="161"/>
      <x:c r="B228" s="161"/>
      <x:c r="C228" s="161"/>
      <x:c r="D228" s="161"/>
      <x:c r="E228" s="161"/>
      <x:c r="F228" s="161"/>
      <x:c r="G228" s="161"/>
      <x:c r="H228" s="161"/>
      <x:c r="I228" s="161"/>
      <x:c r="J228" s="161"/>
      <x:c r="K228" s="161"/>
      <x:c r="L228" s="161"/>
      <x:c r="M228" s="161"/>
      <x:c r="N228" s="161"/>
      <x:c r="O228" s="161"/>
      <x:c r="P228" s="161"/>
      <x:c r="Q228" s="161"/>
      <x:c r="R228" s="161"/>
      <x:c r="S228" s="161"/>
      <x:c r="T228" s="161"/>
      <x:c r="U228" s="161"/>
      <x:c r="V228" s="161"/>
      <x:c r="W228" s="161"/>
      <x:c r="X228" s="161"/>
      <x:c r="Y228" s="161"/>
      <x:c r="Z228" s="161"/>
    </x:row>
    <x:row r="229">
      <x:c r="A229" s="161"/>
      <x:c r="B229" s="161"/>
      <x:c r="C229" s="161"/>
      <x:c r="D229" s="161"/>
      <x:c r="E229" s="161"/>
      <x:c r="F229" s="161"/>
      <x:c r="G229" s="161"/>
      <x:c r="H229" s="161"/>
      <x:c r="I229" s="161"/>
      <x:c r="J229" s="161"/>
      <x:c r="K229" s="161"/>
      <x:c r="L229" s="161"/>
      <x:c r="M229" s="161"/>
      <x:c r="N229" s="161"/>
      <x:c r="O229" s="161"/>
      <x:c r="P229" s="161"/>
      <x:c r="Q229" s="161"/>
      <x:c r="R229" s="161"/>
      <x:c r="S229" s="161"/>
      <x:c r="T229" s="161"/>
      <x:c r="U229" s="161"/>
      <x:c r="V229" s="161"/>
      <x:c r="W229" s="161"/>
      <x:c r="X229" s="161"/>
      <x:c r="Y229" s="161"/>
      <x:c r="Z229" s="161"/>
    </x:row>
    <x:row r="230">
      <x:c r="A230" s="161"/>
      <x:c r="B230" s="161"/>
      <x:c r="C230" s="161"/>
      <x:c r="D230" s="161"/>
      <x:c r="E230" s="161"/>
      <x:c r="F230" s="161"/>
      <x:c r="G230" s="161"/>
      <x:c r="H230" s="161"/>
      <x:c r="I230" s="161"/>
      <x:c r="J230" s="161"/>
      <x:c r="K230" s="161"/>
      <x:c r="L230" s="161"/>
      <x:c r="M230" s="161"/>
      <x:c r="N230" s="161"/>
      <x:c r="O230" s="161"/>
      <x:c r="P230" s="161"/>
      <x:c r="Q230" s="161"/>
      <x:c r="R230" s="161"/>
      <x:c r="S230" s="161"/>
      <x:c r="T230" s="161"/>
      <x:c r="U230" s="161"/>
      <x:c r="V230" s="161"/>
      <x:c r="W230" s="161"/>
      <x:c r="X230" s="161"/>
      <x:c r="Y230" s="161"/>
      <x:c r="Z230" s="161"/>
    </x:row>
    <x:row r="231">
      <x:c r="A231" s="161"/>
      <x:c r="B231" s="161"/>
      <x:c r="C231" s="161"/>
      <x:c r="D231" s="161"/>
      <x:c r="E231" s="161"/>
      <x:c r="F231" s="161"/>
      <x:c r="G231" s="161"/>
      <x:c r="H231" s="161"/>
      <x:c r="I231" s="161"/>
      <x:c r="J231" s="161"/>
      <x:c r="K231" s="161"/>
      <x:c r="L231" s="161"/>
      <x:c r="M231" s="161"/>
      <x:c r="N231" s="161"/>
      <x:c r="O231" s="161"/>
      <x:c r="P231" s="161"/>
      <x:c r="Q231" s="161"/>
      <x:c r="R231" s="161"/>
      <x:c r="S231" s="161"/>
      <x:c r="T231" s="161"/>
      <x:c r="U231" s="161"/>
      <x:c r="V231" s="161"/>
      <x:c r="W231" s="161"/>
      <x:c r="X231" s="161"/>
      <x:c r="Y231" s="161"/>
      <x:c r="Z231" s="161"/>
    </x:row>
    <x:row r="232">
      <x:c r="A232" s="161"/>
      <x:c r="B232" s="161"/>
      <x:c r="C232" s="161"/>
      <x:c r="D232" s="161"/>
      <x:c r="E232" s="161"/>
      <x:c r="F232" s="161"/>
      <x:c r="G232" s="161"/>
      <x:c r="H232" s="161"/>
      <x:c r="I232" s="161"/>
      <x:c r="J232" s="161"/>
      <x:c r="K232" s="161"/>
      <x:c r="L232" s="161"/>
      <x:c r="M232" s="161"/>
      <x:c r="N232" s="161"/>
      <x:c r="O232" s="161"/>
      <x:c r="P232" s="161"/>
      <x:c r="Q232" s="161"/>
      <x:c r="R232" s="161"/>
      <x:c r="S232" s="161"/>
      <x:c r="T232" s="161"/>
      <x:c r="U232" s="161"/>
      <x:c r="V232" s="161"/>
      <x:c r="W232" s="161"/>
      <x:c r="X232" s="161"/>
      <x:c r="Y232" s="161"/>
      <x:c r="Z232" s="161"/>
    </x:row>
    <x:row r="233">
      <x:c r="A233" s="161"/>
      <x:c r="B233" s="161"/>
      <x:c r="C233" s="161"/>
      <x:c r="D233" s="161"/>
      <x:c r="E233" s="161"/>
      <x:c r="F233" s="161"/>
      <x:c r="G233" s="161"/>
      <x:c r="H233" s="161"/>
      <x:c r="I233" s="161"/>
      <x:c r="J233" s="161"/>
      <x:c r="K233" s="161"/>
      <x:c r="L233" s="161"/>
      <x:c r="M233" s="161"/>
      <x:c r="N233" s="161"/>
      <x:c r="O233" s="161"/>
      <x:c r="P233" s="161"/>
      <x:c r="Q233" s="161"/>
      <x:c r="R233" s="161"/>
      <x:c r="S233" s="161"/>
      <x:c r="T233" s="161"/>
      <x:c r="U233" s="161"/>
      <x:c r="V233" s="161"/>
      <x:c r="W233" s="161"/>
      <x:c r="X233" s="161"/>
      <x:c r="Y233" s="161"/>
      <x:c r="Z233" s="161"/>
    </x:row>
    <x:row r="234">
      <x:c r="A234" s="161"/>
      <x:c r="B234" s="161"/>
      <x:c r="C234" s="161"/>
      <x:c r="D234" s="161"/>
      <x:c r="E234" s="161"/>
      <x:c r="F234" s="161"/>
      <x:c r="G234" s="161"/>
      <x:c r="H234" s="161"/>
      <x:c r="I234" s="161"/>
      <x:c r="J234" s="161"/>
      <x:c r="K234" s="161"/>
      <x:c r="L234" s="161"/>
      <x:c r="M234" s="161"/>
      <x:c r="N234" s="161"/>
      <x:c r="O234" s="161"/>
      <x:c r="P234" s="161"/>
      <x:c r="Q234" s="161"/>
      <x:c r="R234" s="161"/>
      <x:c r="S234" s="161"/>
      <x:c r="T234" s="161"/>
      <x:c r="U234" s="161"/>
      <x:c r="V234" s="161"/>
      <x:c r="W234" s="161"/>
      <x:c r="X234" s="161"/>
      <x:c r="Y234" s="161"/>
      <x:c r="Z234" s="161"/>
    </x:row>
    <x:row r="235">
      <x:c r="A235" s="161"/>
      <x:c r="B235" s="161"/>
      <x:c r="C235" s="161"/>
      <x:c r="D235" s="161"/>
      <x:c r="E235" s="161"/>
      <x:c r="F235" s="161"/>
      <x:c r="G235" s="161"/>
      <x:c r="H235" s="161"/>
      <x:c r="I235" s="161"/>
      <x:c r="J235" s="161"/>
      <x:c r="K235" s="161"/>
      <x:c r="L235" s="161"/>
      <x:c r="M235" s="161"/>
      <x:c r="N235" s="161"/>
      <x:c r="O235" s="161"/>
      <x:c r="P235" s="161"/>
      <x:c r="Q235" s="161"/>
      <x:c r="R235" s="161"/>
      <x:c r="S235" s="161"/>
      <x:c r="T235" s="161"/>
      <x:c r="U235" s="161"/>
      <x:c r="V235" s="161"/>
      <x:c r="W235" s="161"/>
      <x:c r="X235" s="161"/>
      <x:c r="Y235" s="161"/>
      <x:c r="Z235" s="161"/>
    </x:row>
    <x:row r="236">
      <x:c r="A236" s="161"/>
      <x:c r="B236" s="161"/>
      <x:c r="C236" s="161"/>
      <x:c r="D236" s="161"/>
      <x:c r="E236" s="161"/>
      <x:c r="F236" s="161"/>
      <x:c r="G236" s="161"/>
      <x:c r="H236" s="161"/>
      <x:c r="I236" s="161"/>
      <x:c r="J236" s="161"/>
      <x:c r="K236" s="161"/>
      <x:c r="L236" s="161"/>
      <x:c r="M236" s="161"/>
      <x:c r="N236" s="161"/>
      <x:c r="O236" s="161"/>
      <x:c r="P236" s="161"/>
      <x:c r="Q236" s="161"/>
      <x:c r="R236" s="161"/>
      <x:c r="S236" s="161"/>
      <x:c r="T236" s="161"/>
      <x:c r="U236" s="161"/>
      <x:c r="V236" s="161"/>
      <x:c r="W236" s="161"/>
      <x:c r="X236" s="161"/>
      <x:c r="Y236" s="161"/>
      <x:c r="Z236" s="161"/>
    </x:row>
    <x:row r="237">
      <x:c r="A237" s="161"/>
      <x:c r="B237" s="161"/>
      <x:c r="C237" s="161"/>
      <x:c r="D237" s="161"/>
      <x:c r="E237" s="161"/>
      <x:c r="F237" s="161"/>
      <x:c r="G237" s="161"/>
      <x:c r="H237" s="161"/>
      <x:c r="I237" s="161"/>
      <x:c r="J237" s="161"/>
      <x:c r="K237" s="161"/>
      <x:c r="L237" s="161"/>
      <x:c r="M237" s="161"/>
      <x:c r="N237" s="161"/>
      <x:c r="O237" s="161"/>
      <x:c r="P237" s="161"/>
      <x:c r="Q237" s="161"/>
      <x:c r="R237" s="161"/>
      <x:c r="S237" s="161"/>
      <x:c r="T237" s="161"/>
      <x:c r="U237" s="161"/>
      <x:c r="V237" s="161"/>
      <x:c r="W237" s="161"/>
      <x:c r="X237" s="161"/>
      <x:c r="Y237" s="161"/>
      <x:c r="Z237" s="161"/>
    </x:row>
    <x:row r="238">
      <x:c r="A238" s="161"/>
      <x:c r="B238" s="161"/>
      <x:c r="C238" s="161"/>
      <x:c r="D238" s="161"/>
      <x:c r="E238" s="161"/>
      <x:c r="F238" s="161"/>
      <x:c r="G238" s="161"/>
      <x:c r="H238" s="161"/>
      <x:c r="I238" s="161"/>
      <x:c r="J238" s="161"/>
      <x:c r="K238" s="161"/>
      <x:c r="L238" s="161"/>
      <x:c r="M238" s="161"/>
      <x:c r="N238" s="161"/>
      <x:c r="O238" s="161"/>
      <x:c r="P238" s="161"/>
      <x:c r="Q238" s="161"/>
      <x:c r="R238" s="161"/>
      <x:c r="S238" s="161"/>
      <x:c r="T238" s="161"/>
      <x:c r="U238" s="161"/>
      <x:c r="V238" s="161"/>
      <x:c r="W238" s="161"/>
      <x:c r="X238" s="161"/>
      <x:c r="Y238" s="161"/>
      <x:c r="Z238" s="161"/>
    </x:row>
    <x:row r="239">
      <x:c r="A239" s="161"/>
      <x:c r="B239" s="161"/>
      <x:c r="C239" s="161"/>
      <x:c r="D239" s="161"/>
      <x:c r="E239" s="161"/>
      <x:c r="F239" s="161"/>
      <x:c r="G239" s="161"/>
      <x:c r="H239" s="161"/>
      <x:c r="I239" s="161"/>
      <x:c r="J239" s="161"/>
      <x:c r="K239" s="161"/>
      <x:c r="L239" s="161"/>
      <x:c r="M239" s="161"/>
      <x:c r="N239" s="161"/>
      <x:c r="O239" s="161"/>
      <x:c r="P239" s="161"/>
      <x:c r="Q239" s="161"/>
      <x:c r="R239" s="161"/>
      <x:c r="S239" s="161"/>
      <x:c r="T239" s="161"/>
      <x:c r="U239" s="161"/>
      <x:c r="V239" s="161"/>
      <x:c r="W239" s="161"/>
      <x:c r="X239" s="161"/>
      <x:c r="Y239" s="161"/>
      <x:c r="Z239" s="161"/>
    </x:row>
    <x:row r="240">
      <x:c r="A240" s="161"/>
      <x:c r="B240" s="161"/>
      <x:c r="C240" s="161"/>
      <x:c r="D240" s="161"/>
      <x:c r="E240" s="161"/>
      <x:c r="F240" s="161"/>
      <x:c r="G240" s="161"/>
      <x:c r="H240" s="161"/>
      <x:c r="I240" s="161"/>
      <x:c r="J240" s="161"/>
      <x:c r="K240" s="161"/>
      <x:c r="L240" s="161"/>
      <x:c r="M240" s="161"/>
      <x:c r="N240" s="161"/>
      <x:c r="O240" s="161"/>
      <x:c r="P240" s="161"/>
      <x:c r="Q240" s="161"/>
      <x:c r="R240" s="161"/>
      <x:c r="S240" s="161"/>
      <x:c r="T240" s="161"/>
      <x:c r="U240" s="161"/>
      <x:c r="V240" s="161"/>
      <x:c r="W240" s="161"/>
      <x:c r="X240" s="161"/>
      <x:c r="Y240" s="161"/>
      <x:c r="Z240" s="161"/>
    </x:row>
    <x:row r="241">
      <x:c r="A241" s="161"/>
      <x:c r="B241" s="161"/>
      <x:c r="C241" s="161"/>
      <x:c r="D241" s="161"/>
      <x:c r="E241" s="161"/>
      <x:c r="F241" s="161"/>
      <x:c r="G241" s="161"/>
      <x:c r="H241" s="161"/>
      <x:c r="I241" s="161"/>
      <x:c r="J241" s="161"/>
      <x:c r="K241" s="161"/>
      <x:c r="L241" s="161"/>
      <x:c r="M241" s="161"/>
      <x:c r="N241" s="161"/>
      <x:c r="O241" s="161"/>
      <x:c r="P241" s="161"/>
      <x:c r="Q241" s="161"/>
      <x:c r="R241" s="161"/>
      <x:c r="S241" s="161"/>
      <x:c r="T241" s="161"/>
      <x:c r="U241" s="161"/>
      <x:c r="V241" s="161"/>
      <x:c r="W241" s="161"/>
      <x:c r="X241" s="161"/>
      <x:c r="Y241" s="161"/>
      <x:c r="Z241" s="161"/>
    </x:row>
    <x:row r="242">
      <x:c r="A242" s="161"/>
      <x:c r="B242" s="161"/>
      <x:c r="C242" s="161"/>
      <x:c r="D242" s="161"/>
      <x:c r="E242" s="161"/>
      <x:c r="F242" s="161"/>
      <x:c r="G242" s="161"/>
      <x:c r="H242" s="161"/>
      <x:c r="I242" s="161"/>
      <x:c r="J242" s="161"/>
      <x:c r="K242" s="161"/>
      <x:c r="L242" s="161"/>
      <x:c r="M242" s="161"/>
      <x:c r="N242" s="161"/>
      <x:c r="O242" s="161"/>
      <x:c r="P242" s="161"/>
      <x:c r="Q242" s="161"/>
      <x:c r="R242" s="161"/>
      <x:c r="S242" s="161"/>
      <x:c r="T242" s="161"/>
      <x:c r="U242" s="161"/>
      <x:c r="V242" s="161"/>
      <x:c r="W242" s="161"/>
      <x:c r="X242" s="161"/>
      <x:c r="Y242" s="161"/>
      <x:c r="Z242" s="161"/>
    </x:row>
    <x:row r="243">
      <x:c r="A243" s="161"/>
      <x:c r="B243" s="161"/>
      <x:c r="C243" s="161"/>
      <x:c r="D243" s="161"/>
      <x:c r="E243" s="161"/>
      <x:c r="F243" s="161"/>
      <x:c r="G243" s="161"/>
      <x:c r="H243" s="161"/>
      <x:c r="I243" s="161"/>
      <x:c r="J243" s="161"/>
      <x:c r="K243" s="161"/>
      <x:c r="L243" s="161"/>
      <x:c r="M243" s="161"/>
      <x:c r="N243" s="161"/>
      <x:c r="O243" s="161"/>
      <x:c r="P243" s="161"/>
      <x:c r="Q243" s="161"/>
      <x:c r="R243" s="161"/>
      <x:c r="S243" s="161"/>
      <x:c r="T243" s="161"/>
      <x:c r="U243" s="161"/>
      <x:c r="V243" s="161"/>
      <x:c r="W243" s="161"/>
      <x:c r="X243" s="161"/>
      <x:c r="Y243" s="161"/>
      <x:c r="Z243" s="161"/>
    </x:row>
    <x:row r="244">
      <x:c r="A244" s="161"/>
      <x:c r="B244" s="161"/>
      <x:c r="C244" s="161"/>
      <x:c r="D244" s="161"/>
      <x:c r="E244" s="161"/>
      <x:c r="F244" s="161"/>
      <x:c r="G244" s="161"/>
      <x:c r="H244" s="161"/>
      <x:c r="I244" s="161"/>
      <x:c r="J244" s="161"/>
      <x:c r="K244" s="161"/>
      <x:c r="L244" s="161"/>
      <x:c r="M244" s="161"/>
      <x:c r="N244" s="161"/>
      <x:c r="O244" s="161"/>
      <x:c r="P244" s="161"/>
      <x:c r="Q244" s="161"/>
      <x:c r="R244" s="161"/>
      <x:c r="S244" s="161"/>
      <x:c r="T244" s="161"/>
      <x:c r="U244" s="161"/>
      <x:c r="V244" s="161"/>
      <x:c r="W244" s="161"/>
      <x:c r="X244" s="161"/>
      <x:c r="Y244" s="161"/>
      <x:c r="Z244" s="161"/>
    </x:row>
    <x:row r="245">
      <x:c r="A245" s="161"/>
      <x:c r="B245" s="161"/>
      <x:c r="C245" s="161"/>
      <x:c r="D245" s="161"/>
      <x:c r="E245" s="161"/>
      <x:c r="F245" s="161"/>
      <x:c r="G245" s="161"/>
      <x:c r="H245" s="161"/>
      <x:c r="I245" s="161"/>
      <x:c r="J245" s="161"/>
      <x:c r="K245" s="161"/>
      <x:c r="L245" s="161"/>
      <x:c r="M245" s="161"/>
      <x:c r="N245" s="161"/>
      <x:c r="O245" s="161"/>
      <x:c r="P245" s="161"/>
      <x:c r="Q245" s="161"/>
      <x:c r="R245" s="161"/>
      <x:c r="S245" s="161"/>
      <x:c r="T245" s="161"/>
      <x:c r="U245" s="161"/>
      <x:c r="V245" s="161"/>
      <x:c r="W245" s="161"/>
      <x:c r="X245" s="161"/>
      <x:c r="Y245" s="161"/>
      <x:c r="Z245" s="161"/>
    </x:row>
    <x:row r="246">
      <x:c r="A246" s="161"/>
      <x:c r="B246" s="161"/>
      <x:c r="C246" s="161"/>
      <x:c r="D246" s="161"/>
      <x:c r="E246" s="161"/>
      <x:c r="F246" s="161"/>
      <x:c r="G246" s="161"/>
      <x:c r="H246" s="161"/>
      <x:c r="I246" s="161"/>
      <x:c r="J246" s="161"/>
      <x:c r="K246" s="161"/>
      <x:c r="L246" s="161"/>
      <x:c r="M246" s="161"/>
      <x:c r="N246" s="161"/>
      <x:c r="O246" s="161"/>
      <x:c r="P246" s="161"/>
      <x:c r="Q246" s="161"/>
      <x:c r="R246" s="161"/>
      <x:c r="S246" s="161"/>
      <x:c r="T246" s="161"/>
      <x:c r="U246" s="161"/>
      <x:c r="V246" s="161"/>
      <x:c r="W246" s="161"/>
      <x:c r="X246" s="161"/>
      <x:c r="Y246" s="161"/>
      <x:c r="Z246" s="161"/>
    </x:row>
    <x:row r="247">
      <x:c r="A247" s="161"/>
      <x:c r="B247" s="161"/>
      <x:c r="C247" s="161"/>
      <x:c r="D247" s="161"/>
      <x:c r="E247" s="161"/>
      <x:c r="F247" s="161"/>
      <x:c r="G247" s="161"/>
      <x:c r="H247" s="161"/>
      <x:c r="I247" s="161"/>
      <x:c r="J247" s="161"/>
      <x:c r="K247" s="161"/>
      <x:c r="L247" s="161"/>
      <x:c r="M247" s="161"/>
      <x:c r="N247" s="161"/>
      <x:c r="O247" s="161"/>
      <x:c r="P247" s="161"/>
      <x:c r="Q247" s="161"/>
      <x:c r="R247" s="161"/>
      <x:c r="S247" s="161"/>
      <x:c r="T247" s="161"/>
      <x:c r="U247" s="161"/>
      <x:c r="V247" s="161"/>
      <x:c r="W247" s="161"/>
      <x:c r="X247" s="161"/>
      <x:c r="Y247" s="161"/>
      <x:c r="Z247" s="161"/>
    </x:row>
    <x:row r="248">
      <x:c r="A248" s="161"/>
      <x:c r="B248" s="161"/>
      <x:c r="C248" s="161"/>
      <x:c r="D248" s="161"/>
      <x:c r="E248" s="161"/>
      <x:c r="F248" s="161"/>
      <x:c r="G248" s="161"/>
      <x:c r="H248" s="161"/>
      <x:c r="I248" s="161"/>
      <x:c r="J248" s="161"/>
      <x:c r="K248" s="161"/>
      <x:c r="L248" s="161"/>
      <x:c r="M248" s="161"/>
      <x:c r="N248" s="161"/>
      <x:c r="O248" s="161"/>
      <x:c r="P248" s="161"/>
      <x:c r="Q248" s="161"/>
      <x:c r="R248" s="161"/>
      <x:c r="S248" s="161"/>
      <x:c r="T248" s="161"/>
      <x:c r="U248" s="161"/>
      <x:c r="V248" s="161"/>
      <x:c r="W248" s="161"/>
      <x:c r="X248" s="161"/>
      <x:c r="Y248" s="161"/>
      <x:c r="Z248" s="161"/>
    </x:row>
    <x:row r="249">
      <x:c r="A249" s="161"/>
      <x:c r="B249" s="161"/>
      <x:c r="C249" s="161"/>
      <x:c r="D249" s="161"/>
      <x:c r="E249" s="161"/>
      <x:c r="F249" s="161"/>
      <x:c r="G249" s="161"/>
      <x:c r="H249" s="161"/>
      <x:c r="I249" s="161"/>
      <x:c r="J249" s="161"/>
      <x:c r="K249" s="161"/>
      <x:c r="L249" s="161"/>
      <x:c r="M249" s="161"/>
      <x:c r="N249" s="161"/>
      <x:c r="O249" s="161"/>
      <x:c r="P249" s="161"/>
      <x:c r="Q249" s="161"/>
      <x:c r="R249" s="161"/>
      <x:c r="S249" s="161"/>
      <x:c r="T249" s="161"/>
      <x:c r="U249" s="161"/>
      <x:c r="V249" s="161"/>
      <x:c r="W249" s="161"/>
      <x:c r="X249" s="161"/>
      <x:c r="Y249" s="161"/>
      <x:c r="Z249" s="161"/>
    </x:row>
    <x:row r="250">
      <x:c r="A250" s="161"/>
      <x:c r="B250" s="161"/>
      <x:c r="C250" s="161"/>
      <x:c r="D250" s="161"/>
      <x:c r="E250" s="161"/>
      <x:c r="F250" s="161"/>
      <x:c r="G250" s="161"/>
      <x:c r="H250" s="161"/>
      <x:c r="I250" s="161"/>
      <x:c r="J250" s="161"/>
      <x:c r="K250" s="161"/>
      <x:c r="L250" s="161"/>
      <x:c r="M250" s="161"/>
      <x:c r="N250" s="161"/>
      <x:c r="O250" s="161"/>
      <x:c r="P250" s="161"/>
      <x:c r="Q250" s="161"/>
      <x:c r="R250" s="161"/>
      <x:c r="S250" s="161"/>
      <x:c r="T250" s="161"/>
      <x:c r="U250" s="161"/>
      <x:c r="V250" s="161"/>
      <x:c r="W250" s="161"/>
      <x:c r="X250" s="161"/>
      <x:c r="Y250" s="161"/>
      <x:c r="Z250" s="161"/>
    </x:row>
  </x:sheetData>
  <x:mergeCells>
    <x:mergeCell ref="B3:J3"/>
    <x:mergeCell ref="B5:J7"/>
    <x:mergeCell ref="B8:J10"/>
    <x:mergeCell ref="B13:F15"/>
    <x:mergeCell ref="G13:J15"/>
    <x:mergeCell ref="B18:F20"/>
    <x:mergeCell ref="G18:J20"/>
    <x:mergeCell ref="B25:J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42" hidden="0" customWidth="1"/>
    <x:col min="4" max="4" width="34" hidden="0" customWidth="1"/>
    <x:col min="5" max="5" width="20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42" customHeight="1">
      <x:c r="A1" s="45" t="str">
        <x:v>Guía de uso · CRM Básico de Clientes</x:v>
      </x:c>
      <x:c r="B1" s="160"/>
      <x:c r="C1" s="160"/>
      <x:c r="D1" s="160"/>
      <x:c r="E1" s="160"/>
      <x:c r="F1" s="160"/>
      <x:c r="G1" s="160"/>
      <x:c r="H1" s="160"/>
      <x:c r="I1" s="58" t="str">
        <x:v>PLANTILLA EDITABLE</x:v>
      </x:c>
      <x:c r="J1" s="160"/>
      <x:c r="K1" s="160"/>
      <x:c r="L1" s="161"/>
      <x:c r="M1" s="161"/>
      <x:c r="N1" s="161"/>
      <x:c r="O1" s="161"/>
      <x:c r="P1" s="161"/>
      <x:c r="Q1" s="161"/>
      <x:c r="R1" s="161"/>
      <x:c r="S1" s="161"/>
      <x:c r="T1" s="161"/>
      <x:c r="U1" s="161"/>
      <x:c r="V1" s="161"/>
      <x:c r="W1" s="161"/>
      <x:c r="X1" s="161"/>
      <x:c r="Y1" s="161"/>
      <x:c r="Z1" s="161"/>
    </x:row>
    <x:row r="2">
      <x:c r="A2" s="166" t="str">
        <x:v>Sigue este flujo para que la plantilla funcione de forma ordenada y el dashboard se actualice automáticamente.</x:v>
      </x:c>
      <x:c r="B2" s="160"/>
      <x:c r="C2" s="160"/>
      <x:c r="D2" s="160"/>
      <x:c r="E2" s="160"/>
      <x:c r="F2" s="160"/>
      <x:c r="G2" s="160"/>
      <x:c r="H2" s="160"/>
      <x:c r="I2" s="160"/>
      <x:c r="J2" s="160"/>
      <x:c r="K2" s="160"/>
      <x:c r="L2" s="161"/>
      <x:c r="M2" s="161"/>
      <x:c r="N2" s="161"/>
      <x:c r="O2" s="161"/>
      <x:c r="P2" s="161"/>
      <x:c r="Q2" s="161"/>
      <x:c r="R2" s="161"/>
      <x:c r="S2" s="161"/>
      <x:c r="T2" s="161"/>
      <x:c r="U2" s="161"/>
      <x:c r="V2" s="161"/>
      <x:c r="W2" s="161"/>
      <x:c r="X2" s="161"/>
      <x:c r="Y2" s="161"/>
      <x:c r="Z2" s="161"/>
    </x:row>
    <x:row r="3">
      <x:c r="A3" s="160"/>
      <x:c r="B3" s="160"/>
      <x:c r="C3" s="160"/>
      <x:c r="D3" s="160"/>
      <x:c r="E3" s="160"/>
      <x:c r="F3" s="160"/>
      <x:c r="G3" s="160"/>
      <x:c r="H3" s="160"/>
      <x:c r="I3" s="160"/>
      <x:c r="J3" s="160"/>
      <x:c r="K3" s="160"/>
      <x:c r="L3" s="161"/>
      <x:c r="M3" s="161"/>
      <x:c r="N3" s="161"/>
      <x:c r="O3" s="161"/>
      <x:c r="P3" s="161"/>
      <x:c r="Q3" s="161"/>
      <x:c r="R3" s="161"/>
      <x:c r="S3" s="161"/>
      <x:c r="T3" s="161"/>
      <x:c r="U3" s="161"/>
      <x:c r="V3" s="161"/>
      <x:c r="W3" s="161"/>
      <x:c r="X3" s="161"/>
      <x:c r="Y3" s="161"/>
      <x:c r="Z3" s="161"/>
    </x:row>
    <x:row r="4">
      <x:c r="A4" s="160"/>
      <x:c r="B4" s="160"/>
      <x:c r="C4" s="160"/>
      <x:c r="D4" s="160"/>
      <x:c r="E4" s="160"/>
      <x:c r="F4" s="160"/>
      <x:c r="G4" s="160"/>
      <x:c r="H4" s="160"/>
      <x:c r="I4" s="160"/>
      <x:c r="J4" s="160"/>
      <x:c r="K4" s="160"/>
      <x:c r="L4" s="161"/>
      <x:c r="M4" s="161"/>
      <x:c r="N4" s="161"/>
      <x:c r="O4" s="161"/>
      <x:c r="P4" s="161"/>
      <x:c r="Q4" s="161"/>
      <x:c r="R4" s="161"/>
      <x:c r="S4" s="161"/>
      <x:c r="T4" s="161"/>
      <x:c r="U4" s="161"/>
      <x:c r="V4" s="161"/>
      <x:c r="W4" s="161"/>
      <x:c r="X4" s="161"/>
      <x:c r="Y4" s="161"/>
      <x:c r="Z4" s="161"/>
    </x:row>
    <x:row r="5">
      <x:c r="A5" s="65" t="str">
        <x:v>Paso</x:v>
      </x:c>
      <x:c r="B5" s="65" t="str">
        <x:v>Hoja</x:v>
      </x:c>
      <x:c r="C5" s="65" t="str">
        <x:v>Qué debes hacer</x:v>
      </x:c>
      <x:c r="D5" s="65" t="str">
        <x:v>Resultado esperado</x:v>
      </x:c>
      <x:c r="E5" s="65" t="str">
        <x:v>Tipo de datos</x:v>
      </x:c>
      <x:c r="F5" s="65"/>
      <x:c r="G5" s="65"/>
      <x:c r="H5" s="65"/>
      <x:c r="I5" s="65"/>
      <x:c r="J5" s="65"/>
      <x:c r="K5" s="160"/>
      <x:c r="L5" s="161"/>
      <x:c r="M5" s="161"/>
      <x:c r="N5" s="161"/>
      <x:c r="O5" s="161"/>
      <x:c r="P5" s="161"/>
      <x:c r="Q5" s="161"/>
      <x:c r="R5" s="161"/>
      <x:c r="S5" s="161"/>
      <x:c r="T5" s="161"/>
      <x:c r="U5" s="161"/>
      <x:c r="V5" s="161"/>
      <x:c r="W5" s="161"/>
      <x:c r="X5" s="161"/>
      <x:c r="Y5" s="161"/>
      <x:c r="Z5" s="161"/>
    </x:row>
    <x:row r="6">
      <x:c r="A6" s="167" t="n">
        <x:v>1</x:v>
      </x:c>
      <x:c r="B6" s="167" t="str">
        <x:v>02 Config</x:v>
      </x:c>
      <x:c r="C6" s="167" t="str">
        <x:v>Define año, mes de análisis, responsables, canales, etapas y fuentes.</x:v>
      </x:c>
      <x:c r="D6" s="167" t="str">
        <x:v>Listas desplegables y metas listas para usar.</x:v>
      </x:c>
      <x:c r="E6" s="167" t="str">
        <x:v>Configuración</x:v>
      </x:c>
      <x:c r="F6" s="160"/>
      <x:c r="G6" s="160"/>
      <x:c r="H6" s="160"/>
      <x:c r="I6" s="160"/>
      <x:c r="J6" s="160"/>
      <x:c r="K6" s="160"/>
      <x:c r="L6" s="161"/>
      <x:c r="M6" s="161"/>
      <x:c r="N6" s="161"/>
      <x:c r="O6" s="161"/>
      <x:c r="P6" s="161"/>
      <x:c r="Q6" s="161"/>
      <x:c r="R6" s="161"/>
      <x:c r="S6" s="161"/>
      <x:c r="T6" s="161"/>
      <x:c r="U6" s="161"/>
      <x:c r="V6" s="161"/>
      <x:c r="W6" s="161"/>
      <x:c r="X6" s="161"/>
      <x:c r="Y6" s="161"/>
      <x:c r="Z6" s="161"/>
    </x:row>
    <x:row r="7">
      <x:c r="A7" s="167" t="n">
        <x:v>2</x:v>
      </x:c>
      <x:c r="B7" s="167" t="str">
        <x:v>03 Clientes</x:v>
      </x:c>
      <x:c r="C7" s="167" t="str">
        <x:v>Registra clientes actuales y prospectos con sus datos principales.</x:v>
      </x:c>
      <x:c r="D7" s="167" t="str">
        <x:v>Base comercial centralizada.</x:v>
      </x:c>
      <x:c r="E7" s="167" t="str">
        <x:v>Editable</x:v>
      </x:c>
      <x:c r="F7" s="160"/>
      <x:c r="G7" s="160"/>
      <x:c r="H7" s="160"/>
      <x:c r="I7" s="160"/>
      <x:c r="J7" s="160"/>
      <x:c r="K7" s="160"/>
      <x:c r="L7" s="161"/>
      <x:c r="M7" s="161"/>
      <x:c r="N7" s="161"/>
      <x:c r="O7" s="161"/>
      <x:c r="P7" s="161"/>
      <x:c r="Q7" s="161"/>
      <x:c r="R7" s="161"/>
      <x:c r="S7" s="161"/>
      <x:c r="T7" s="161"/>
      <x:c r="U7" s="161"/>
      <x:c r="V7" s="161"/>
      <x:c r="W7" s="161"/>
      <x:c r="X7" s="161"/>
      <x:c r="Y7" s="161"/>
      <x:c r="Z7" s="161"/>
    </x:row>
    <x:row r="8">
      <x:c r="A8" s="167" t="n">
        <x:v>3</x:v>
      </x:c>
      <x:c r="B8" s="167" t="str">
        <x:v>04 Contactos</x:v>
      </x:c>
      <x:c r="C8" s="167" t="str">
        <x:v>Captura llamadas, WhatsApp, correos, reuniones y resultados.</x:v>
      </x:c>
      <x:c r="D8" s="167" t="str">
        <x:v>Historial de interacción por cliente.</x:v>
      </x:c>
      <x:c r="E8" s="167" t="str">
        <x:v>Editable</x:v>
      </x:c>
      <x:c r="F8" s="160"/>
      <x:c r="G8" s="160"/>
      <x:c r="H8" s="160"/>
      <x:c r="I8" s="160"/>
      <x:c r="J8" s="160"/>
      <x:c r="K8" s="160"/>
      <x:c r="L8" s="161"/>
      <x:c r="M8" s="161"/>
      <x:c r="N8" s="161"/>
      <x:c r="O8" s="161"/>
      <x:c r="P8" s="161"/>
      <x:c r="Q8" s="161"/>
      <x:c r="R8" s="161"/>
      <x:c r="S8" s="161"/>
      <x:c r="T8" s="161"/>
      <x:c r="U8" s="161"/>
      <x:c r="V8" s="161"/>
      <x:c r="W8" s="161"/>
      <x:c r="X8" s="161"/>
      <x:c r="Y8" s="161"/>
      <x:c r="Z8" s="161"/>
    </x:row>
    <x:row r="9">
      <x:c r="A9" s="167" t="n">
        <x:v>4</x:v>
      </x:c>
      <x:c r="B9" s="167" t="str">
        <x:v>06 Oportunidades</x:v>
      </x:c>
      <x:c r="C9" s="167" t="str">
        <x:v>Registra oportunidades con etapa, valor, probabilidad y cierre proyectado.</x:v>
      </x:c>
      <x:c r="D9" s="167" t="str">
        <x:v>Pipeline cuantificado y priorizado.</x:v>
      </x:c>
      <x:c r="E9" s="167" t="str">
        <x:v>Editable + fórmulas</x:v>
      </x:c>
      <x:c r="F9" s="160"/>
      <x:c r="G9" s="160"/>
      <x:c r="H9" s="160"/>
      <x:c r="I9" s="160"/>
      <x:c r="J9" s="160"/>
      <x:c r="K9" s="160"/>
      <x:c r="L9" s="161"/>
      <x:c r="M9" s="161"/>
      <x:c r="N9" s="161"/>
      <x:c r="O9" s="161"/>
      <x:c r="P9" s="161"/>
      <x:c r="Q9" s="161"/>
      <x:c r="R9" s="161"/>
      <x:c r="S9" s="161"/>
      <x:c r="T9" s="161"/>
      <x:c r="U9" s="161"/>
      <x:c r="V9" s="161"/>
      <x:c r="W9" s="161"/>
      <x:c r="X9" s="161"/>
      <x:c r="Y9" s="161"/>
      <x:c r="Z9" s="161"/>
    </x:row>
    <x:row r="10">
      <x:c r="A10" s="167" t="n">
        <x:v>5</x:v>
      </x:c>
      <x:c r="B10" s="167" t="str">
        <x:v>07 Propuestas</x:v>
      </x:c>
      <x:c r="C10" s="167" t="str">
        <x:v>Da seguimiento a propuestas enviadas, vigencia y estatus.</x:v>
      </x:c>
      <x:c r="D10" s="167" t="str">
        <x:v>Control de propuestas pendientes y ganadas.</x:v>
      </x:c>
      <x:c r="E10" s="167" t="str">
        <x:v>Editable</x:v>
      </x:c>
      <x:c r="F10" s="160"/>
      <x:c r="G10" s="160"/>
      <x:c r="H10" s="160"/>
      <x:c r="I10" s="160"/>
      <x:c r="J10" s="160"/>
      <x:c r="K10" s="160"/>
      <x:c r="L10" s="161"/>
      <x:c r="M10" s="161"/>
      <x:c r="N10" s="161"/>
      <x:c r="O10" s="161"/>
      <x:c r="P10" s="161"/>
      <x:c r="Q10" s="161"/>
      <x:c r="R10" s="161"/>
      <x:c r="S10" s="161"/>
      <x:c r="T10" s="161"/>
      <x:c r="U10" s="161"/>
      <x:c r="V10" s="161"/>
      <x:c r="W10" s="161"/>
      <x:c r="X10" s="161"/>
      <x:c r="Y10" s="161"/>
      <x:c r="Z10" s="161"/>
    </x:row>
    <x:row r="11">
      <x:c r="A11" s="167" t="n">
        <x:v>6</x:v>
      </x:c>
      <x:c r="B11" s="167" t="str">
        <x:v>08 Seguimiento</x:v>
      </x:c>
      <x:c r="C11" s="167" t="str">
        <x:v>Programa tareas comerciales y revisa vencimientos.</x:v>
      </x:c>
      <x:c r="D11" s="167" t="str">
        <x:v>Agenda de acciones y responsables.</x:v>
      </x:c>
      <x:c r="E11" s="167" t="str">
        <x:v>Editable + alerta</x:v>
      </x:c>
      <x:c r="F11" s="160"/>
      <x:c r="G11" s="160"/>
      <x:c r="H11" s="160"/>
      <x:c r="I11" s="160"/>
      <x:c r="J11" s="160"/>
      <x:c r="K11" s="160"/>
      <x:c r="L11" s="161"/>
      <x:c r="M11" s="161"/>
      <x:c r="N11" s="161"/>
      <x:c r="O11" s="161"/>
      <x:c r="P11" s="161"/>
      <x:c r="Q11" s="161"/>
      <x:c r="R11" s="161"/>
      <x:c r="S11" s="161"/>
      <x:c r="T11" s="161"/>
      <x:c r="U11" s="161"/>
      <x:c r="V11" s="161"/>
      <x:c r="W11" s="161"/>
      <x:c r="X11" s="161"/>
      <x:c r="Y11" s="161"/>
      <x:c r="Z11" s="161"/>
    </x:row>
    <x:row r="12">
      <x:c r="A12" s="167" t="n">
        <x:v>7</x:v>
      </x:c>
      <x:c r="B12" s="167" t="str">
        <x:v>09 Dashboard</x:v>
      </x:c>
      <x:c r="C12" s="167" t="str">
        <x:v>Consulta indicadores, embudo y proyección mensual.</x:v>
      </x:c>
      <x:c r="D12" s="167" t="str">
        <x:v>Lectura ejecutiva para tomar decisiones.</x:v>
      </x:c>
      <x:c r="E12" s="167" t="str">
        <x:v>Automático</x:v>
      </x:c>
      <x:c r="F12" s="160"/>
      <x:c r="G12" s="160"/>
      <x:c r="H12" s="160"/>
      <x:c r="I12" s="160"/>
      <x:c r="J12" s="160"/>
      <x:c r="K12" s="160"/>
      <x:c r="L12" s="161"/>
      <x:c r="M12" s="161"/>
      <x:c r="N12" s="161"/>
      <x:c r="O12" s="161"/>
      <x:c r="P12" s="161"/>
      <x:c r="Q12" s="161"/>
      <x:c r="R12" s="161"/>
      <x:c r="S12" s="161"/>
      <x:c r="T12" s="161"/>
      <x:c r="U12" s="161"/>
      <x:c r="V12" s="161"/>
      <x:c r="W12" s="161"/>
      <x:c r="X12" s="161"/>
      <x:c r="Y12" s="161"/>
      <x:c r="Z12" s="161"/>
    </x:row>
    <x:row r="13">
      <x:c r="A13" s="160"/>
      <x:c r="B13" s="160"/>
      <x:c r="C13" s="160"/>
      <x:c r="D13" s="160"/>
      <x:c r="E13" s="160"/>
      <x:c r="F13" s="160"/>
      <x:c r="G13" s="160"/>
      <x:c r="H13" s="160"/>
      <x:c r="I13" s="160"/>
      <x:c r="J13" s="160"/>
      <x:c r="K13" s="160"/>
      <x:c r="L13" s="161"/>
      <x:c r="M13" s="161"/>
      <x:c r="N13" s="161"/>
      <x:c r="O13" s="161"/>
      <x:c r="P13" s="161"/>
      <x:c r="Q13" s="161"/>
      <x:c r="R13" s="161"/>
      <x:c r="S13" s="161"/>
      <x:c r="T13" s="161"/>
      <x:c r="U13" s="161"/>
      <x:c r="V13" s="161"/>
      <x:c r="W13" s="161"/>
      <x:c r="X13" s="161"/>
      <x:c r="Y13" s="161"/>
      <x:c r="Z13" s="161"/>
    </x:row>
    <x:row r="14">
      <x:c r="A14" s="78" t="str">
        <x:v>Reglas rápidas para el usuario</x:v>
      </x:c>
      <x:c r="B14" s="78"/>
      <x:c r="C14" s="78"/>
      <x:c r="D14" s="78"/>
      <x:c r="E14" s="78"/>
      <x:c r="F14" s="78"/>
      <x:c r="G14" s="78"/>
      <x:c r="H14" s="78"/>
      <x:c r="I14" s="78"/>
      <x:c r="J14" s="78"/>
      <x:c r="K14" s="160"/>
      <x:c r="L14" s="161"/>
      <x:c r="M14" s="161"/>
      <x:c r="N14" s="161"/>
      <x:c r="O14" s="161"/>
      <x:c r="P14" s="161"/>
      <x:c r="Q14" s="161"/>
      <x:c r="R14" s="161"/>
      <x:c r="S14" s="161"/>
      <x:c r="T14" s="161"/>
      <x:c r="U14" s="161"/>
      <x:c r="V14" s="161"/>
      <x:c r="W14" s="161"/>
      <x:c r="X14" s="161"/>
      <x:c r="Y14" s="161"/>
      <x:c r="Z14" s="161"/>
    </x:row>
    <x:row r="15">
      <x:c r="A15" s="86" t="str">
        <x:v>✓ Llena solo las columnas editables y evita borrar fórmulas automáticas.</x:v>
      </x:c>
      <x:c r="B15" s="86"/>
      <x:c r="C15" s="86"/>
      <x:c r="D15" s="86"/>
      <x:c r="E15" s="86"/>
      <x:c r="F15" s="86"/>
      <x:c r="G15" s="86"/>
      <x:c r="H15" s="86"/>
      <x:c r="I15" s="86"/>
      <x:c r="J15" s="86"/>
      <x:c r="K15" s="160"/>
      <x:c r="L15" s="161"/>
      <x:c r="M15" s="161"/>
      <x:c r="N15" s="161"/>
      <x:c r="O15" s="161"/>
      <x:c r="P15" s="161"/>
      <x:c r="Q15" s="161"/>
      <x:c r="R15" s="161"/>
      <x:c r="S15" s="161"/>
      <x:c r="T15" s="161"/>
      <x:c r="U15" s="161"/>
      <x:c r="V15" s="161"/>
      <x:c r="W15" s="161"/>
      <x:c r="X15" s="161"/>
      <x:c r="Y15" s="161"/>
      <x:c r="Z15" s="161"/>
    </x:row>
    <x:row r="16">
      <x:c r="A16" s="86" t="str">
        <x:v>✓ Usa los desplegables para mantener datos limpios y comparables.</x:v>
      </x:c>
      <x:c r="B16" s="86"/>
      <x:c r="C16" s="86"/>
      <x:c r="D16" s="86"/>
      <x:c r="E16" s="86"/>
      <x:c r="F16" s="86"/>
      <x:c r="G16" s="86"/>
      <x:c r="H16" s="86"/>
      <x:c r="I16" s="86"/>
      <x:c r="J16" s="86"/>
      <x:c r="K16" s="160"/>
      <x:c r="L16" s="161"/>
      <x:c r="M16" s="161"/>
      <x:c r="N16" s="161"/>
      <x:c r="O16" s="161"/>
      <x:c r="P16" s="161"/>
      <x:c r="Q16" s="161"/>
      <x:c r="R16" s="161"/>
      <x:c r="S16" s="161"/>
      <x:c r="T16" s="161"/>
      <x:c r="U16" s="161"/>
      <x:c r="V16" s="161"/>
      <x:c r="W16" s="161"/>
      <x:c r="X16" s="161"/>
      <x:c r="Y16" s="161"/>
      <x:c r="Z16" s="161"/>
    </x:row>
    <x:row r="17">
      <x:c r="A17" s="86" t="str">
        <x:v>✓ Revisa cada semana las tareas vencidas y oportunidades con cierre próximo.</x:v>
      </x:c>
      <x:c r="B17" s="86"/>
      <x:c r="C17" s="86"/>
      <x:c r="D17" s="86"/>
      <x:c r="E17" s="86"/>
      <x:c r="F17" s="86"/>
      <x:c r="G17" s="86"/>
      <x:c r="H17" s="86"/>
      <x:c r="I17" s="86"/>
      <x:c r="J17" s="86"/>
      <x:c r="K17" s="160"/>
      <x:c r="L17" s="161"/>
      <x:c r="M17" s="161"/>
      <x:c r="N17" s="161"/>
      <x:c r="O17" s="161"/>
      <x:c r="P17" s="161"/>
      <x:c r="Q17" s="161"/>
      <x:c r="R17" s="161"/>
      <x:c r="S17" s="161"/>
      <x:c r="T17" s="161"/>
      <x:c r="U17" s="161"/>
      <x:c r="V17" s="161"/>
      <x:c r="W17" s="161"/>
      <x:c r="X17" s="161"/>
      <x:c r="Y17" s="161"/>
      <x:c r="Z17" s="161"/>
    </x:row>
    <x:row r="18">
      <x:c r="A18" s="86" t="str">
        <x:v>✓ El Dashboard se alimenta de las hojas Clientes, Oportunidades, Propuestas y Seguimiento.</x:v>
      </x:c>
      <x:c r="B18" s="86"/>
      <x:c r="C18" s="86"/>
      <x:c r="D18" s="86"/>
      <x:c r="E18" s="86"/>
      <x:c r="F18" s="86"/>
      <x:c r="G18" s="86"/>
      <x:c r="H18" s="86"/>
      <x:c r="I18" s="86"/>
      <x:c r="J18" s="86"/>
      <x:c r="K18" s="160"/>
      <x:c r="L18" s="161"/>
      <x:c r="M18" s="161"/>
      <x:c r="N18" s="161"/>
      <x:c r="O18" s="161"/>
      <x:c r="P18" s="161"/>
      <x:c r="Q18" s="161"/>
      <x:c r="R18" s="161"/>
      <x:c r="S18" s="161"/>
      <x:c r="T18" s="161"/>
      <x:c r="U18" s="161"/>
      <x:c r="V18" s="161"/>
      <x:c r="W18" s="161"/>
      <x:c r="X18" s="161"/>
      <x:c r="Y18" s="161"/>
      <x:c r="Z18" s="161"/>
    </x:row>
    <x:row r="19">
      <x:c r="A19" s="86" t="str">
        <x:v>✓ Mantén actualizadas las fechas de cierre para que la proyección mensual sea útil.</x:v>
      </x:c>
      <x:c r="B19" s="86"/>
      <x:c r="C19" s="86"/>
      <x:c r="D19" s="86"/>
      <x:c r="E19" s="86"/>
      <x:c r="F19" s="86"/>
      <x:c r="G19" s="86"/>
      <x:c r="H19" s="86"/>
      <x:c r="I19" s="86"/>
      <x:c r="J19" s="86"/>
      <x:c r="K19" s="160"/>
      <x:c r="L19" s="161"/>
      <x:c r="M19" s="161"/>
      <x:c r="N19" s="161"/>
      <x:c r="O19" s="161"/>
      <x:c r="P19" s="161"/>
      <x:c r="Q19" s="161"/>
      <x:c r="R19" s="161"/>
      <x:c r="S19" s="161"/>
      <x:c r="T19" s="161"/>
      <x:c r="U19" s="161"/>
      <x:c r="V19" s="161"/>
      <x:c r="W19" s="161"/>
      <x:c r="X19" s="161"/>
      <x:c r="Y19" s="161"/>
      <x:c r="Z19" s="161"/>
    </x:row>
    <x:row r="20">
      <x:c r="A20" s="160"/>
      <x:c r="B20" s="160"/>
      <x:c r="C20" s="160"/>
      <x:c r="D20" s="160"/>
      <x:c r="E20" s="160"/>
      <x:c r="F20" s="160"/>
      <x:c r="G20" s="160"/>
      <x:c r="H20" s="160"/>
      <x:c r="I20" s="160"/>
      <x:c r="J20" s="160"/>
      <x:c r="K20" s="160"/>
      <x:c r="L20" s="161"/>
      <x:c r="M20" s="161"/>
      <x:c r="N20" s="161"/>
      <x:c r="O20" s="161"/>
      <x:c r="P20" s="161"/>
      <x:c r="Q20" s="161"/>
      <x:c r="R20" s="161"/>
      <x:c r="S20" s="161"/>
      <x:c r="T20" s="161"/>
      <x:c r="U20" s="161"/>
      <x:c r="V20" s="161"/>
      <x:c r="W20" s="161"/>
      <x:c r="X20" s="161"/>
      <x:c r="Y20" s="161"/>
      <x:c r="Z20" s="161"/>
    </x:row>
    <x:row r="21">
      <x:c r="A21" s="78" t="str">
        <x:v>Leyenda visual</x:v>
      </x:c>
      <x:c r="B21" s="78"/>
      <x:c r="C21" s="78"/>
      <x:c r="D21" s="78"/>
      <x:c r="E21" s="78"/>
      <x:c r="F21" s="78"/>
      <x:c r="G21" s="78"/>
      <x:c r="H21" s="78"/>
      <x:c r="I21" s="78"/>
      <x:c r="J21" s="78"/>
      <x:c r="K21" s="160"/>
      <x:c r="L21" s="161"/>
      <x:c r="M21" s="161"/>
      <x:c r="N21" s="161"/>
      <x:c r="O21" s="161"/>
      <x:c r="P21" s="161"/>
      <x:c r="Q21" s="161"/>
      <x:c r="R21" s="161"/>
      <x:c r="S21" s="161"/>
      <x:c r="T21" s="161"/>
      <x:c r="U21" s="161"/>
      <x:c r="V21" s="161"/>
      <x:c r="W21" s="161"/>
      <x:c r="X21" s="161"/>
      <x:c r="Y21" s="161"/>
      <x:c r="Z21" s="161"/>
    </x:row>
    <x:row r="22">
      <x:c r="A22" s="65" t="str">
        <x:v>Color</x:v>
      </x:c>
      <x:c r="B22" s="65" t="str">
        <x:v>Significado</x:v>
      </x:c>
      <x:c r="C22" s="160"/>
      <x:c r="D22" s="160"/>
      <x:c r="E22" s="160"/>
      <x:c r="F22" s="160"/>
      <x:c r="G22" s="160"/>
      <x:c r="H22" s="160"/>
      <x:c r="I22" s="160"/>
      <x:c r="J22" s="160"/>
      <x:c r="K22" s="160"/>
      <x:c r="L22" s="161"/>
      <x:c r="M22" s="161"/>
      <x:c r="N22" s="161"/>
      <x:c r="O22" s="161"/>
      <x:c r="P22" s="161"/>
      <x:c r="Q22" s="161"/>
      <x:c r="R22" s="161"/>
      <x:c r="S22" s="161"/>
      <x:c r="T22" s="161"/>
      <x:c r="U22" s="161"/>
      <x:c r="V22" s="161"/>
      <x:c r="W22" s="161"/>
      <x:c r="X22" s="161"/>
      <x:c r="Y22" s="161"/>
      <x:c r="Z22" s="161"/>
    </x:row>
    <x:row r="23">
      <x:c r="A23" s="168" t="str">
        <x:v>Dorado claro</x:v>
      </x:c>
      <x:c r="B23" s="167" t="str">
        <x:v>Campos editables o de captura</x:v>
      </x:c>
      <x:c r="C23" s="160"/>
      <x:c r="D23" s="160"/>
      <x:c r="E23" s="160"/>
      <x:c r="F23" s="160"/>
      <x:c r="G23" s="160"/>
      <x:c r="H23" s="160"/>
      <x:c r="I23" s="160"/>
      <x:c r="J23" s="160"/>
      <x:c r="K23" s="160"/>
      <x:c r="L23" s="161"/>
      <x:c r="M23" s="161"/>
      <x:c r="N23" s="161"/>
      <x:c r="O23" s="161"/>
      <x:c r="P23" s="161"/>
      <x:c r="Q23" s="161"/>
      <x:c r="R23" s="161"/>
      <x:c r="S23" s="161"/>
      <x:c r="T23" s="161"/>
      <x:c r="U23" s="161"/>
      <x:c r="V23" s="161"/>
      <x:c r="W23" s="161"/>
      <x:c r="X23" s="161"/>
      <x:c r="Y23" s="161"/>
      <x:c r="Z23" s="161"/>
    </x:row>
    <x:row r="24">
      <x:c r="A24" s="169" t="str">
        <x:v>Gris claro</x:v>
      </x:c>
      <x:c r="B24" s="167" t="str">
        <x:v>Fórmulas automáticas / no modificar</x:v>
      </x:c>
      <x:c r="C24" s="160"/>
      <x:c r="D24" s="160"/>
      <x:c r="E24" s="160"/>
      <x:c r="F24" s="160"/>
      <x:c r="G24" s="160"/>
      <x:c r="H24" s="160"/>
      <x:c r="I24" s="160"/>
      <x:c r="J24" s="160"/>
      <x:c r="K24" s="160"/>
      <x:c r="L24" s="161"/>
      <x:c r="M24" s="161"/>
      <x:c r="N24" s="161"/>
      <x:c r="O24" s="161"/>
      <x:c r="P24" s="161"/>
      <x:c r="Q24" s="161"/>
      <x:c r="R24" s="161"/>
      <x:c r="S24" s="161"/>
      <x:c r="T24" s="161"/>
      <x:c r="U24" s="161"/>
      <x:c r="V24" s="161"/>
      <x:c r="W24" s="161"/>
      <x:c r="X24" s="161"/>
      <x:c r="Y24" s="161"/>
      <x:c r="Z24" s="161"/>
    </x:row>
    <x:row r="25">
      <x:c r="A25" s="170" t="str">
        <x:v>Azul marino</x:v>
      </x:c>
      <x:c r="B25" s="167" t="str">
        <x:v>Encabezados principales</x:v>
      </x:c>
      <x:c r="C25" s="160"/>
      <x:c r="D25" s="160"/>
      <x:c r="E25" s="160"/>
      <x:c r="F25" s="160"/>
      <x:c r="G25" s="160"/>
      <x:c r="H25" s="160"/>
      <x:c r="I25" s="160"/>
      <x:c r="J25" s="160"/>
      <x:c r="K25" s="160"/>
      <x:c r="L25" s="161"/>
      <x:c r="M25" s="161"/>
      <x:c r="N25" s="161"/>
      <x:c r="O25" s="161"/>
      <x:c r="P25" s="161"/>
      <x:c r="Q25" s="161"/>
      <x:c r="R25" s="161"/>
      <x:c r="S25" s="161"/>
      <x:c r="T25" s="161"/>
      <x:c r="U25" s="161"/>
      <x:c r="V25" s="161"/>
      <x:c r="W25" s="161"/>
      <x:c r="X25" s="161"/>
      <x:c r="Y25" s="161"/>
      <x:c r="Z25" s="161"/>
    </x:row>
    <x:row r="26">
      <x:c r="A26" s="171" t="str">
        <x:v>Rojo suave</x:v>
      </x:c>
      <x:c r="B26" s="167" t="str">
        <x:v>Alertas o tareas vencidas</x:v>
      </x:c>
      <x:c r="C26" s="160"/>
      <x:c r="D26" s="160"/>
      <x:c r="E26" s="160"/>
      <x:c r="F26" s="160"/>
      <x:c r="G26" s="160"/>
      <x:c r="H26" s="160"/>
      <x:c r="I26" s="160"/>
      <x:c r="J26" s="160"/>
      <x:c r="K26" s="160"/>
      <x:c r="L26" s="161"/>
      <x:c r="M26" s="161"/>
      <x:c r="N26" s="161"/>
      <x:c r="O26" s="161"/>
      <x:c r="P26" s="161"/>
      <x:c r="Q26" s="161"/>
      <x:c r="R26" s="161"/>
      <x:c r="S26" s="161"/>
      <x:c r="T26" s="161"/>
      <x:c r="U26" s="161"/>
      <x:c r="V26" s="161"/>
      <x:c r="W26" s="161"/>
      <x:c r="X26" s="161"/>
      <x:c r="Y26" s="161"/>
      <x:c r="Z26" s="161"/>
    </x:row>
    <x:row r="27">
      <x:c r="A27" s="160"/>
      <x:c r="B27" s="160"/>
      <x:c r="C27" s="160"/>
      <x:c r="D27" s="160"/>
      <x:c r="E27" s="160"/>
      <x:c r="F27" s="160"/>
      <x:c r="G27" s="160"/>
      <x:c r="H27" s="160"/>
      <x:c r="I27" s="160"/>
      <x:c r="J27" s="160"/>
      <x:c r="K27" s="160"/>
      <x:c r="L27" s="161"/>
      <x:c r="M27" s="161"/>
      <x:c r="N27" s="161"/>
      <x:c r="O27" s="161"/>
      <x:c r="P27" s="161"/>
      <x:c r="Q27" s="161"/>
      <x:c r="R27" s="161"/>
      <x:c r="S27" s="161"/>
      <x:c r="T27" s="161"/>
      <x:c r="U27" s="161"/>
      <x:c r="V27" s="161"/>
      <x:c r="W27" s="161"/>
      <x:c r="X27" s="161"/>
      <x:c r="Y27" s="161"/>
      <x:c r="Z27" s="161"/>
    </x:row>
    <x:row r="28">
      <x:c r="A28" s="160"/>
      <x:c r="B28" s="160"/>
      <x:c r="C28" s="160"/>
      <x:c r="D28" s="160"/>
      <x:c r="E28" s="160"/>
      <x:c r="F28" s="160"/>
      <x:c r="G28" s="160"/>
      <x:c r="H28" s="160"/>
      <x:c r="I28" s="160"/>
      <x:c r="J28" s="160"/>
      <x:c r="K28" s="160"/>
      <x:c r="L28" s="161"/>
      <x:c r="M28" s="161"/>
      <x:c r="N28" s="161"/>
      <x:c r="O28" s="161"/>
      <x:c r="P28" s="161"/>
      <x:c r="Q28" s="161"/>
      <x:c r="R28" s="161"/>
      <x:c r="S28" s="161"/>
      <x:c r="T28" s="161"/>
      <x:c r="U28" s="161"/>
      <x:c r="V28" s="161"/>
      <x:c r="W28" s="161"/>
      <x:c r="X28" s="161"/>
      <x:c r="Y28" s="161"/>
      <x:c r="Z28" s="161"/>
    </x:row>
    <x:row r="29">
      <x:c r="A29" s="160"/>
      <x:c r="B29" s="160"/>
      <x:c r="C29" s="160"/>
      <x:c r="D29" s="160"/>
      <x:c r="E29" s="160"/>
      <x:c r="F29" s="160"/>
      <x:c r="G29" s="160"/>
      <x:c r="H29" s="160"/>
      <x:c r="I29" s="160"/>
      <x:c r="J29" s="160"/>
      <x:c r="K29" s="160"/>
      <x:c r="L29" s="161"/>
      <x:c r="M29" s="161"/>
      <x:c r="N29" s="161"/>
      <x:c r="O29" s="161"/>
      <x:c r="P29" s="161"/>
      <x:c r="Q29" s="161"/>
      <x:c r="R29" s="161"/>
      <x:c r="S29" s="161"/>
      <x:c r="T29" s="161"/>
      <x:c r="U29" s="161"/>
      <x:c r="V29" s="161"/>
      <x:c r="W29" s="161"/>
      <x:c r="X29" s="161"/>
      <x:c r="Y29" s="161"/>
      <x:c r="Z29" s="161"/>
    </x:row>
    <x:row r="30">
      <x:c r="A30" s="160"/>
      <x:c r="B30" s="160"/>
      <x:c r="C30" s="160"/>
      <x:c r="D30" s="160"/>
      <x:c r="E30" s="160"/>
      <x:c r="F30" s="160"/>
      <x:c r="G30" s="160"/>
      <x:c r="H30" s="160"/>
      <x:c r="I30" s="160"/>
      <x:c r="J30" s="160"/>
      <x:c r="K30" s="160"/>
      <x:c r="L30" s="161"/>
      <x:c r="M30" s="161"/>
      <x:c r="N30" s="161"/>
      <x:c r="O30" s="161"/>
      <x:c r="P30" s="161"/>
      <x:c r="Q30" s="161"/>
      <x:c r="R30" s="161"/>
      <x:c r="S30" s="161"/>
      <x:c r="T30" s="161"/>
      <x:c r="U30" s="161"/>
      <x:c r="V30" s="161"/>
      <x:c r="W30" s="161"/>
      <x:c r="X30" s="161"/>
      <x:c r="Y30" s="161"/>
      <x:c r="Z30" s="161"/>
    </x:row>
    <x:row r="31">
      <x:c r="A31" s="160"/>
      <x:c r="B31" s="160"/>
      <x:c r="C31" s="160"/>
      <x:c r="D31" s="160"/>
      <x:c r="E31" s="160"/>
      <x:c r="F31" s="160"/>
      <x:c r="G31" s="160"/>
      <x:c r="H31" s="160"/>
      <x:c r="I31" s="160"/>
      <x:c r="J31" s="160"/>
      <x:c r="K31" s="160"/>
      <x:c r="L31" s="161"/>
      <x:c r="M31" s="161"/>
      <x:c r="N31" s="161"/>
      <x:c r="O31" s="161"/>
      <x:c r="P31" s="161"/>
      <x:c r="Q31" s="161"/>
      <x:c r="R31" s="161"/>
      <x:c r="S31" s="161"/>
      <x:c r="T31" s="161"/>
      <x:c r="U31" s="161"/>
      <x:c r="V31" s="161"/>
      <x:c r="W31" s="161"/>
      <x:c r="X31" s="161"/>
      <x:c r="Y31" s="161"/>
      <x:c r="Z31" s="161"/>
    </x:row>
    <x:row r="32">
      <x:c r="A32" s="160"/>
      <x:c r="B32" s="160"/>
      <x:c r="C32" s="160"/>
      <x:c r="D32" s="160"/>
      <x:c r="E32" s="160"/>
      <x:c r="F32" s="160"/>
      <x:c r="G32" s="160"/>
      <x:c r="H32" s="160"/>
      <x:c r="I32" s="160"/>
      <x:c r="J32" s="160"/>
      <x:c r="K32" s="160"/>
      <x:c r="L32" s="161"/>
      <x:c r="M32" s="161"/>
      <x:c r="N32" s="161"/>
      <x:c r="O32" s="161"/>
      <x:c r="P32" s="161"/>
      <x:c r="Q32" s="161"/>
      <x:c r="R32" s="161"/>
      <x:c r="S32" s="161"/>
      <x:c r="T32" s="161"/>
      <x:c r="U32" s="161"/>
      <x:c r="V32" s="161"/>
      <x:c r="W32" s="161"/>
      <x:c r="X32" s="161"/>
      <x:c r="Y32" s="161"/>
      <x:c r="Z32" s="161"/>
    </x:row>
    <x:row r="33">
      <x:c r="A33" s="160"/>
      <x:c r="B33" s="160"/>
      <x:c r="C33" s="160"/>
      <x:c r="D33" s="160"/>
      <x:c r="E33" s="160"/>
      <x:c r="F33" s="160"/>
      <x:c r="G33" s="160"/>
      <x:c r="H33" s="160"/>
      <x:c r="I33" s="160"/>
      <x:c r="J33" s="160"/>
      <x:c r="K33" s="160"/>
      <x:c r="L33" s="161"/>
      <x:c r="M33" s="161"/>
      <x:c r="N33" s="161"/>
      <x:c r="O33" s="161"/>
      <x:c r="P33" s="161"/>
      <x:c r="Q33" s="161"/>
      <x:c r="R33" s="161"/>
      <x:c r="S33" s="161"/>
      <x:c r="T33" s="161"/>
      <x:c r="U33" s="161"/>
      <x:c r="V33" s="161"/>
      <x:c r="W33" s="161"/>
      <x:c r="X33" s="161"/>
      <x:c r="Y33" s="161"/>
      <x:c r="Z33" s="161"/>
    </x:row>
    <x:row r="34">
      <x:c r="A34" s="160"/>
      <x:c r="B34" s="160"/>
      <x:c r="C34" s="160"/>
      <x:c r="D34" s="160"/>
      <x:c r="E34" s="160"/>
      <x:c r="F34" s="160"/>
      <x:c r="G34" s="160"/>
      <x:c r="H34" s="160"/>
      <x:c r="I34" s="160"/>
      <x:c r="J34" s="160"/>
      <x:c r="K34" s="160"/>
      <x:c r="L34" s="161"/>
      <x:c r="M34" s="161"/>
      <x:c r="N34" s="161"/>
      <x:c r="O34" s="161"/>
      <x:c r="P34" s="161"/>
      <x:c r="Q34" s="161"/>
      <x:c r="R34" s="161"/>
      <x:c r="S34" s="161"/>
      <x:c r="T34" s="161"/>
      <x:c r="U34" s="161"/>
      <x:c r="V34" s="161"/>
      <x:c r="W34" s="161"/>
      <x:c r="X34" s="161"/>
      <x:c r="Y34" s="161"/>
      <x:c r="Z34" s="161"/>
    </x:row>
    <x:row r="35">
      <x:c r="A35" s="160"/>
      <x:c r="B35" s="160"/>
      <x:c r="C35" s="160"/>
      <x:c r="D35" s="160"/>
      <x:c r="E35" s="160"/>
      <x:c r="F35" s="160"/>
      <x:c r="G35" s="160"/>
      <x:c r="H35" s="160"/>
      <x:c r="I35" s="160"/>
      <x:c r="J35" s="160"/>
      <x:c r="K35" s="160"/>
      <x:c r="L35" s="161"/>
      <x:c r="M35" s="161"/>
      <x:c r="N35" s="161"/>
      <x:c r="O35" s="161"/>
      <x:c r="P35" s="161"/>
      <x:c r="Q35" s="161"/>
      <x:c r="R35" s="161"/>
      <x:c r="S35" s="161"/>
      <x:c r="T35" s="161"/>
      <x:c r="U35" s="161"/>
      <x:c r="V35" s="161"/>
      <x:c r="W35" s="161"/>
      <x:c r="X35" s="161"/>
      <x:c r="Y35" s="161"/>
      <x:c r="Z35" s="161"/>
    </x:row>
    <x:row r="36">
      <x:c r="A36" s="160"/>
      <x:c r="B36" s="160"/>
      <x:c r="C36" s="160"/>
      <x:c r="D36" s="160"/>
      <x:c r="E36" s="160"/>
      <x:c r="F36" s="160"/>
      <x:c r="G36" s="160"/>
      <x:c r="H36" s="160"/>
      <x:c r="I36" s="160"/>
      <x:c r="J36" s="160"/>
      <x:c r="K36" s="160"/>
      <x:c r="L36" s="161"/>
      <x:c r="M36" s="161"/>
      <x:c r="N36" s="161"/>
      <x:c r="O36" s="161"/>
      <x:c r="P36" s="161"/>
      <x:c r="Q36" s="161"/>
      <x:c r="R36" s="161"/>
      <x:c r="S36" s="161"/>
      <x:c r="T36" s="161"/>
      <x:c r="U36" s="161"/>
      <x:c r="V36" s="161"/>
      <x:c r="W36" s="161"/>
      <x:c r="X36" s="161"/>
      <x:c r="Y36" s="161"/>
      <x:c r="Z36" s="161"/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  <x:c r="K37" s="160"/>
      <x:c r="L37" s="161"/>
      <x:c r="M37" s="161"/>
      <x:c r="N37" s="161"/>
      <x:c r="O37" s="161"/>
      <x:c r="P37" s="161"/>
      <x:c r="Q37" s="161"/>
      <x:c r="R37" s="161"/>
      <x:c r="S37" s="161"/>
      <x:c r="T37" s="161"/>
      <x:c r="U37" s="161"/>
      <x:c r="V37" s="161"/>
      <x:c r="W37" s="161"/>
      <x:c r="X37" s="161"/>
      <x:c r="Y37" s="161"/>
      <x:c r="Z37" s="161"/>
    </x:row>
    <x:row r="38">
      <x:c r="A38" s="160"/>
      <x:c r="B38" s="160"/>
      <x:c r="C38" s="160"/>
      <x:c r="D38" s="160"/>
      <x:c r="E38" s="160"/>
      <x:c r="F38" s="160"/>
      <x:c r="G38" s="160"/>
      <x:c r="H38" s="160"/>
      <x:c r="I38" s="160"/>
      <x:c r="J38" s="160"/>
      <x:c r="K38" s="160"/>
      <x:c r="L38" s="161"/>
      <x:c r="M38" s="161"/>
      <x:c r="N38" s="161"/>
      <x:c r="O38" s="161"/>
      <x:c r="P38" s="161"/>
      <x:c r="Q38" s="161"/>
      <x:c r="R38" s="161"/>
      <x:c r="S38" s="161"/>
      <x:c r="T38" s="161"/>
      <x:c r="U38" s="161"/>
      <x:c r="V38" s="161"/>
      <x:c r="W38" s="161"/>
      <x:c r="X38" s="161"/>
      <x:c r="Y38" s="161"/>
      <x:c r="Z38" s="161"/>
    </x:row>
    <x:row r="39">
      <x:c r="A39" s="160"/>
      <x:c r="B39" s="160"/>
      <x:c r="C39" s="160"/>
      <x:c r="D39" s="160"/>
      <x:c r="E39" s="160"/>
      <x:c r="F39" s="160"/>
      <x:c r="G39" s="160"/>
      <x:c r="H39" s="160"/>
      <x:c r="I39" s="160"/>
      <x:c r="J39" s="160"/>
      <x:c r="K39" s="160"/>
      <x:c r="L39" s="161"/>
      <x:c r="M39" s="161"/>
      <x:c r="N39" s="161"/>
      <x:c r="O39" s="161"/>
      <x:c r="P39" s="161"/>
      <x:c r="Q39" s="161"/>
      <x:c r="R39" s="161"/>
      <x:c r="S39" s="161"/>
      <x:c r="T39" s="161"/>
      <x:c r="U39" s="161"/>
      <x:c r="V39" s="161"/>
      <x:c r="W39" s="161"/>
      <x:c r="X39" s="161"/>
      <x:c r="Y39" s="161"/>
      <x:c r="Z39" s="161"/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  <x:c r="K40" s="160"/>
      <x:c r="L40" s="161"/>
      <x:c r="M40" s="161"/>
      <x:c r="N40" s="161"/>
      <x:c r="O40" s="161"/>
      <x:c r="P40" s="161"/>
      <x:c r="Q40" s="161"/>
      <x:c r="R40" s="161"/>
      <x:c r="S40" s="161"/>
      <x:c r="T40" s="161"/>
      <x:c r="U40" s="161"/>
      <x:c r="V40" s="161"/>
      <x:c r="W40" s="161"/>
      <x:c r="X40" s="161"/>
      <x:c r="Y40" s="161"/>
      <x:c r="Z40" s="161"/>
    </x:row>
    <x:row r="41">
      <x:c r="A41" s="161"/>
      <x:c r="B41" s="161"/>
      <x:c r="C41" s="161"/>
      <x:c r="D41" s="161"/>
      <x:c r="E41" s="161"/>
      <x:c r="F41" s="161"/>
      <x:c r="G41" s="161"/>
      <x:c r="H41" s="161"/>
      <x:c r="I41" s="161"/>
      <x:c r="J41" s="161"/>
      <x:c r="K41" s="161"/>
      <x:c r="L41" s="161"/>
      <x:c r="M41" s="161"/>
      <x:c r="N41" s="161"/>
      <x:c r="O41" s="161"/>
      <x:c r="P41" s="161"/>
      <x:c r="Q41" s="161"/>
      <x:c r="R41" s="161"/>
      <x:c r="S41" s="161"/>
      <x:c r="T41" s="161"/>
      <x:c r="U41" s="161"/>
      <x:c r="V41" s="161"/>
      <x:c r="W41" s="161"/>
      <x:c r="X41" s="161"/>
      <x:c r="Y41" s="161"/>
      <x:c r="Z41" s="161"/>
    </x:row>
    <x:row r="42">
      <x:c r="A42" s="161"/>
      <x:c r="B42" s="161"/>
      <x:c r="C42" s="161"/>
      <x:c r="D42" s="161"/>
      <x:c r="E42" s="161"/>
      <x:c r="F42" s="161"/>
      <x:c r="G42" s="161"/>
      <x:c r="H42" s="161"/>
      <x:c r="I42" s="161"/>
      <x:c r="J42" s="161"/>
      <x:c r="K42" s="161"/>
      <x:c r="L42" s="161"/>
      <x:c r="M42" s="161"/>
      <x:c r="N42" s="161"/>
      <x:c r="O42" s="161"/>
      <x:c r="P42" s="161"/>
      <x:c r="Q42" s="161"/>
      <x:c r="R42" s="161"/>
      <x:c r="S42" s="161"/>
      <x:c r="T42" s="161"/>
      <x:c r="U42" s="161"/>
      <x:c r="V42" s="161"/>
      <x:c r="W42" s="161"/>
      <x:c r="X42" s="161"/>
      <x:c r="Y42" s="161"/>
      <x:c r="Z42" s="161"/>
    </x:row>
    <x:row r="43">
      <x:c r="A43" s="161"/>
      <x:c r="B43" s="161"/>
      <x:c r="C43" s="161"/>
      <x:c r="D43" s="161"/>
      <x:c r="E43" s="161"/>
      <x:c r="F43" s="161"/>
      <x:c r="G43" s="161"/>
      <x:c r="H43" s="161"/>
      <x:c r="I43" s="161"/>
      <x:c r="J43" s="161"/>
      <x:c r="K43" s="161"/>
      <x:c r="L43" s="161"/>
      <x:c r="M43" s="161"/>
      <x:c r="N43" s="161"/>
      <x:c r="O43" s="161"/>
      <x:c r="P43" s="161"/>
      <x:c r="Q43" s="161"/>
      <x:c r="R43" s="161"/>
      <x:c r="S43" s="161"/>
      <x:c r="T43" s="161"/>
      <x:c r="U43" s="161"/>
      <x:c r="V43" s="161"/>
      <x:c r="W43" s="161"/>
      <x:c r="X43" s="161"/>
      <x:c r="Y43" s="161"/>
      <x:c r="Z43" s="161"/>
    </x:row>
    <x:row r="44">
      <x:c r="A44" s="161"/>
      <x:c r="B44" s="161"/>
      <x:c r="C44" s="161"/>
      <x:c r="D44" s="161"/>
      <x:c r="E44" s="161"/>
      <x:c r="F44" s="161"/>
      <x:c r="G44" s="161"/>
      <x:c r="H44" s="161"/>
      <x:c r="I44" s="161"/>
      <x:c r="J44" s="161"/>
      <x:c r="K44" s="161"/>
      <x:c r="L44" s="161"/>
      <x:c r="M44" s="161"/>
      <x:c r="N44" s="161"/>
      <x:c r="O44" s="161"/>
      <x:c r="P44" s="161"/>
      <x:c r="Q44" s="161"/>
      <x:c r="R44" s="161"/>
      <x:c r="S44" s="161"/>
      <x:c r="T44" s="161"/>
      <x:c r="U44" s="161"/>
      <x:c r="V44" s="161"/>
      <x:c r="W44" s="161"/>
      <x:c r="X44" s="161"/>
      <x:c r="Y44" s="161"/>
      <x:c r="Z44" s="161"/>
    </x:row>
    <x:row r="45">
      <x:c r="A45" s="161"/>
      <x:c r="B45" s="161"/>
      <x:c r="C45" s="161"/>
      <x:c r="D45" s="161"/>
      <x:c r="E45" s="161"/>
      <x:c r="F45" s="161"/>
      <x:c r="G45" s="161"/>
      <x:c r="H45" s="161"/>
      <x:c r="I45" s="161"/>
      <x:c r="J45" s="161"/>
      <x:c r="K45" s="161"/>
      <x:c r="L45" s="161"/>
      <x:c r="M45" s="161"/>
      <x:c r="N45" s="161"/>
      <x:c r="O45" s="161"/>
      <x:c r="P45" s="161"/>
      <x:c r="Q45" s="161"/>
      <x:c r="R45" s="161"/>
      <x:c r="S45" s="161"/>
      <x:c r="T45" s="161"/>
      <x:c r="U45" s="161"/>
      <x:c r="V45" s="161"/>
      <x:c r="W45" s="161"/>
      <x:c r="X45" s="161"/>
      <x:c r="Y45" s="161"/>
      <x:c r="Z45" s="161"/>
    </x:row>
    <x:row r="46">
      <x:c r="A46" s="161"/>
      <x:c r="B46" s="161"/>
      <x:c r="C46" s="161"/>
      <x:c r="D46" s="161"/>
      <x:c r="E46" s="161"/>
      <x:c r="F46" s="161"/>
      <x:c r="G46" s="161"/>
      <x:c r="H46" s="161"/>
      <x:c r="I46" s="161"/>
      <x:c r="J46" s="161"/>
      <x:c r="K46" s="161"/>
      <x:c r="L46" s="161"/>
      <x:c r="M46" s="161"/>
      <x:c r="N46" s="161"/>
      <x:c r="O46" s="161"/>
      <x:c r="P46" s="161"/>
      <x:c r="Q46" s="161"/>
      <x:c r="R46" s="161"/>
      <x:c r="S46" s="161"/>
      <x:c r="T46" s="161"/>
      <x:c r="U46" s="161"/>
      <x:c r="V46" s="161"/>
      <x:c r="W46" s="161"/>
      <x:c r="X46" s="161"/>
      <x:c r="Y46" s="161"/>
      <x:c r="Z46" s="161"/>
    </x:row>
    <x:row r="47">
      <x:c r="A47" s="161"/>
      <x:c r="B47" s="161"/>
      <x:c r="C47" s="161"/>
      <x:c r="D47" s="161"/>
      <x:c r="E47" s="161"/>
      <x:c r="F47" s="161"/>
      <x:c r="G47" s="161"/>
      <x:c r="H47" s="161"/>
      <x:c r="I47" s="161"/>
      <x:c r="J47" s="161"/>
      <x:c r="K47" s="161"/>
      <x:c r="L47" s="161"/>
      <x:c r="M47" s="161"/>
      <x:c r="N47" s="161"/>
      <x:c r="O47" s="161"/>
      <x:c r="P47" s="161"/>
      <x:c r="Q47" s="161"/>
      <x:c r="R47" s="161"/>
      <x:c r="S47" s="161"/>
      <x:c r="T47" s="161"/>
      <x:c r="U47" s="161"/>
      <x:c r="V47" s="161"/>
      <x:c r="W47" s="161"/>
      <x:c r="X47" s="161"/>
      <x:c r="Y47" s="161"/>
      <x:c r="Z47" s="161"/>
    </x:row>
    <x:row r="48">
      <x:c r="A48" s="161"/>
      <x:c r="B48" s="161"/>
      <x:c r="C48" s="161"/>
      <x:c r="D48" s="161"/>
      <x:c r="E48" s="161"/>
      <x:c r="F48" s="161"/>
      <x:c r="G48" s="161"/>
      <x:c r="H48" s="161"/>
      <x:c r="I48" s="161"/>
      <x:c r="J48" s="161"/>
      <x:c r="K48" s="161"/>
      <x:c r="L48" s="161"/>
      <x:c r="M48" s="161"/>
      <x:c r="N48" s="161"/>
      <x:c r="O48" s="161"/>
      <x:c r="P48" s="161"/>
      <x:c r="Q48" s="161"/>
      <x:c r="R48" s="161"/>
      <x:c r="S48" s="161"/>
      <x:c r="T48" s="161"/>
      <x:c r="U48" s="161"/>
      <x:c r="V48" s="161"/>
      <x:c r="W48" s="161"/>
      <x:c r="X48" s="161"/>
      <x:c r="Y48" s="161"/>
      <x:c r="Z48" s="161"/>
    </x:row>
    <x:row r="49">
      <x:c r="A49" s="161"/>
      <x:c r="B49" s="161"/>
      <x:c r="C49" s="161"/>
      <x:c r="D49" s="161"/>
      <x:c r="E49" s="161"/>
      <x:c r="F49" s="161"/>
      <x:c r="G49" s="161"/>
      <x:c r="H49" s="161"/>
      <x:c r="I49" s="161"/>
      <x:c r="J49" s="161"/>
      <x:c r="K49" s="161"/>
      <x:c r="L49" s="161"/>
      <x:c r="M49" s="161"/>
      <x:c r="N49" s="161"/>
      <x:c r="O49" s="161"/>
      <x:c r="P49" s="161"/>
      <x:c r="Q49" s="161"/>
      <x:c r="R49" s="161"/>
      <x:c r="S49" s="161"/>
      <x:c r="T49" s="161"/>
      <x:c r="U49" s="161"/>
      <x:c r="V49" s="161"/>
      <x:c r="W49" s="161"/>
      <x:c r="X49" s="161"/>
      <x:c r="Y49" s="161"/>
      <x:c r="Z49" s="161"/>
    </x:row>
    <x:row r="50">
      <x:c r="A50" s="161"/>
      <x:c r="B50" s="161"/>
      <x:c r="C50" s="161"/>
      <x:c r="D50" s="161"/>
      <x:c r="E50" s="161"/>
      <x:c r="F50" s="161"/>
      <x:c r="G50" s="161"/>
      <x:c r="H50" s="161"/>
      <x:c r="I50" s="161"/>
      <x:c r="J50" s="161"/>
      <x:c r="K50" s="161"/>
      <x:c r="L50" s="161"/>
      <x:c r="M50" s="161"/>
      <x:c r="N50" s="161"/>
      <x:c r="O50" s="161"/>
      <x:c r="P50" s="161"/>
      <x:c r="Q50" s="161"/>
      <x:c r="R50" s="161"/>
      <x:c r="S50" s="161"/>
      <x:c r="T50" s="161"/>
      <x:c r="U50" s="161"/>
      <x:c r="V50" s="161"/>
      <x:c r="W50" s="161"/>
      <x:c r="X50" s="161"/>
      <x:c r="Y50" s="161"/>
      <x:c r="Z50" s="161"/>
    </x:row>
    <x:row r="51">
      <x:c r="A51" s="161"/>
      <x:c r="B51" s="161"/>
      <x:c r="C51" s="161"/>
      <x:c r="D51" s="161"/>
      <x:c r="E51" s="161"/>
      <x:c r="F51" s="161"/>
      <x:c r="G51" s="161"/>
      <x:c r="H51" s="161"/>
      <x:c r="I51" s="161"/>
      <x:c r="J51" s="161"/>
      <x:c r="K51" s="161"/>
      <x:c r="L51" s="161"/>
      <x:c r="M51" s="161"/>
      <x:c r="N51" s="161"/>
      <x:c r="O51" s="161"/>
      <x:c r="P51" s="161"/>
      <x:c r="Q51" s="161"/>
      <x:c r="R51" s="161"/>
      <x:c r="S51" s="161"/>
      <x:c r="T51" s="161"/>
      <x:c r="U51" s="161"/>
      <x:c r="V51" s="161"/>
      <x:c r="W51" s="161"/>
      <x:c r="X51" s="161"/>
      <x:c r="Y51" s="161"/>
      <x:c r="Z51" s="161"/>
    </x:row>
    <x:row r="52">
      <x:c r="A52" s="161"/>
      <x:c r="B52" s="161"/>
      <x:c r="C52" s="161"/>
      <x:c r="D52" s="161"/>
      <x:c r="E52" s="161"/>
      <x:c r="F52" s="161"/>
      <x:c r="G52" s="161"/>
      <x:c r="H52" s="161"/>
      <x:c r="I52" s="161"/>
      <x:c r="J52" s="161"/>
      <x:c r="K52" s="161"/>
      <x:c r="L52" s="161"/>
      <x:c r="M52" s="161"/>
      <x:c r="N52" s="161"/>
      <x:c r="O52" s="161"/>
      <x:c r="P52" s="161"/>
      <x:c r="Q52" s="161"/>
      <x:c r="R52" s="161"/>
      <x:c r="S52" s="161"/>
      <x:c r="T52" s="161"/>
      <x:c r="U52" s="161"/>
      <x:c r="V52" s="161"/>
      <x:c r="W52" s="161"/>
      <x:c r="X52" s="161"/>
      <x:c r="Y52" s="161"/>
      <x:c r="Z52" s="161"/>
    </x:row>
    <x:row r="53">
      <x:c r="A53" s="161"/>
      <x:c r="B53" s="161"/>
      <x:c r="C53" s="161"/>
      <x:c r="D53" s="161"/>
      <x:c r="E53" s="161"/>
      <x:c r="F53" s="161"/>
      <x:c r="G53" s="161"/>
      <x:c r="H53" s="161"/>
      <x:c r="I53" s="161"/>
      <x:c r="J53" s="161"/>
      <x:c r="K53" s="161"/>
      <x:c r="L53" s="161"/>
      <x:c r="M53" s="161"/>
      <x:c r="N53" s="161"/>
      <x:c r="O53" s="161"/>
      <x:c r="P53" s="161"/>
      <x:c r="Q53" s="161"/>
      <x:c r="R53" s="161"/>
      <x:c r="S53" s="161"/>
      <x:c r="T53" s="161"/>
      <x:c r="U53" s="161"/>
      <x:c r="V53" s="161"/>
      <x:c r="W53" s="161"/>
      <x:c r="X53" s="161"/>
      <x:c r="Y53" s="161"/>
      <x:c r="Z53" s="161"/>
    </x:row>
    <x:row r="54">
      <x:c r="A54" s="161"/>
      <x:c r="B54" s="161"/>
      <x:c r="C54" s="161"/>
      <x:c r="D54" s="161"/>
      <x:c r="E54" s="161"/>
      <x:c r="F54" s="161"/>
      <x:c r="G54" s="161"/>
      <x:c r="H54" s="161"/>
      <x:c r="I54" s="161"/>
      <x:c r="J54" s="161"/>
      <x:c r="K54" s="161"/>
      <x:c r="L54" s="161"/>
      <x:c r="M54" s="161"/>
      <x:c r="N54" s="161"/>
      <x:c r="O54" s="161"/>
      <x:c r="P54" s="161"/>
      <x:c r="Q54" s="161"/>
      <x:c r="R54" s="161"/>
      <x:c r="S54" s="161"/>
      <x:c r="T54" s="161"/>
      <x:c r="U54" s="161"/>
      <x:c r="V54" s="161"/>
      <x:c r="W54" s="161"/>
      <x:c r="X54" s="161"/>
      <x:c r="Y54" s="161"/>
      <x:c r="Z54" s="161"/>
    </x:row>
    <x:row r="55">
      <x:c r="A55" s="161"/>
      <x:c r="B55" s="161"/>
      <x:c r="C55" s="161"/>
      <x:c r="D55" s="161"/>
      <x:c r="E55" s="161"/>
      <x:c r="F55" s="161"/>
      <x:c r="G55" s="161"/>
      <x:c r="H55" s="161"/>
      <x:c r="I55" s="161"/>
      <x:c r="J55" s="161"/>
      <x:c r="K55" s="161"/>
      <x:c r="L55" s="161"/>
      <x:c r="M55" s="161"/>
      <x:c r="N55" s="161"/>
      <x:c r="O55" s="161"/>
      <x:c r="P55" s="161"/>
      <x:c r="Q55" s="161"/>
      <x:c r="R55" s="161"/>
      <x:c r="S55" s="161"/>
      <x:c r="T55" s="161"/>
      <x:c r="U55" s="161"/>
      <x:c r="V55" s="161"/>
      <x:c r="W55" s="161"/>
      <x:c r="X55" s="161"/>
      <x:c r="Y55" s="161"/>
      <x:c r="Z55" s="161"/>
    </x:row>
    <x:row r="56">
      <x:c r="A56" s="161"/>
      <x:c r="B56" s="161"/>
      <x:c r="C56" s="161"/>
      <x:c r="D56" s="161"/>
      <x:c r="E56" s="161"/>
      <x:c r="F56" s="161"/>
      <x:c r="G56" s="161"/>
      <x:c r="H56" s="161"/>
      <x:c r="I56" s="161"/>
      <x:c r="J56" s="161"/>
      <x:c r="K56" s="161"/>
      <x:c r="L56" s="161"/>
      <x:c r="M56" s="161"/>
      <x:c r="N56" s="161"/>
      <x:c r="O56" s="161"/>
      <x:c r="P56" s="161"/>
      <x:c r="Q56" s="161"/>
      <x:c r="R56" s="161"/>
      <x:c r="S56" s="161"/>
      <x:c r="T56" s="161"/>
      <x:c r="U56" s="161"/>
      <x:c r="V56" s="161"/>
      <x:c r="W56" s="161"/>
      <x:c r="X56" s="161"/>
      <x:c r="Y56" s="161"/>
      <x:c r="Z56" s="161"/>
    </x:row>
    <x:row r="57">
      <x:c r="A57" s="161"/>
      <x:c r="B57" s="161"/>
      <x:c r="C57" s="161"/>
      <x:c r="D57" s="161"/>
      <x:c r="E57" s="161"/>
      <x:c r="F57" s="161"/>
      <x:c r="G57" s="161"/>
      <x:c r="H57" s="161"/>
      <x:c r="I57" s="161"/>
      <x:c r="J57" s="161"/>
      <x:c r="K57" s="161"/>
      <x:c r="L57" s="161"/>
      <x:c r="M57" s="161"/>
      <x:c r="N57" s="161"/>
      <x:c r="O57" s="161"/>
      <x:c r="P57" s="161"/>
      <x:c r="Q57" s="161"/>
      <x:c r="R57" s="161"/>
      <x:c r="S57" s="161"/>
      <x:c r="T57" s="161"/>
      <x:c r="U57" s="161"/>
      <x:c r="V57" s="161"/>
      <x:c r="W57" s="161"/>
      <x:c r="X57" s="161"/>
      <x:c r="Y57" s="161"/>
      <x:c r="Z57" s="161"/>
    </x:row>
    <x:row r="58">
      <x:c r="A58" s="161"/>
      <x:c r="B58" s="161"/>
      <x:c r="C58" s="161"/>
      <x:c r="D58" s="161"/>
      <x:c r="E58" s="161"/>
      <x:c r="F58" s="161"/>
      <x:c r="G58" s="161"/>
      <x:c r="H58" s="161"/>
      <x:c r="I58" s="161"/>
      <x:c r="J58" s="161"/>
      <x:c r="K58" s="161"/>
      <x:c r="L58" s="161"/>
      <x:c r="M58" s="161"/>
      <x:c r="N58" s="161"/>
      <x:c r="O58" s="161"/>
      <x:c r="P58" s="161"/>
      <x:c r="Q58" s="161"/>
      <x:c r="R58" s="161"/>
      <x:c r="S58" s="161"/>
      <x:c r="T58" s="161"/>
      <x:c r="U58" s="161"/>
      <x:c r="V58" s="161"/>
      <x:c r="W58" s="161"/>
      <x:c r="X58" s="161"/>
      <x:c r="Y58" s="161"/>
      <x:c r="Z58" s="161"/>
    </x:row>
    <x:row r="59">
      <x:c r="A59" s="161"/>
      <x:c r="B59" s="161"/>
      <x:c r="C59" s="161"/>
      <x:c r="D59" s="161"/>
      <x:c r="E59" s="161"/>
      <x:c r="F59" s="161"/>
      <x:c r="G59" s="161"/>
      <x:c r="H59" s="161"/>
      <x:c r="I59" s="161"/>
      <x:c r="J59" s="161"/>
      <x:c r="K59" s="161"/>
      <x:c r="L59" s="161"/>
      <x:c r="M59" s="161"/>
      <x:c r="N59" s="161"/>
      <x:c r="O59" s="161"/>
      <x:c r="P59" s="161"/>
      <x:c r="Q59" s="161"/>
      <x:c r="R59" s="161"/>
      <x:c r="S59" s="161"/>
      <x:c r="T59" s="161"/>
      <x:c r="U59" s="161"/>
      <x:c r="V59" s="161"/>
      <x:c r="W59" s="161"/>
      <x:c r="X59" s="161"/>
      <x:c r="Y59" s="161"/>
      <x:c r="Z59" s="161"/>
    </x:row>
    <x:row r="60">
      <x:c r="A60" s="161"/>
      <x:c r="B60" s="161"/>
      <x:c r="C60" s="161"/>
      <x:c r="D60" s="161"/>
      <x:c r="E60" s="161"/>
      <x:c r="F60" s="161"/>
      <x:c r="G60" s="161"/>
      <x:c r="H60" s="161"/>
      <x:c r="I60" s="161"/>
      <x:c r="J60" s="161"/>
      <x:c r="K60" s="161"/>
      <x:c r="L60" s="161"/>
      <x:c r="M60" s="161"/>
      <x:c r="N60" s="161"/>
      <x:c r="O60" s="161"/>
      <x:c r="P60" s="161"/>
      <x:c r="Q60" s="161"/>
      <x:c r="R60" s="161"/>
      <x:c r="S60" s="161"/>
      <x:c r="T60" s="161"/>
      <x:c r="U60" s="161"/>
      <x:c r="V60" s="161"/>
      <x:c r="W60" s="161"/>
      <x:c r="X60" s="161"/>
      <x:c r="Y60" s="161"/>
      <x:c r="Z60" s="161"/>
    </x:row>
    <x:row r="61">
      <x:c r="A61" s="161"/>
      <x:c r="B61" s="161"/>
      <x:c r="C61" s="161"/>
      <x:c r="D61" s="161"/>
      <x:c r="E61" s="161"/>
      <x:c r="F61" s="161"/>
      <x:c r="G61" s="161"/>
      <x:c r="H61" s="161"/>
      <x:c r="I61" s="161"/>
      <x:c r="J61" s="161"/>
      <x:c r="K61" s="161"/>
      <x:c r="L61" s="161"/>
      <x:c r="M61" s="161"/>
      <x:c r="N61" s="161"/>
      <x:c r="O61" s="161"/>
      <x:c r="P61" s="161"/>
      <x:c r="Q61" s="161"/>
      <x:c r="R61" s="161"/>
      <x:c r="S61" s="161"/>
      <x:c r="T61" s="161"/>
      <x:c r="U61" s="161"/>
      <x:c r="V61" s="161"/>
      <x:c r="W61" s="161"/>
      <x:c r="X61" s="161"/>
      <x:c r="Y61" s="161"/>
      <x:c r="Z61" s="161"/>
    </x:row>
    <x:row r="62">
      <x:c r="A62" s="161"/>
      <x:c r="B62" s="161"/>
      <x:c r="C62" s="161"/>
      <x:c r="D62" s="161"/>
      <x:c r="E62" s="161"/>
      <x:c r="F62" s="161"/>
      <x:c r="G62" s="161"/>
      <x:c r="H62" s="161"/>
      <x:c r="I62" s="161"/>
      <x:c r="J62" s="161"/>
      <x:c r="K62" s="161"/>
      <x:c r="L62" s="161"/>
      <x:c r="M62" s="161"/>
      <x:c r="N62" s="161"/>
      <x:c r="O62" s="161"/>
      <x:c r="P62" s="161"/>
      <x:c r="Q62" s="161"/>
      <x:c r="R62" s="161"/>
      <x:c r="S62" s="161"/>
      <x:c r="T62" s="161"/>
      <x:c r="U62" s="161"/>
      <x:c r="V62" s="161"/>
      <x:c r="W62" s="161"/>
      <x:c r="X62" s="161"/>
      <x:c r="Y62" s="161"/>
      <x:c r="Z62" s="161"/>
    </x:row>
    <x:row r="63">
      <x:c r="A63" s="161"/>
      <x:c r="B63" s="161"/>
      <x:c r="C63" s="161"/>
      <x:c r="D63" s="161"/>
      <x:c r="E63" s="161"/>
      <x:c r="F63" s="161"/>
      <x:c r="G63" s="161"/>
      <x:c r="H63" s="161"/>
      <x:c r="I63" s="161"/>
      <x:c r="J63" s="161"/>
      <x:c r="K63" s="161"/>
      <x:c r="L63" s="161"/>
      <x:c r="M63" s="161"/>
      <x:c r="N63" s="161"/>
      <x:c r="O63" s="161"/>
      <x:c r="P63" s="161"/>
      <x:c r="Q63" s="161"/>
      <x:c r="R63" s="161"/>
      <x:c r="S63" s="161"/>
      <x:c r="T63" s="161"/>
      <x:c r="U63" s="161"/>
      <x:c r="V63" s="161"/>
      <x:c r="W63" s="161"/>
      <x:c r="X63" s="161"/>
      <x:c r="Y63" s="161"/>
      <x:c r="Z63" s="161"/>
    </x:row>
    <x:row r="64">
      <x:c r="A64" s="161"/>
      <x:c r="B64" s="161"/>
      <x:c r="C64" s="161"/>
      <x:c r="D64" s="161"/>
      <x:c r="E64" s="161"/>
      <x:c r="F64" s="161"/>
      <x:c r="G64" s="161"/>
      <x:c r="H64" s="161"/>
      <x:c r="I64" s="161"/>
      <x:c r="J64" s="161"/>
      <x:c r="K64" s="161"/>
      <x:c r="L64" s="161"/>
      <x:c r="M64" s="161"/>
      <x:c r="N64" s="161"/>
      <x:c r="O64" s="161"/>
      <x:c r="P64" s="161"/>
      <x:c r="Q64" s="161"/>
      <x:c r="R64" s="161"/>
      <x:c r="S64" s="161"/>
      <x:c r="T64" s="161"/>
      <x:c r="U64" s="161"/>
      <x:c r="V64" s="161"/>
      <x:c r="W64" s="161"/>
      <x:c r="X64" s="161"/>
      <x:c r="Y64" s="161"/>
      <x:c r="Z64" s="161"/>
    </x:row>
    <x:row r="65">
      <x:c r="A65" s="161"/>
      <x:c r="B65" s="161"/>
      <x:c r="C65" s="161"/>
      <x:c r="D65" s="161"/>
      <x:c r="E65" s="161"/>
      <x:c r="F65" s="161"/>
      <x:c r="G65" s="161"/>
      <x:c r="H65" s="161"/>
      <x:c r="I65" s="161"/>
      <x:c r="J65" s="161"/>
      <x:c r="K65" s="161"/>
      <x:c r="L65" s="161"/>
      <x:c r="M65" s="161"/>
      <x:c r="N65" s="161"/>
      <x:c r="O65" s="161"/>
      <x:c r="P65" s="161"/>
      <x:c r="Q65" s="161"/>
      <x:c r="R65" s="161"/>
      <x:c r="S65" s="161"/>
      <x:c r="T65" s="161"/>
      <x:c r="U65" s="161"/>
      <x:c r="V65" s="161"/>
      <x:c r="W65" s="161"/>
      <x:c r="X65" s="161"/>
      <x:c r="Y65" s="161"/>
      <x:c r="Z65" s="161"/>
    </x:row>
    <x:row r="66">
      <x:c r="A66" s="161"/>
      <x:c r="B66" s="161"/>
      <x:c r="C66" s="161"/>
      <x:c r="D66" s="161"/>
      <x:c r="E66" s="161"/>
      <x:c r="F66" s="161"/>
      <x:c r="G66" s="161"/>
      <x:c r="H66" s="161"/>
      <x:c r="I66" s="161"/>
      <x:c r="J66" s="161"/>
      <x:c r="K66" s="161"/>
      <x:c r="L66" s="161"/>
      <x:c r="M66" s="161"/>
      <x:c r="N66" s="161"/>
      <x:c r="O66" s="161"/>
      <x:c r="P66" s="161"/>
      <x:c r="Q66" s="161"/>
      <x:c r="R66" s="161"/>
      <x:c r="S66" s="161"/>
      <x:c r="T66" s="161"/>
      <x:c r="U66" s="161"/>
      <x:c r="V66" s="161"/>
      <x:c r="W66" s="161"/>
      <x:c r="X66" s="161"/>
      <x:c r="Y66" s="161"/>
      <x:c r="Z66" s="161"/>
    </x:row>
    <x:row r="67">
      <x:c r="A67" s="161"/>
      <x:c r="B67" s="161"/>
      <x:c r="C67" s="161"/>
      <x:c r="D67" s="161"/>
      <x:c r="E67" s="161"/>
      <x:c r="F67" s="161"/>
      <x:c r="G67" s="161"/>
      <x:c r="H67" s="161"/>
      <x:c r="I67" s="161"/>
      <x:c r="J67" s="161"/>
      <x:c r="K67" s="161"/>
      <x:c r="L67" s="161"/>
      <x:c r="M67" s="161"/>
      <x:c r="N67" s="161"/>
      <x:c r="O67" s="161"/>
      <x:c r="P67" s="161"/>
      <x:c r="Q67" s="161"/>
      <x:c r="R67" s="161"/>
      <x:c r="S67" s="161"/>
      <x:c r="T67" s="161"/>
      <x:c r="U67" s="161"/>
      <x:c r="V67" s="161"/>
      <x:c r="W67" s="161"/>
      <x:c r="X67" s="161"/>
      <x:c r="Y67" s="161"/>
      <x:c r="Z67" s="161"/>
    </x:row>
    <x:row r="68">
      <x:c r="A68" s="161"/>
      <x:c r="B68" s="161"/>
      <x:c r="C68" s="161"/>
      <x:c r="D68" s="161"/>
      <x:c r="E68" s="161"/>
      <x:c r="F68" s="161"/>
      <x:c r="G68" s="161"/>
      <x:c r="H68" s="161"/>
      <x:c r="I68" s="161"/>
      <x:c r="J68" s="161"/>
      <x:c r="K68" s="161"/>
      <x:c r="L68" s="161"/>
      <x:c r="M68" s="161"/>
      <x:c r="N68" s="161"/>
      <x:c r="O68" s="161"/>
      <x:c r="P68" s="161"/>
      <x:c r="Q68" s="161"/>
      <x:c r="R68" s="161"/>
      <x:c r="S68" s="161"/>
      <x:c r="T68" s="161"/>
      <x:c r="U68" s="161"/>
      <x:c r="V68" s="161"/>
      <x:c r="W68" s="161"/>
      <x:c r="X68" s="161"/>
      <x:c r="Y68" s="161"/>
      <x:c r="Z68" s="161"/>
    </x:row>
    <x:row r="69">
      <x:c r="A69" s="161"/>
      <x:c r="B69" s="161"/>
      <x:c r="C69" s="161"/>
      <x:c r="D69" s="161"/>
      <x:c r="E69" s="161"/>
      <x:c r="F69" s="161"/>
      <x:c r="G69" s="161"/>
      <x:c r="H69" s="161"/>
      <x:c r="I69" s="161"/>
      <x:c r="J69" s="161"/>
      <x:c r="K69" s="161"/>
      <x:c r="L69" s="161"/>
      <x:c r="M69" s="161"/>
      <x:c r="N69" s="161"/>
      <x:c r="O69" s="161"/>
      <x:c r="P69" s="161"/>
      <x:c r="Q69" s="161"/>
      <x:c r="R69" s="161"/>
      <x:c r="S69" s="161"/>
      <x:c r="T69" s="161"/>
      <x:c r="U69" s="161"/>
      <x:c r="V69" s="161"/>
      <x:c r="W69" s="161"/>
      <x:c r="X69" s="161"/>
      <x:c r="Y69" s="161"/>
      <x:c r="Z69" s="161"/>
    </x:row>
    <x:row r="70">
      <x:c r="A70" s="161"/>
      <x:c r="B70" s="161"/>
      <x:c r="C70" s="161"/>
      <x:c r="D70" s="161"/>
      <x:c r="E70" s="161"/>
      <x:c r="F70" s="161"/>
      <x:c r="G70" s="161"/>
      <x:c r="H70" s="161"/>
      <x:c r="I70" s="161"/>
      <x:c r="J70" s="161"/>
      <x:c r="K70" s="161"/>
      <x:c r="L70" s="161"/>
      <x:c r="M70" s="161"/>
      <x:c r="N70" s="161"/>
      <x:c r="O70" s="161"/>
      <x:c r="P70" s="161"/>
      <x:c r="Q70" s="161"/>
      <x:c r="R70" s="161"/>
      <x:c r="S70" s="161"/>
      <x:c r="T70" s="161"/>
      <x:c r="U70" s="161"/>
      <x:c r="V70" s="161"/>
      <x:c r="W70" s="161"/>
      <x:c r="X70" s="161"/>
      <x:c r="Y70" s="161"/>
      <x:c r="Z70" s="161"/>
    </x:row>
    <x:row r="71">
      <x:c r="A71" s="161"/>
      <x:c r="B71" s="161"/>
      <x:c r="C71" s="161"/>
      <x:c r="D71" s="161"/>
      <x:c r="E71" s="161"/>
      <x:c r="F71" s="161"/>
      <x:c r="G71" s="161"/>
      <x:c r="H71" s="161"/>
      <x:c r="I71" s="161"/>
      <x:c r="J71" s="161"/>
      <x:c r="K71" s="161"/>
      <x:c r="L71" s="161"/>
      <x:c r="M71" s="161"/>
      <x:c r="N71" s="161"/>
      <x:c r="O71" s="161"/>
      <x:c r="P71" s="161"/>
      <x:c r="Q71" s="161"/>
      <x:c r="R71" s="161"/>
      <x:c r="S71" s="161"/>
      <x:c r="T71" s="161"/>
      <x:c r="U71" s="161"/>
      <x:c r="V71" s="161"/>
      <x:c r="W71" s="161"/>
      <x:c r="X71" s="161"/>
      <x:c r="Y71" s="161"/>
      <x:c r="Z71" s="161"/>
    </x:row>
    <x:row r="72">
      <x:c r="A72" s="161"/>
      <x:c r="B72" s="161"/>
      <x:c r="C72" s="161"/>
      <x:c r="D72" s="161"/>
      <x:c r="E72" s="161"/>
      <x:c r="F72" s="161"/>
      <x:c r="G72" s="161"/>
      <x:c r="H72" s="161"/>
      <x:c r="I72" s="161"/>
      <x:c r="J72" s="161"/>
      <x:c r="K72" s="161"/>
      <x:c r="L72" s="161"/>
      <x:c r="M72" s="161"/>
      <x:c r="N72" s="161"/>
      <x:c r="O72" s="161"/>
      <x:c r="P72" s="161"/>
      <x:c r="Q72" s="161"/>
      <x:c r="R72" s="161"/>
      <x:c r="S72" s="161"/>
      <x:c r="T72" s="161"/>
      <x:c r="U72" s="161"/>
      <x:c r="V72" s="161"/>
      <x:c r="W72" s="161"/>
      <x:c r="X72" s="161"/>
      <x:c r="Y72" s="161"/>
      <x:c r="Z72" s="161"/>
    </x:row>
    <x:row r="73">
      <x:c r="A73" s="161"/>
      <x:c r="B73" s="161"/>
      <x:c r="C73" s="161"/>
      <x:c r="D73" s="161"/>
      <x:c r="E73" s="161"/>
      <x:c r="F73" s="161"/>
      <x:c r="G73" s="161"/>
      <x:c r="H73" s="161"/>
      <x:c r="I73" s="161"/>
      <x:c r="J73" s="161"/>
      <x:c r="K73" s="161"/>
      <x:c r="L73" s="161"/>
      <x:c r="M73" s="161"/>
      <x:c r="N73" s="161"/>
      <x:c r="O73" s="161"/>
      <x:c r="P73" s="161"/>
      <x:c r="Q73" s="161"/>
      <x:c r="R73" s="161"/>
      <x:c r="S73" s="161"/>
      <x:c r="T73" s="161"/>
      <x:c r="U73" s="161"/>
      <x:c r="V73" s="161"/>
      <x:c r="W73" s="161"/>
      <x:c r="X73" s="161"/>
      <x:c r="Y73" s="161"/>
      <x:c r="Z73" s="161"/>
    </x:row>
    <x:row r="74">
      <x:c r="A74" s="161"/>
      <x:c r="B74" s="161"/>
      <x:c r="C74" s="161"/>
      <x:c r="D74" s="161"/>
      <x:c r="E74" s="161"/>
      <x:c r="F74" s="161"/>
      <x:c r="G74" s="161"/>
      <x:c r="H74" s="161"/>
      <x:c r="I74" s="161"/>
      <x:c r="J74" s="161"/>
      <x:c r="K74" s="161"/>
      <x:c r="L74" s="161"/>
      <x:c r="M74" s="161"/>
      <x:c r="N74" s="161"/>
      <x:c r="O74" s="161"/>
      <x:c r="P74" s="161"/>
      <x:c r="Q74" s="161"/>
      <x:c r="R74" s="161"/>
      <x:c r="S74" s="161"/>
      <x:c r="T74" s="161"/>
      <x:c r="U74" s="161"/>
      <x:c r="V74" s="161"/>
      <x:c r="W74" s="161"/>
      <x:c r="X74" s="161"/>
      <x:c r="Y74" s="161"/>
      <x:c r="Z74" s="161"/>
    </x:row>
    <x:row r="75">
      <x:c r="A75" s="161"/>
      <x:c r="B75" s="161"/>
      <x:c r="C75" s="161"/>
      <x:c r="D75" s="161"/>
      <x:c r="E75" s="161"/>
      <x:c r="F75" s="161"/>
      <x:c r="G75" s="161"/>
      <x:c r="H75" s="161"/>
      <x:c r="I75" s="161"/>
      <x:c r="J75" s="161"/>
      <x:c r="K75" s="161"/>
      <x:c r="L75" s="161"/>
      <x:c r="M75" s="161"/>
      <x:c r="N75" s="161"/>
      <x:c r="O75" s="161"/>
      <x:c r="P75" s="161"/>
      <x:c r="Q75" s="161"/>
      <x:c r="R75" s="161"/>
      <x:c r="S75" s="161"/>
      <x:c r="T75" s="161"/>
      <x:c r="U75" s="161"/>
      <x:c r="V75" s="161"/>
      <x:c r="W75" s="161"/>
      <x:c r="X75" s="161"/>
      <x:c r="Y75" s="161"/>
      <x:c r="Z75" s="161"/>
    </x:row>
    <x:row r="76">
      <x:c r="A76" s="161"/>
      <x:c r="B76" s="161"/>
      <x:c r="C76" s="161"/>
      <x:c r="D76" s="161"/>
      <x:c r="E76" s="161"/>
      <x:c r="F76" s="161"/>
      <x:c r="G76" s="161"/>
      <x:c r="H76" s="161"/>
      <x:c r="I76" s="161"/>
      <x:c r="J76" s="161"/>
      <x:c r="K76" s="161"/>
      <x:c r="L76" s="161"/>
      <x:c r="M76" s="161"/>
      <x:c r="N76" s="161"/>
      <x:c r="O76" s="161"/>
      <x:c r="P76" s="161"/>
      <x:c r="Q76" s="161"/>
      <x:c r="R76" s="161"/>
      <x:c r="S76" s="161"/>
      <x:c r="T76" s="161"/>
      <x:c r="U76" s="161"/>
      <x:c r="V76" s="161"/>
      <x:c r="W76" s="161"/>
      <x:c r="X76" s="161"/>
      <x:c r="Y76" s="161"/>
      <x:c r="Z76" s="161"/>
    </x:row>
    <x:row r="77">
      <x:c r="A77" s="161"/>
      <x:c r="B77" s="161"/>
      <x:c r="C77" s="161"/>
      <x:c r="D77" s="161"/>
      <x:c r="E77" s="161"/>
      <x:c r="F77" s="161"/>
      <x:c r="G77" s="161"/>
      <x:c r="H77" s="161"/>
      <x:c r="I77" s="161"/>
      <x:c r="J77" s="161"/>
      <x:c r="K77" s="161"/>
      <x:c r="L77" s="161"/>
      <x:c r="M77" s="161"/>
      <x:c r="N77" s="161"/>
      <x:c r="O77" s="161"/>
      <x:c r="P77" s="161"/>
      <x:c r="Q77" s="161"/>
      <x:c r="R77" s="161"/>
      <x:c r="S77" s="161"/>
      <x:c r="T77" s="161"/>
      <x:c r="U77" s="161"/>
      <x:c r="V77" s="161"/>
      <x:c r="W77" s="161"/>
      <x:c r="X77" s="161"/>
      <x:c r="Y77" s="161"/>
      <x:c r="Z77" s="161"/>
    </x:row>
    <x:row r="78">
      <x:c r="A78" s="161"/>
      <x:c r="B78" s="161"/>
      <x:c r="C78" s="161"/>
      <x:c r="D78" s="161"/>
      <x:c r="E78" s="161"/>
      <x:c r="F78" s="161"/>
      <x:c r="G78" s="161"/>
      <x:c r="H78" s="161"/>
      <x:c r="I78" s="161"/>
      <x:c r="J78" s="161"/>
      <x:c r="K78" s="161"/>
      <x:c r="L78" s="161"/>
      <x:c r="M78" s="161"/>
      <x:c r="N78" s="161"/>
      <x:c r="O78" s="161"/>
      <x:c r="P78" s="161"/>
      <x:c r="Q78" s="161"/>
      <x:c r="R78" s="161"/>
      <x:c r="S78" s="161"/>
      <x:c r="T78" s="161"/>
      <x:c r="U78" s="161"/>
      <x:c r="V78" s="161"/>
      <x:c r="W78" s="161"/>
      <x:c r="X78" s="161"/>
      <x:c r="Y78" s="161"/>
      <x:c r="Z78" s="161"/>
    </x:row>
    <x:row r="79">
      <x:c r="A79" s="161"/>
      <x:c r="B79" s="161"/>
      <x:c r="C79" s="161"/>
      <x:c r="D79" s="161"/>
      <x:c r="E79" s="161"/>
      <x:c r="F79" s="161"/>
      <x:c r="G79" s="161"/>
      <x:c r="H79" s="161"/>
      <x:c r="I79" s="161"/>
      <x:c r="J79" s="161"/>
      <x:c r="K79" s="161"/>
      <x:c r="L79" s="161"/>
      <x:c r="M79" s="161"/>
      <x:c r="N79" s="161"/>
      <x:c r="O79" s="161"/>
      <x:c r="P79" s="161"/>
      <x:c r="Q79" s="161"/>
      <x:c r="R79" s="161"/>
      <x:c r="S79" s="161"/>
      <x:c r="T79" s="161"/>
      <x:c r="U79" s="161"/>
      <x:c r="V79" s="161"/>
      <x:c r="W79" s="161"/>
      <x:c r="X79" s="161"/>
      <x:c r="Y79" s="161"/>
      <x:c r="Z79" s="161"/>
    </x:row>
    <x:row r="80">
      <x:c r="A80" s="161"/>
      <x:c r="B80" s="161"/>
      <x:c r="C80" s="161"/>
      <x:c r="D80" s="161"/>
      <x:c r="E80" s="161"/>
      <x:c r="F80" s="161"/>
      <x:c r="G80" s="161"/>
      <x:c r="H80" s="161"/>
      <x:c r="I80" s="161"/>
      <x:c r="J80" s="161"/>
      <x:c r="K80" s="161"/>
      <x:c r="L80" s="161"/>
      <x:c r="M80" s="161"/>
      <x:c r="N80" s="161"/>
      <x:c r="O80" s="161"/>
      <x:c r="P80" s="161"/>
      <x:c r="Q80" s="161"/>
      <x:c r="R80" s="161"/>
      <x:c r="S80" s="161"/>
      <x:c r="T80" s="161"/>
      <x:c r="U80" s="161"/>
      <x:c r="V80" s="161"/>
      <x:c r="W80" s="161"/>
      <x:c r="X80" s="161"/>
      <x:c r="Y80" s="161"/>
      <x:c r="Z80" s="161"/>
    </x:row>
    <x:row r="81">
      <x:c r="A81" s="161"/>
      <x:c r="B81" s="161"/>
      <x:c r="C81" s="161"/>
      <x:c r="D81" s="161"/>
      <x:c r="E81" s="161"/>
      <x:c r="F81" s="161"/>
      <x:c r="G81" s="161"/>
      <x:c r="H81" s="161"/>
      <x:c r="I81" s="161"/>
      <x:c r="J81" s="161"/>
      <x:c r="K81" s="161"/>
      <x:c r="L81" s="161"/>
      <x:c r="M81" s="161"/>
      <x:c r="N81" s="161"/>
      <x:c r="O81" s="161"/>
      <x:c r="P81" s="161"/>
      <x:c r="Q81" s="161"/>
      <x:c r="R81" s="161"/>
      <x:c r="S81" s="161"/>
      <x:c r="T81" s="161"/>
      <x:c r="U81" s="161"/>
      <x:c r="V81" s="161"/>
      <x:c r="W81" s="161"/>
      <x:c r="X81" s="161"/>
      <x:c r="Y81" s="161"/>
      <x:c r="Z81" s="161"/>
    </x:row>
    <x:row r="82">
      <x:c r="A82" s="161"/>
      <x:c r="B82" s="161"/>
      <x:c r="C82" s="161"/>
      <x:c r="D82" s="161"/>
      <x:c r="E82" s="161"/>
      <x:c r="F82" s="161"/>
      <x:c r="G82" s="161"/>
      <x:c r="H82" s="161"/>
      <x:c r="I82" s="161"/>
      <x:c r="J82" s="161"/>
      <x:c r="K82" s="161"/>
      <x:c r="L82" s="161"/>
      <x:c r="M82" s="161"/>
      <x:c r="N82" s="161"/>
      <x:c r="O82" s="161"/>
      <x:c r="P82" s="161"/>
      <x:c r="Q82" s="161"/>
      <x:c r="R82" s="161"/>
      <x:c r="S82" s="161"/>
      <x:c r="T82" s="161"/>
      <x:c r="U82" s="161"/>
      <x:c r="V82" s="161"/>
      <x:c r="W82" s="161"/>
      <x:c r="X82" s="161"/>
      <x:c r="Y82" s="161"/>
      <x:c r="Z82" s="161"/>
    </x:row>
    <x:row r="83">
      <x:c r="A83" s="161"/>
      <x:c r="B83" s="161"/>
      <x:c r="C83" s="161"/>
      <x:c r="D83" s="161"/>
      <x:c r="E83" s="161"/>
      <x:c r="F83" s="161"/>
      <x:c r="G83" s="161"/>
      <x:c r="H83" s="161"/>
      <x:c r="I83" s="161"/>
      <x:c r="J83" s="161"/>
      <x:c r="K83" s="161"/>
      <x:c r="L83" s="161"/>
      <x:c r="M83" s="161"/>
      <x:c r="N83" s="161"/>
      <x:c r="O83" s="161"/>
      <x:c r="P83" s="161"/>
      <x:c r="Q83" s="161"/>
      <x:c r="R83" s="161"/>
      <x:c r="S83" s="161"/>
      <x:c r="T83" s="161"/>
      <x:c r="U83" s="161"/>
      <x:c r="V83" s="161"/>
      <x:c r="W83" s="161"/>
      <x:c r="X83" s="161"/>
      <x:c r="Y83" s="161"/>
      <x:c r="Z83" s="161"/>
    </x:row>
    <x:row r="84">
      <x:c r="A84" s="161"/>
      <x:c r="B84" s="161"/>
      <x:c r="C84" s="161"/>
      <x:c r="D84" s="161"/>
      <x:c r="E84" s="161"/>
      <x:c r="F84" s="161"/>
      <x:c r="G84" s="161"/>
      <x:c r="H84" s="161"/>
      <x:c r="I84" s="161"/>
      <x:c r="J84" s="161"/>
      <x:c r="K84" s="161"/>
      <x:c r="L84" s="161"/>
      <x:c r="M84" s="161"/>
      <x:c r="N84" s="161"/>
      <x:c r="O84" s="161"/>
      <x:c r="P84" s="161"/>
      <x:c r="Q84" s="161"/>
      <x:c r="R84" s="161"/>
      <x:c r="S84" s="161"/>
      <x:c r="T84" s="161"/>
      <x:c r="U84" s="161"/>
      <x:c r="V84" s="161"/>
      <x:c r="W84" s="161"/>
      <x:c r="X84" s="161"/>
      <x:c r="Y84" s="161"/>
      <x:c r="Z84" s="161"/>
    </x:row>
    <x:row r="85">
      <x:c r="A85" s="161"/>
      <x:c r="B85" s="161"/>
      <x:c r="C85" s="161"/>
      <x:c r="D85" s="161"/>
      <x:c r="E85" s="161"/>
      <x:c r="F85" s="161"/>
      <x:c r="G85" s="161"/>
      <x:c r="H85" s="161"/>
      <x:c r="I85" s="161"/>
      <x:c r="J85" s="161"/>
      <x:c r="K85" s="161"/>
      <x:c r="L85" s="161"/>
      <x:c r="M85" s="161"/>
      <x:c r="N85" s="161"/>
      <x:c r="O85" s="161"/>
      <x:c r="P85" s="161"/>
      <x:c r="Q85" s="161"/>
      <x:c r="R85" s="161"/>
      <x:c r="S85" s="161"/>
      <x:c r="T85" s="161"/>
      <x:c r="U85" s="161"/>
      <x:c r="V85" s="161"/>
      <x:c r="W85" s="161"/>
      <x:c r="X85" s="161"/>
      <x:c r="Y85" s="161"/>
      <x:c r="Z85" s="161"/>
    </x:row>
    <x:row r="86">
      <x:c r="A86" s="161"/>
      <x:c r="B86" s="161"/>
      <x:c r="C86" s="161"/>
      <x:c r="D86" s="161"/>
      <x:c r="E86" s="161"/>
      <x:c r="F86" s="161"/>
      <x:c r="G86" s="161"/>
      <x:c r="H86" s="161"/>
      <x:c r="I86" s="161"/>
      <x:c r="J86" s="161"/>
      <x:c r="K86" s="161"/>
      <x:c r="L86" s="161"/>
      <x:c r="M86" s="161"/>
      <x:c r="N86" s="161"/>
      <x:c r="O86" s="161"/>
      <x:c r="P86" s="161"/>
      <x:c r="Q86" s="161"/>
      <x:c r="R86" s="161"/>
      <x:c r="S86" s="161"/>
      <x:c r="T86" s="161"/>
      <x:c r="U86" s="161"/>
      <x:c r="V86" s="161"/>
      <x:c r="W86" s="161"/>
      <x:c r="X86" s="161"/>
      <x:c r="Y86" s="161"/>
      <x:c r="Z86" s="161"/>
    </x:row>
    <x:row r="87">
      <x:c r="A87" s="161"/>
      <x:c r="B87" s="161"/>
      <x:c r="C87" s="161"/>
      <x:c r="D87" s="161"/>
      <x:c r="E87" s="161"/>
      <x:c r="F87" s="161"/>
      <x:c r="G87" s="161"/>
      <x:c r="H87" s="161"/>
      <x:c r="I87" s="161"/>
      <x:c r="J87" s="161"/>
      <x:c r="K87" s="161"/>
      <x:c r="L87" s="161"/>
      <x:c r="M87" s="161"/>
      <x:c r="N87" s="161"/>
      <x:c r="O87" s="161"/>
      <x:c r="P87" s="161"/>
      <x:c r="Q87" s="161"/>
      <x:c r="R87" s="161"/>
      <x:c r="S87" s="161"/>
      <x:c r="T87" s="161"/>
      <x:c r="U87" s="161"/>
      <x:c r="V87" s="161"/>
      <x:c r="W87" s="161"/>
      <x:c r="X87" s="161"/>
      <x:c r="Y87" s="161"/>
      <x:c r="Z87" s="161"/>
    </x:row>
    <x:row r="88">
      <x:c r="A88" s="161"/>
      <x:c r="B88" s="161"/>
      <x:c r="C88" s="161"/>
      <x:c r="D88" s="161"/>
      <x:c r="E88" s="161"/>
      <x:c r="F88" s="161"/>
      <x:c r="G88" s="161"/>
      <x:c r="H88" s="161"/>
      <x:c r="I88" s="161"/>
      <x:c r="J88" s="161"/>
      <x:c r="K88" s="161"/>
      <x:c r="L88" s="161"/>
      <x:c r="M88" s="161"/>
      <x:c r="N88" s="161"/>
      <x:c r="O88" s="161"/>
      <x:c r="P88" s="161"/>
      <x:c r="Q88" s="161"/>
      <x:c r="R88" s="161"/>
      <x:c r="S88" s="161"/>
      <x:c r="T88" s="161"/>
      <x:c r="U88" s="161"/>
      <x:c r="V88" s="161"/>
      <x:c r="W88" s="161"/>
      <x:c r="X88" s="161"/>
      <x:c r="Y88" s="161"/>
      <x:c r="Z88" s="161"/>
    </x:row>
    <x:row r="89">
      <x:c r="A89" s="161"/>
      <x:c r="B89" s="161"/>
      <x:c r="C89" s="161"/>
      <x:c r="D89" s="161"/>
      <x:c r="E89" s="161"/>
      <x:c r="F89" s="161"/>
      <x:c r="G89" s="161"/>
      <x:c r="H89" s="161"/>
      <x:c r="I89" s="161"/>
      <x:c r="J89" s="161"/>
      <x:c r="K89" s="161"/>
      <x:c r="L89" s="161"/>
      <x:c r="M89" s="161"/>
      <x:c r="N89" s="161"/>
      <x:c r="O89" s="161"/>
      <x:c r="P89" s="161"/>
      <x:c r="Q89" s="161"/>
      <x:c r="R89" s="161"/>
      <x:c r="S89" s="161"/>
      <x:c r="T89" s="161"/>
      <x:c r="U89" s="161"/>
      <x:c r="V89" s="161"/>
      <x:c r="W89" s="161"/>
      <x:c r="X89" s="161"/>
      <x:c r="Y89" s="161"/>
      <x:c r="Z89" s="161"/>
    </x:row>
    <x:row r="90">
      <x:c r="A90" s="161"/>
      <x:c r="B90" s="161"/>
      <x:c r="C90" s="161"/>
      <x:c r="D90" s="161"/>
      <x:c r="E90" s="161"/>
      <x:c r="F90" s="161"/>
      <x:c r="G90" s="161"/>
      <x:c r="H90" s="161"/>
      <x:c r="I90" s="161"/>
      <x:c r="J90" s="161"/>
      <x:c r="K90" s="161"/>
      <x:c r="L90" s="161"/>
      <x:c r="M90" s="161"/>
      <x:c r="N90" s="161"/>
      <x:c r="O90" s="161"/>
      <x:c r="P90" s="161"/>
      <x:c r="Q90" s="161"/>
      <x:c r="R90" s="161"/>
      <x:c r="S90" s="161"/>
      <x:c r="T90" s="161"/>
      <x:c r="U90" s="161"/>
      <x:c r="V90" s="161"/>
      <x:c r="W90" s="161"/>
      <x:c r="X90" s="161"/>
      <x:c r="Y90" s="161"/>
      <x:c r="Z90" s="161"/>
    </x:row>
    <x:row r="91">
      <x:c r="A91" s="161"/>
      <x:c r="B91" s="161"/>
      <x:c r="C91" s="161"/>
      <x:c r="D91" s="161"/>
      <x:c r="E91" s="161"/>
      <x:c r="F91" s="161"/>
      <x:c r="G91" s="161"/>
      <x:c r="H91" s="161"/>
      <x:c r="I91" s="161"/>
      <x:c r="J91" s="161"/>
      <x:c r="K91" s="161"/>
      <x:c r="L91" s="161"/>
      <x:c r="M91" s="161"/>
      <x:c r="N91" s="161"/>
      <x:c r="O91" s="161"/>
      <x:c r="P91" s="161"/>
      <x:c r="Q91" s="161"/>
      <x:c r="R91" s="161"/>
      <x:c r="S91" s="161"/>
      <x:c r="T91" s="161"/>
      <x:c r="U91" s="161"/>
      <x:c r="V91" s="161"/>
      <x:c r="W91" s="161"/>
      <x:c r="X91" s="161"/>
      <x:c r="Y91" s="161"/>
      <x:c r="Z91" s="161"/>
    </x:row>
    <x:row r="92">
      <x:c r="A92" s="161"/>
      <x:c r="B92" s="161"/>
      <x:c r="C92" s="161"/>
      <x:c r="D92" s="161"/>
      <x:c r="E92" s="161"/>
      <x:c r="F92" s="161"/>
      <x:c r="G92" s="161"/>
      <x:c r="H92" s="161"/>
      <x:c r="I92" s="161"/>
      <x:c r="J92" s="161"/>
      <x:c r="K92" s="161"/>
      <x:c r="L92" s="161"/>
      <x:c r="M92" s="161"/>
      <x:c r="N92" s="161"/>
      <x:c r="O92" s="161"/>
      <x:c r="P92" s="161"/>
      <x:c r="Q92" s="161"/>
      <x:c r="R92" s="161"/>
      <x:c r="S92" s="161"/>
      <x:c r="T92" s="161"/>
      <x:c r="U92" s="161"/>
      <x:c r="V92" s="161"/>
      <x:c r="W92" s="161"/>
      <x:c r="X92" s="161"/>
      <x:c r="Y92" s="161"/>
      <x:c r="Z92" s="161"/>
    </x:row>
    <x:row r="93">
      <x:c r="A93" s="161"/>
      <x:c r="B93" s="161"/>
      <x:c r="C93" s="161"/>
      <x:c r="D93" s="161"/>
      <x:c r="E93" s="161"/>
      <x:c r="F93" s="161"/>
      <x:c r="G93" s="161"/>
      <x:c r="H93" s="161"/>
      <x:c r="I93" s="161"/>
      <x:c r="J93" s="161"/>
      <x:c r="K93" s="161"/>
      <x:c r="L93" s="161"/>
      <x:c r="M93" s="161"/>
      <x:c r="N93" s="161"/>
      <x:c r="O93" s="161"/>
      <x:c r="P93" s="161"/>
      <x:c r="Q93" s="161"/>
      <x:c r="R93" s="161"/>
      <x:c r="S93" s="161"/>
      <x:c r="T93" s="161"/>
      <x:c r="U93" s="161"/>
      <x:c r="V93" s="161"/>
      <x:c r="W93" s="161"/>
      <x:c r="X93" s="161"/>
      <x:c r="Y93" s="161"/>
      <x:c r="Z93" s="161"/>
    </x:row>
    <x:row r="94">
      <x:c r="A94" s="161"/>
      <x:c r="B94" s="161"/>
      <x:c r="C94" s="161"/>
      <x:c r="D94" s="161"/>
      <x:c r="E94" s="161"/>
      <x:c r="F94" s="161"/>
      <x:c r="G94" s="161"/>
      <x:c r="H94" s="161"/>
      <x:c r="I94" s="161"/>
      <x:c r="J94" s="161"/>
      <x:c r="K94" s="161"/>
      <x:c r="L94" s="161"/>
      <x:c r="M94" s="161"/>
      <x:c r="N94" s="161"/>
      <x:c r="O94" s="161"/>
      <x:c r="P94" s="161"/>
      <x:c r="Q94" s="161"/>
      <x:c r="R94" s="161"/>
      <x:c r="S94" s="161"/>
      <x:c r="T94" s="161"/>
      <x:c r="U94" s="161"/>
      <x:c r="V94" s="161"/>
      <x:c r="W94" s="161"/>
      <x:c r="X94" s="161"/>
      <x:c r="Y94" s="161"/>
      <x:c r="Z94" s="161"/>
    </x:row>
    <x:row r="95">
      <x:c r="A95" s="161"/>
      <x:c r="B95" s="161"/>
      <x:c r="C95" s="161"/>
      <x:c r="D95" s="161"/>
      <x:c r="E95" s="161"/>
      <x:c r="F95" s="161"/>
      <x:c r="G95" s="161"/>
      <x:c r="H95" s="161"/>
      <x:c r="I95" s="161"/>
      <x:c r="J95" s="161"/>
      <x:c r="K95" s="161"/>
      <x:c r="L95" s="161"/>
      <x:c r="M95" s="161"/>
      <x:c r="N95" s="161"/>
      <x:c r="O95" s="161"/>
      <x:c r="P95" s="161"/>
      <x:c r="Q95" s="161"/>
      <x:c r="R95" s="161"/>
      <x:c r="S95" s="161"/>
      <x:c r="T95" s="161"/>
      <x:c r="U95" s="161"/>
      <x:c r="V95" s="161"/>
      <x:c r="W95" s="161"/>
      <x:c r="X95" s="161"/>
      <x:c r="Y95" s="161"/>
      <x:c r="Z95" s="161"/>
    </x:row>
    <x:row r="96">
      <x:c r="A96" s="161"/>
      <x:c r="B96" s="161"/>
      <x:c r="C96" s="161"/>
      <x:c r="D96" s="161"/>
      <x:c r="E96" s="161"/>
      <x:c r="F96" s="161"/>
      <x:c r="G96" s="161"/>
      <x:c r="H96" s="161"/>
      <x:c r="I96" s="161"/>
      <x:c r="J96" s="161"/>
      <x:c r="K96" s="161"/>
      <x:c r="L96" s="161"/>
      <x:c r="M96" s="161"/>
      <x:c r="N96" s="161"/>
      <x:c r="O96" s="161"/>
      <x:c r="P96" s="161"/>
      <x:c r="Q96" s="161"/>
      <x:c r="R96" s="161"/>
      <x:c r="S96" s="161"/>
      <x:c r="T96" s="161"/>
      <x:c r="U96" s="161"/>
      <x:c r="V96" s="161"/>
      <x:c r="W96" s="161"/>
      <x:c r="X96" s="161"/>
      <x:c r="Y96" s="161"/>
      <x:c r="Z96" s="161"/>
    </x:row>
    <x:row r="97">
      <x:c r="A97" s="161"/>
      <x:c r="B97" s="161"/>
      <x:c r="C97" s="161"/>
      <x:c r="D97" s="161"/>
      <x:c r="E97" s="161"/>
      <x:c r="F97" s="161"/>
      <x:c r="G97" s="161"/>
      <x:c r="H97" s="161"/>
      <x:c r="I97" s="161"/>
      <x:c r="J97" s="161"/>
      <x:c r="K97" s="161"/>
      <x:c r="L97" s="161"/>
      <x:c r="M97" s="161"/>
      <x:c r="N97" s="161"/>
      <x:c r="O97" s="161"/>
      <x:c r="P97" s="161"/>
      <x:c r="Q97" s="161"/>
      <x:c r="R97" s="161"/>
      <x:c r="S97" s="161"/>
      <x:c r="T97" s="161"/>
      <x:c r="U97" s="161"/>
      <x:c r="V97" s="161"/>
      <x:c r="W97" s="161"/>
      <x:c r="X97" s="161"/>
      <x:c r="Y97" s="161"/>
      <x:c r="Z97" s="161"/>
    </x:row>
    <x:row r="98">
      <x:c r="A98" s="161"/>
      <x:c r="B98" s="161"/>
      <x:c r="C98" s="161"/>
      <x:c r="D98" s="161"/>
      <x:c r="E98" s="161"/>
      <x:c r="F98" s="161"/>
      <x:c r="G98" s="161"/>
      <x:c r="H98" s="161"/>
      <x:c r="I98" s="161"/>
      <x:c r="J98" s="161"/>
      <x:c r="K98" s="161"/>
      <x:c r="L98" s="161"/>
      <x:c r="M98" s="161"/>
      <x:c r="N98" s="161"/>
      <x:c r="O98" s="161"/>
      <x:c r="P98" s="161"/>
      <x:c r="Q98" s="161"/>
      <x:c r="R98" s="161"/>
      <x:c r="S98" s="161"/>
      <x:c r="T98" s="161"/>
      <x:c r="U98" s="161"/>
      <x:c r="V98" s="161"/>
      <x:c r="W98" s="161"/>
      <x:c r="X98" s="161"/>
      <x:c r="Y98" s="161"/>
      <x:c r="Z98" s="161"/>
    </x:row>
    <x:row r="99">
      <x:c r="A99" s="161"/>
      <x:c r="B99" s="161"/>
      <x:c r="C99" s="161"/>
      <x:c r="D99" s="161"/>
      <x:c r="E99" s="161"/>
      <x:c r="F99" s="161"/>
      <x:c r="G99" s="161"/>
      <x:c r="H99" s="161"/>
      <x:c r="I99" s="161"/>
      <x:c r="J99" s="161"/>
      <x:c r="K99" s="161"/>
      <x:c r="L99" s="161"/>
      <x:c r="M99" s="161"/>
      <x:c r="N99" s="161"/>
      <x:c r="O99" s="161"/>
      <x:c r="P99" s="161"/>
      <x:c r="Q99" s="161"/>
      <x:c r="R99" s="161"/>
      <x:c r="S99" s="161"/>
      <x:c r="T99" s="161"/>
      <x:c r="U99" s="161"/>
      <x:c r="V99" s="161"/>
      <x:c r="W99" s="161"/>
      <x:c r="X99" s="161"/>
      <x:c r="Y99" s="161"/>
      <x:c r="Z99" s="161"/>
    </x:row>
    <x:row r="100">
      <x:c r="A100" s="161"/>
      <x:c r="B100" s="161"/>
      <x:c r="C100" s="161"/>
      <x:c r="D100" s="161"/>
      <x:c r="E100" s="161"/>
      <x:c r="F100" s="161"/>
      <x:c r="G100" s="161"/>
      <x:c r="H100" s="161"/>
      <x:c r="I100" s="161"/>
      <x:c r="J100" s="161"/>
      <x:c r="K100" s="161"/>
      <x:c r="L100" s="161"/>
      <x:c r="M100" s="161"/>
      <x:c r="N100" s="161"/>
      <x:c r="O100" s="161"/>
      <x:c r="P100" s="161"/>
      <x:c r="Q100" s="161"/>
      <x:c r="R100" s="161"/>
      <x:c r="S100" s="161"/>
      <x:c r="T100" s="161"/>
      <x:c r="U100" s="161"/>
      <x:c r="V100" s="161"/>
      <x:c r="W100" s="161"/>
      <x:c r="X100" s="161"/>
      <x:c r="Y100" s="161"/>
      <x:c r="Z100" s="161"/>
    </x:row>
    <x:row r="101">
      <x:c r="A101" s="161"/>
      <x:c r="B101" s="161"/>
      <x:c r="C101" s="161"/>
      <x:c r="D101" s="161"/>
      <x:c r="E101" s="161"/>
      <x:c r="F101" s="161"/>
      <x:c r="G101" s="161"/>
      <x:c r="H101" s="161"/>
      <x:c r="I101" s="161"/>
      <x:c r="J101" s="161"/>
      <x:c r="K101" s="161"/>
      <x:c r="L101" s="161"/>
      <x:c r="M101" s="161"/>
      <x:c r="N101" s="161"/>
      <x:c r="O101" s="161"/>
      <x:c r="P101" s="161"/>
      <x:c r="Q101" s="161"/>
      <x:c r="R101" s="161"/>
      <x:c r="S101" s="161"/>
      <x:c r="T101" s="161"/>
      <x:c r="U101" s="161"/>
      <x:c r="V101" s="161"/>
      <x:c r="W101" s="161"/>
      <x:c r="X101" s="161"/>
      <x:c r="Y101" s="161"/>
      <x:c r="Z101" s="161"/>
    </x:row>
    <x:row r="102">
      <x:c r="A102" s="161"/>
      <x:c r="B102" s="161"/>
      <x:c r="C102" s="161"/>
      <x:c r="D102" s="161"/>
      <x:c r="E102" s="161"/>
      <x:c r="F102" s="161"/>
      <x:c r="G102" s="161"/>
      <x:c r="H102" s="161"/>
      <x:c r="I102" s="161"/>
      <x:c r="J102" s="161"/>
      <x:c r="K102" s="161"/>
      <x:c r="L102" s="161"/>
      <x:c r="M102" s="161"/>
      <x:c r="N102" s="161"/>
      <x:c r="O102" s="161"/>
      <x:c r="P102" s="161"/>
      <x:c r="Q102" s="161"/>
      <x:c r="R102" s="161"/>
      <x:c r="S102" s="161"/>
      <x:c r="T102" s="161"/>
      <x:c r="U102" s="161"/>
      <x:c r="V102" s="161"/>
      <x:c r="W102" s="161"/>
      <x:c r="X102" s="161"/>
      <x:c r="Y102" s="161"/>
      <x:c r="Z102" s="161"/>
    </x:row>
    <x:row r="103">
      <x:c r="A103" s="161"/>
      <x:c r="B103" s="161"/>
      <x:c r="C103" s="161"/>
      <x:c r="D103" s="161"/>
      <x:c r="E103" s="161"/>
      <x:c r="F103" s="161"/>
      <x:c r="G103" s="161"/>
      <x:c r="H103" s="161"/>
      <x:c r="I103" s="161"/>
      <x:c r="J103" s="161"/>
      <x:c r="K103" s="161"/>
      <x:c r="L103" s="161"/>
      <x:c r="M103" s="161"/>
      <x:c r="N103" s="161"/>
      <x:c r="O103" s="161"/>
      <x:c r="P103" s="161"/>
      <x:c r="Q103" s="161"/>
      <x:c r="R103" s="161"/>
      <x:c r="S103" s="161"/>
      <x:c r="T103" s="161"/>
      <x:c r="U103" s="161"/>
      <x:c r="V103" s="161"/>
      <x:c r="W103" s="161"/>
      <x:c r="X103" s="161"/>
      <x:c r="Y103" s="161"/>
      <x:c r="Z103" s="161"/>
    </x:row>
    <x:row r="104">
      <x:c r="A104" s="161"/>
      <x:c r="B104" s="161"/>
      <x:c r="C104" s="161"/>
      <x:c r="D104" s="161"/>
      <x:c r="E104" s="161"/>
      <x:c r="F104" s="161"/>
      <x:c r="G104" s="161"/>
      <x:c r="H104" s="161"/>
      <x:c r="I104" s="161"/>
      <x:c r="J104" s="161"/>
      <x:c r="K104" s="161"/>
      <x:c r="L104" s="161"/>
      <x:c r="M104" s="161"/>
      <x:c r="N104" s="161"/>
      <x:c r="O104" s="161"/>
      <x:c r="P104" s="161"/>
      <x:c r="Q104" s="161"/>
      <x:c r="R104" s="161"/>
      <x:c r="S104" s="161"/>
      <x:c r="T104" s="161"/>
      <x:c r="U104" s="161"/>
      <x:c r="V104" s="161"/>
      <x:c r="W104" s="161"/>
      <x:c r="X104" s="161"/>
      <x:c r="Y104" s="161"/>
      <x:c r="Z104" s="161"/>
    </x:row>
    <x:row r="105">
      <x:c r="A105" s="161"/>
      <x:c r="B105" s="161"/>
      <x:c r="C105" s="161"/>
      <x:c r="D105" s="161"/>
      <x:c r="E105" s="161"/>
      <x:c r="F105" s="161"/>
      <x:c r="G105" s="161"/>
      <x:c r="H105" s="161"/>
      <x:c r="I105" s="161"/>
      <x:c r="J105" s="161"/>
      <x:c r="K105" s="161"/>
      <x:c r="L105" s="161"/>
      <x:c r="M105" s="161"/>
      <x:c r="N105" s="161"/>
      <x:c r="O105" s="161"/>
      <x:c r="P105" s="161"/>
      <x:c r="Q105" s="161"/>
      <x:c r="R105" s="161"/>
      <x:c r="S105" s="161"/>
      <x:c r="T105" s="161"/>
      <x:c r="U105" s="161"/>
      <x:c r="V105" s="161"/>
      <x:c r="W105" s="161"/>
      <x:c r="X105" s="161"/>
      <x:c r="Y105" s="161"/>
      <x:c r="Z105" s="161"/>
    </x:row>
    <x:row r="106">
      <x:c r="A106" s="161"/>
      <x:c r="B106" s="161"/>
      <x:c r="C106" s="161"/>
      <x:c r="D106" s="161"/>
      <x:c r="E106" s="161"/>
      <x:c r="F106" s="161"/>
      <x:c r="G106" s="161"/>
      <x:c r="H106" s="161"/>
      <x:c r="I106" s="161"/>
      <x:c r="J106" s="161"/>
      <x:c r="K106" s="161"/>
      <x:c r="L106" s="161"/>
      <x:c r="M106" s="161"/>
      <x:c r="N106" s="161"/>
      <x:c r="O106" s="161"/>
      <x:c r="P106" s="161"/>
      <x:c r="Q106" s="161"/>
      <x:c r="R106" s="161"/>
      <x:c r="S106" s="161"/>
      <x:c r="T106" s="161"/>
      <x:c r="U106" s="161"/>
      <x:c r="V106" s="161"/>
      <x:c r="W106" s="161"/>
      <x:c r="X106" s="161"/>
      <x:c r="Y106" s="161"/>
      <x:c r="Z106" s="161"/>
    </x:row>
    <x:row r="107">
      <x:c r="A107" s="161"/>
      <x:c r="B107" s="161"/>
      <x:c r="C107" s="161"/>
      <x:c r="D107" s="161"/>
      <x:c r="E107" s="161"/>
      <x:c r="F107" s="161"/>
      <x:c r="G107" s="161"/>
      <x:c r="H107" s="161"/>
      <x:c r="I107" s="161"/>
      <x:c r="J107" s="161"/>
      <x:c r="K107" s="161"/>
      <x:c r="L107" s="161"/>
      <x:c r="M107" s="161"/>
      <x:c r="N107" s="161"/>
      <x:c r="O107" s="161"/>
      <x:c r="P107" s="161"/>
      <x:c r="Q107" s="161"/>
      <x:c r="R107" s="161"/>
      <x:c r="S107" s="161"/>
      <x:c r="T107" s="161"/>
      <x:c r="U107" s="161"/>
      <x:c r="V107" s="161"/>
      <x:c r="W107" s="161"/>
      <x:c r="X107" s="161"/>
      <x:c r="Y107" s="161"/>
      <x:c r="Z107" s="161"/>
    </x:row>
    <x:row r="108">
      <x:c r="A108" s="161"/>
      <x:c r="B108" s="161"/>
      <x:c r="C108" s="161"/>
      <x:c r="D108" s="161"/>
      <x:c r="E108" s="161"/>
      <x:c r="F108" s="161"/>
      <x:c r="G108" s="161"/>
      <x:c r="H108" s="161"/>
      <x:c r="I108" s="161"/>
      <x:c r="J108" s="161"/>
      <x:c r="K108" s="161"/>
      <x:c r="L108" s="161"/>
      <x:c r="M108" s="161"/>
      <x:c r="N108" s="161"/>
      <x:c r="O108" s="161"/>
      <x:c r="P108" s="161"/>
      <x:c r="Q108" s="161"/>
      <x:c r="R108" s="161"/>
      <x:c r="S108" s="161"/>
      <x:c r="T108" s="161"/>
      <x:c r="U108" s="161"/>
      <x:c r="V108" s="161"/>
      <x:c r="W108" s="161"/>
      <x:c r="X108" s="161"/>
      <x:c r="Y108" s="161"/>
      <x:c r="Z108" s="161"/>
    </x:row>
    <x:row r="109">
      <x:c r="A109" s="161"/>
      <x:c r="B109" s="161"/>
      <x:c r="C109" s="161"/>
      <x:c r="D109" s="161"/>
      <x:c r="E109" s="161"/>
      <x:c r="F109" s="161"/>
      <x:c r="G109" s="161"/>
      <x:c r="H109" s="161"/>
      <x:c r="I109" s="161"/>
      <x:c r="J109" s="161"/>
      <x:c r="K109" s="161"/>
      <x:c r="L109" s="161"/>
      <x:c r="M109" s="161"/>
      <x:c r="N109" s="161"/>
      <x:c r="O109" s="161"/>
      <x:c r="P109" s="161"/>
      <x:c r="Q109" s="161"/>
      <x:c r="R109" s="161"/>
      <x:c r="S109" s="161"/>
      <x:c r="T109" s="161"/>
      <x:c r="U109" s="161"/>
      <x:c r="V109" s="161"/>
      <x:c r="W109" s="161"/>
      <x:c r="X109" s="161"/>
      <x:c r="Y109" s="161"/>
      <x:c r="Z109" s="161"/>
    </x:row>
    <x:row r="110">
      <x:c r="A110" s="161"/>
      <x:c r="B110" s="161"/>
      <x:c r="C110" s="161"/>
      <x:c r="D110" s="161"/>
      <x:c r="E110" s="161"/>
      <x:c r="F110" s="161"/>
      <x:c r="G110" s="161"/>
      <x:c r="H110" s="161"/>
      <x:c r="I110" s="161"/>
      <x:c r="J110" s="161"/>
      <x:c r="K110" s="161"/>
      <x:c r="L110" s="161"/>
      <x:c r="M110" s="161"/>
      <x:c r="N110" s="161"/>
      <x:c r="O110" s="161"/>
      <x:c r="P110" s="161"/>
      <x:c r="Q110" s="161"/>
      <x:c r="R110" s="161"/>
      <x:c r="S110" s="161"/>
      <x:c r="T110" s="161"/>
      <x:c r="U110" s="161"/>
      <x:c r="V110" s="161"/>
      <x:c r="W110" s="161"/>
      <x:c r="X110" s="161"/>
      <x:c r="Y110" s="161"/>
      <x:c r="Z110" s="161"/>
    </x:row>
    <x:row r="111">
      <x:c r="A111" s="161"/>
      <x:c r="B111" s="161"/>
      <x:c r="C111" s="161"/>
      <x:c r="D111" s="161"/>
      <x:c r="E111" s="161"/>
      <x:c r="F111" s="161"/>
      <x:c r="G111" s="161"/>
      <x:c r="H111" s="161"/>
      <x:c r="I111" s="161"/>
      <x:c r="J111" s="161"/>
      <x:c r="K111" s="161"/>
      <x:c r="L111" s="161"/>
      <x:c r="M111" s="161"/>
      <x:c r="N111" s="161"/>
      <x:c r="O111" s="161"/>
      <x:c r="P111" s="161"/>
      <x:c r="Q111" s="161"/>
      <x:c r="R111" s="161"/>
      <x:c r="S111" s="161"/>
      <x:c r="T111" s="161"/>
      <x:c r="U111" s="161"/>
      <x:c r="V111" s="161"/>
      <x:c r="W111" s="161"/>
      <x:c r="X111" s="161"/>
      <x:c r="Y111" s="161"/>
      <x:c r="Z111" s="161"/>
    </x:row>
    <x:row r="112">
      <x:c r="A112" s="161"/>
      <x:c r="B112" s="161"/>
      <x:c r="C112" s="161"/>
      <x:c r="D112" s="161"/>
      <x:c r="E112" s="161"/>
      <x:c r="F112" s="161"/>
      <x:c r="G112" s="161"/>
      <x:c r="H112" s="161"/>
      <x:c r="I112" s="161"/>
      <x:c r="J112" s="161"/>
      <x:c r="K112" s="161"/>
      <x:c r="L112" s="161"/>
      <x:c r="M112" s="161"/>
      <x:c r="N112" s="161"/>
      <x:c r="O112" s="161"/>
      <x:c r="P112" s="161"/>
      <x:c r="Q112" s="161"/>
      <x:c r="R112" s="161"/>
      <x:c r="S112" s="161"/>
      <x:c r="T112" s="161"/>
      <x:c r="U112" s="161"/>
      <x:c r="V112" s="161"/>
      <x:c r="W112" s="161"/>
      <x:c r="X112" s="161"/>
      <x:c r="Y112" s="161"/>
      <x:c r="Z112" s="161"/>
    </x:row>
    <x:row r="113">
      <x:c r="A113" s="161"/>
      <x:c r="B113" s="161"/>
      <x:c r="C113" s="161"/>
      <x:c r="D113" s="161"/>
      <x:c r="E113" s="161"/>
      <x:c r="F113" s="161"/>
      <x:c r="G113" s="161"/>
      <x:c r="H113" s="161"/>
      <x:c r="I113" s="161"/>
      <x:c r="J113" s="161"/>
      <x:c r="K113" s="161"/>
      <x:c r="L113" s="161"/>
      <x:c r="M113" s="161"/>
      <x:c r="N113" s="161"/>
      <x:c r="O113" s="161"/>
      <x:c r="P113" s="161"/>
      <x:c r="Q113" s="161"/>
      <x:c r="R113" s="161"/>
      <x:c r="S113" s="161"/>
      <x:c r="T113" s="161"/>
      <x:c r="U113" s="161"/>
      <x:c r="V113" s="161"/>
      <x:c r="W113" s="161"/>
      <x:c r="X113" s="161"/>
      <x:c r="Y113" s="161"/>
      <x:c r="Z113" s="161"/>
    </x:row>
    <x:row r="114">
      <x:c r="A114" s="161"/>
      <x:c r="B114" s="161"/>
      <x:c r="C114" s="161"/>
      <x:c r="D114" s="161"/>
      <x:c r="E114" s="161"/>
      <x:c r="F114" s="161"/>
      <x:c r="G114" s="161"/>
      <x:c r="H114" s="161"/>
      <x:c r="I114" s="161"/>
      <x:c r="J114" s="161"/>
      <x:c r="K114" s="161"/>
      <x:c r="L114" s="161"/>
      <x:c r="M114" s="161"/>
      <x:c r="N114" s="161"/>
      <x:c r="O114" s="161"/>
      <x:c r="P114" s="161"/>
      <x:c r="Q114" s="161"/>
      <x:c r="R114" s="161"/>
      <x:c r="S114" s="161"/>
      <x:c r="T114" s="161"/>
      <x:c r="U114" s="161"/>
      <x:c r="V114" s="161"/>
      <x:c r="W114" s="161"/>
      <x:c r="X114" s="161"/>
      <x:c r="Y114" s="161"/>
      <x:c r="Z114" s="161"/>
    </x:row>
    <x:row r="115">
      <x:c r="A115" s="161"/>
      <x:c r="B115" s="161"/>
      <x:c r="C115" s="161"/>
      <x:c r="D115" s="161"/>
      <x:c r="E115" s="161"/>
      <x:c r="F115" s="161"/>
      <x:c r="G115" s="161"/>
      <x:c r="H115" s="161"/>
      <x:c r="I115" s="161"/>
      <x:c r="J115" s="161"/>
      <x:c r="K115" s="161"/>
      <x:c r="L115" s="161"/>
      <x:c r="M115" s="161"/>
      <x:c r="N115" s="161"/>
      <x:c r="O115" s="161"/>
      <x:c r="P115" s="161"/>
      <x:c r="Q115" s="161"/>
      <x:c r="R115" s="161"/>
      <x:c r="S115" s="161"/>
      <x:c r="T115" s="161"/>
      <x:c r="U115" s="161"/>
      <x:c r="V115" s="161"/>
      <x:c r="W115" s="161"/>
      <x:c r="X115" s="161"/>
      <x:c r="Y115" s="161"/>
      <x:c r="Z115" s="161"/>
    </x:row>
    <x:row r="116">
      <x:c r="A116" s="161"/>
      <x:c r="B116" s="161"/>
      <x:c r="C116" s="161"/>
      <x:c r="D116" s="161"/>
      <x:c r="E116" s="161"/>
      <x:c r="F116" s="161"/>
      <x:c r="G116" s="161"/>
      <x:c r="H116" s="161"/>
      <x:c r="I116" s="161"/>
      <x:c r="J116" s="161"/>
      <x:c r="K116" s="161"/>
      <x:c r="L116" s="161"/>
      <x:c r="M116" s="161"/>
      <x:c r="N116" s="161"/>
      <x:c r="O116" s="161"/>
      <x:c r="P116" s="161"/>
      <x:c r="Q116" s="161"/>
      <x:c r="R116" s="161"/>
      <x:c r="S116" s="161"/>
      <x:c r="T116" s="161"/>
      <x:c r="U116" s="161"/>
      <x:c r="V116" s="161"/>
      <x:c r="W116" s="161"/>
      <x:c r="X116" s="161"/>
      <x:c r="Y116" s="161"/>
      <x:c r="Z116" s="161"/>
    </x:row>
    <x:row r="117">
      <x:c r="A117" s="161"/>
      <x:c r="B117" s="161"/>
      <x:c r="C117" s="161"/>
      <x:c r="D117" s="161"/>
      <x:c r="E117" s="161"/>
      <x:c r="F117" s="161"/>
      <x:c r="G117" s="161"/>
      <x:c r="H117" s="161"/>
      <x:c r="I117" s="161"/>
      <x:c r="J117" s="161"/>
      <x:c r="K117" s="161"/>
      <x:c r="L117" s="161"/>
      <x:c r="M117" s="161"/>
      <x:c r="N117" s="161"/>
      <x:c r="O117" s="161"/>
      <x:c r="P117" s="161"/>
      <x:c r="Q117" s="161"/>
      <x:c r="R117" s="161"/>
      <x:c r="S117" s="161"/>
      <x:c r="T117" s="161"/>
      <x:c r="U117" s="161"/>
      <x:c r="V117" s="161"/>
      <x:c r="W117" s="161"/>
      <x:c r="X117" s="161"/>
      <x:c r="Y117" s="161"/>
      <x:c r="Z117" s="161"/>
    </x:row>
    <x:row r="118">
      <x:c r="A118" s="161"/>
      <x:c r="B118" s="161"/>
      <x:c r="C118" s="161"/>
      <x:c r="D118" s="161"/>
      <x:c r="E118" s="161"/>
      <x:c r="F118" s="161"/>
      <x:c r="G118" s="161"/>
      <x:c r="H118" s="161"/>
      <x:c r="I118" s="161"/>
      <x:c r="J118" s="161"/>
      <x:c r="K118" s="161"/>
      <x:c r="L118" s="161"/>
      <x:c r="M118" s="161"/>
      <x:c r="N118" s="161"/>
      <x:c r="O118" s="161"/>
      <x:c r="P118" s="161"/>
      <x:c r="Q118" s="161"/>
      <x:c r="R118" s="161"/>
      <x:c r="S118" s="161"/>
      <x:c r="T118" s="161"/>
      <x:c r="U118" s="161"/>
      <x:c r="V118" s="161"/>
      <x:c r="W118" s="161"/>
      <x:c r="X118" s="161"/>
      <x:c r="Y118" s="161"/>
      <x:c r="Z118" s="161"/>
    </x:row>
    <x:row r="119">
      <x:c r="A119" s="161"/>
      <x:c r="B119" s="161"/>
      <x:c r="C119" s="161"/>
      <x:c r="D119" s="161"/>
      <x:c r="E119" s="161"/>
      <x:c r="F119" s="161"/>
      <x:c r="G119" s="161"/>
      <x:c r="H119" s="161"/>
      <x:c r="I119" s="161"/>
      <x:c r="J119" s="161"/>
      <x:c r="K119" s="161"/>
      <x:c r="L119" s="161"/>
      <x:c r="M119" s="161"/>
      <x:c r="N119" s="161"/>
      <x:c r="O119" s="161"/>
      <x:c r="P119" s="161"/>
      <x:c r="Q119" s="161"/>
      <x:c r="R119" s="161"/>
      <x:c r="S119" s="161"/>
      <x:c r="T119" s="161"/>
      <x:c r="U119" s="161"/>
      <x:c r="V119" s="161"/>
      <x:c r="W119" s="161"/>
      <x:c r="X119" s="161"/>
      <x:c r="Y119" s="161"/>
      <x:c r="Z119" s="161"/>
    </x:row>
    <x:row r="120">
      <x:c r="A120" s="161"/>
      <x:c r="B120" s="161"/>
      <x:c r="C120" s="161"/>
      <x:c r="D120" s="161"/>
      <x:c r="E120" s="161"/>
      <x:c r="F120" s="161"/>
      <x:c r="G120" s="161"/>
      <x:c r="H120" s="161"/>
      <x:c r="I120" s="161"/>
      <x:c r="J120" s="161"/>
      <x:c r="K120" s="161"/>
      <x:c r="L120" s="161"/>
      <x:c r="M120" s="161"/>
      <x:c r="N120" s="161"/>
      <x:c r="O120" s="161"/>
      <x:c r="P120" s="161"/>
      <x:c r="Q120" s="161"/>
      <x:c r="R120" s="161"/>
      <x:c r="S120" s="161"/>
      <x:c r="T120" s="161"/>
      <x:c r="U120" s="161"/>
      <x:c r="V120" s="161"/>
      <x:c r="W120" s="161"/>
      <x:c r="X120" s="161"/>
      <x:c r="Y120" s="161"/>
      <x:c r="Z120" s="161"/>
    </x:row>
    <x:row r="121">
      <x:c r="A121" s="161"/>
      <x:c r="B121" s="161"/>
      <x:c r="C121" s="161"/>
      <x:c r="D121" s="161"/>
      <x:c r="E121" s="161"/>
      <x:c r="F121" s="161"/>
      <x:c r="G121" s="161"/>
      <x:c r="H121" s="161"/>
      <x:c r="I121" s="161"/>
      <x:c r="J121" s="161"/>
      <x:c r="K121" s="161"/>
      <x:c r="L121" s="161"/>
      <x:c r="M121" s="161"/>
      <x:c r="N121" s="161"/>
      <x:c r="O121" s="161"/>
      <x:c r="P121" s="161"/>
      <x:c r="Q121" s="161"/>
      <x:c r="R121" s="161"/>
      <x:c r="S121" s="161"/>
      <x:c r="T121" s="161"/>
      <x:c r="U121" s="161"/>
      <x:c r="V121" s="161"/>
      <x:c r="W121" s="161"/>
      <x:c r="X121" s="161"/>
      <x:c r="Y121" s="161"/>
      <x:c r="Z121" s="161"/>
    </x:row>
    <x:row r="122">
      <x:c r="A122" s="161"/>
      <x:c r="B122" s="161"/>
      <x:c r="C122" s="161"/>
      <x:c r="D122" s="161"/>
      <x:c r="E122" s="161"/>
      <x:c r="F122" s="161"/>
      <x:c r="G122" s="161"/>
      <x:c r="H122" s="161"/>
      <x:c r="I122" s="161"/>
      <x:c r="J122" s="161"/>
      <x:c r="K122" s="161"/>
      <x:c r="L122" s="161"/>
      <x:c r="M122" s="161"/>
      <x:c r="N122" s="161"/>
      <x:c r="O122" s="161"/>
      <x:c r="P122" s="161"/>
      <x:c r="Q122" s="161"/>
      <x:c r="R122" s="161"/>
      <x:c r="S122" s="161"/>
      <x:c r="T122" s="161"/>
      <x:c r="U122" s="161"/>
      <x:c r="V122" s="161"/>
      <x:c r="W122" s="161"/>
      <x:c r="X122" s="161"/>
      <x:c r="Y122" s="161"/>
      <x:c r="Z122" s="161"/>
    </x:row>
    <x:row r="123">
      <x:c r="A123" s="161"/>
      <x:c r="B123" s="161"/>
      <x:c r="C123" s="161"/>
      <x:c r="D123" s="161"/>
      <x:c r="E123" s="161"/>
      <x:c r="F123" s="161"/>
      <x:c r="G123" s="161"/>
      <x:c r="H123" s="161"/>
      <x:c r="I123" s="161"/>
      <x:c r="J123" s="161"/>
      <x:c r="K123" s="161"/>
      <x:c r="L123" s="161"/>
      <x:c r="M123" s="161"/>
      <x:c r="N123" s="161"/>
      <x:c r="O123" s="161"/>
      <x:c r="P123" s="161"/>
      <x:c r="Q123" s="161"/>
      <x:c r="R123" s="161"/>
      <x:c r="S123" s="161"/>
      <x:c r="T123" s="161"/>
      <x:c r="U123" s="161"/>
      <x:c r="V123" s="161"/>
      <x:c r="W123" s="161"/>
      <x:c r="X123" s="161"/>
      <x:c r="Y123" s="161"/>
      <x:c r="Z123" s="161"/>
    </x:row>
    <x:row r="124">
      <x:c r="A124" s="161"/>
      <x:c r="B124" s="161"/>
      <x:c r="C124" s="161"/>
      <x:c r="D124" s="161"/>
      <x:c r="E124" s="161"/>
      <x:c r="F124" s="161"/>
      <x:c r="G124" s="161"/>
      <x:c r="H124" s="161"/>
      <x:c r="I124" s="161"/>
      <x:c r="J124" s="161"/>
      <x:c r="K124" s="161"/>
      <x:c r="L124" s="161"/>
      <x:c r="M124" s="161"/>
      <x:c r="N124" s="161"/>
      <x:c r="O124" s="161"/>
      <x:c r="P124" s="161"/>
      <x:c r="Q124" s="161"/>
      <x:c r="R124" s="161"/>
      <x:c r="S124" s="161"/>
      <x:c r="T124" s="161"/>
      <x:c r="U124" s="161"/>
      <x:c r="V124" s="161"/>
      <x:c r="W124" s="161"/>
      <x:c r="X124" s="161"/>
      <x:c r="Y124" s="161"/>
      <x:c r="Z124" s="161"/>
    </x:row>
    <x:row r="125">
      <x:c r="A125" s="161"/>
      <x:c r="B125" s="161"/>
      <x:c r="C125" s="161"/>
      <x:c r="D125" s="161"/>
      <x:c r="E125" s="161"/>
      <x:c r="F125" s="161"/>
      <x:c r="G125" s="161"/>
      <x:c r="H125" s="161"/>
      <x:c r="I125" s="161"/>
      <x:c r="J125" s="161"/>
      <x:c r="K125" s="161"/>
      <x:c r="L125" s="161"/>
      <x:c r="M125" s="161"/>
      <x:c r="N125" s="161"/>
      <x:c r="O125" s="161"/>
      <x:c r="P125" s="161"/>
      <x:c r="Q125" s="161"/>
      <x:c r="R125" s="161"/>
      <x:c r="S125" s="161"/>
      <x:c r="T125" s="161"/>
      <x:c r="U125" s="161"/>
      <x:c r="V125" s="161"/>
      <x:c r="W125" s="161"/>
      <x:c r="X125" s="161"/>
      <x:c r="Y125" s="161"/>
      <x:c r="Z125" s="161"/>
    </x:row>
    <x:row r="126">
      <x:c r="A126" s="161"/>
      <x:c r="B126" s="161"/>
      <x:c r="C126" s="161"/>
      <x:c r="D126" s="161"/>
      <x:c r="E126" s="161"/>
      <x:c r="F126" s="161"/>
      <x:c r="G126" s="161"/>
      <x:c r="H126" s="161"/>
      <x:c r="I126" s="161"/>
      <x:c r="J126" s="161"/>
      <x:c r="K126" s="161"/>
      <x:c r="L126" s="161"/>
      <x:c r="M126" s="161"/>
      <x:c r="N126" s="161"/>
      <x:c r="O126" s="161"/>
      <x:c r="P126" s="161"/>
      <x:c r="Q126" s="161"/>
      <x:c r="R126" s="161"/>
      <x:c r="S126" s="161"/>
      <x:c r="T126" s="161"/>
      <x:c r="U126" s="161"/>
      <x:c r="V126" s="161"/>
      <x:c r="W126" s="161"/>
      <x:c r="X126" s="161"/>
      <x:c r="Y126" s="161"/>
      <x:c r="Z126" s="161"/>
    </x:row>
    <x:row r="127">
      <x:c r="A127" s="161"/>
      <x:c r="B127" s="161"/>
      <x:c r="C127" s="161"/>
      <x:c r="D127" s="161"/>
      <x:c r="E127" s="161"/>
      <x:c r="F127" s="161"/>
      <x:c r="G127" s="161"/>
      <x:c r="H127" s="161"/>
      <x:c r="I127" s="161"/>
      <x:c r="J127" s="161"/>
      <x:c r="K127" s="161"/>
      <x:c r="L127" s="161"/>
      <x:c r="M127" s="161"/>
      <x:c r="N127" s="161"/>
      <x:c r="O127" s="161"/>
      <x:c r="P127" s="161"/>
      <x:c r="Q127" s="161"/>
      <x:c r="R127" s="161"/>
      <x:c r="S127" s="161"/>
      <x:c r="T127" s="161"/>
      <x:c r="U127" s="161"/>
      <x:c r="V127" s="161"/>
      <x:c r="W127" s="161"/>
      <x:c r="X127" s="161"/>
      <x:c r="Y127" s="161"/>
      <x:c r="Z127" s="161"/>
    </x:row>
    <x:row r="128">
      <x:c r="A128" s="161"/>
      <x:c r="B128" s="161"/>
      <x:c r="C128" s="161"/>
      <x:c r="D128" s="161"/>
      <x:c r="E128" s="161"/>
      <x:c r="F128" s="161"/>
      <x:c r="G128" s="161"/>
      <x:c r="H128" s="161"/>
      <x:c r="I128" s="161"/>
      <x:c r="J128" s="161"/>
      <x:c r="K128" s="161"/>
      <x:c r="L128" s="161"/>
      <x:c r="M128" s="161"/>
      <x:c r="N128" s="161"/>
      <x:c r="O128" s="161"/>
      <x:c r="P128" s="161"/>
      <x:c r="Q128" s="161"/>
      <x:c r="R128" s="161"/>
      <x:c r="S128" s="161"/>
      <x:c r="T128" s="161"/>
      <x:c r="U128" s="161"/>
      <x:c r="V128" s="161"/>
      <x:c r="W128" s="161"/>
      <x:c r="X128" s="161"/>
      <x:c r="Y128" s="161"/>
      <x:c r="Z128" s="161"/>
    </x:row>
    <x:row r="129">
      <x:c r="A129" s="161"/>
      <x:c r="B129" s="161"/>
      <x:c r="C129" s="161"/>
      <x:c r="D129" s="161"/>
      <x:c r="E129" s="161"/>
      <x:c r="F129" s="161"/>
      <x:c r="G129" s="161"/>
      <x:c r="H129" s="161"/>
      <x:c r="I129" s="161"/>
      <x:c r="J129" s="161"/>
      <x:c r="K129" s="161"/>
      <x:c r="L129" s="161"/>
      <x:c r="M129" s="161"/>
      <x:c r="N129" s="161"/>
      <x:c r="O129" s="161"/>
      <x:c r="P129" s="161"/>
      <x:c r="Q129" s="161"/>
      <x:c r="R129" s="161"/>
      <x:c r="S129" s="161"/>
      <x:c r="T129" s="161"/>
      <x:c r="U129" s="161"/>
      <x:c r="V129" s="161"/>
      <x:c r="W129" s="161"/>
      <x:c r="X129" s="161"/>
      <x:c r="Y129" s="161"/>
      <x:c r="Z129" s="161"/>
    </x:row>
    <x:row r="130">
      <x:c r="A130" s="161"/>
      <x:c r="B130" s="161"/>
      <x:c r="C130" s="161"/>
      <x:c r="D130" s="161"/>
      <x:c r="E130" s="161"/>
      <x:c r="F130" s="161"/>
      <x:c r="G130" s="161"/>
      <x:c r="H130" s="161"/>
      <x:c r="I130" s="161"/>
      <x:c r="J130" s="161"/>
      <x:c r="K130" s="161"/>
      <x:c r="L130" s="161"/>
      <x:c r="M130" s="161"/>
      <x:c r="N130" s="161"/>
      <x:c r="O130" s="161"/>
      <x:c r="P130" s="161"/>
      <x:c r="Q130" s="161"/>
      <x:c r="R130" s="161"/>
      <x:c r="S130" s="161"/>
      <x:c r="T130" s="161"/>
      <x:c r="U130" s="161"/>
      <x:c r="V130" s="161"/>
      <x:c r="W130" s="161"/>
      <x:c r="X130" s="161"/>
      <x:c r="Y130" s="161"/>
      <x:c r="Z130" s="161"/>
    </x:row>
    <x:row r="131">
      <x:c r="A131" s="161"/>
      <x:c r="B131" s="161"/>
      <x:c r="C131" s="161"/>
      <x:c r="D131" s="161"/>
      <x:c r="E131" s="161"/>
      <x:c r="F131" s="161"/>
      <x:c r="G131" s="161"/>
      <x:c r="H131" s="161"/>
      <x:c r="I131" s="161"/>
      <x:c r="J131" s="161"/>
      <x:c r="K131" s="161"/>
      <x:c r="L131" s="161"/>
      <x:c r="M131" s="161"/>
      <x:c r="N131" s="161"/>
      <x:c r="O131" s="161"/>
      <x:c r="P131" s="161"/>
      <x:c r="Q131" s="161"/>
      <x:c r="R131" s="161"/>
      <x:c r="S131" s="161"/>
      <x:c r="T131" s="161"/>
      <x:c r="U131" s="161"/>
      <x:c r="V131" s="161"/>
      <x:c r="W131" s="161"/>
      <x:c r="X131" s="161"/>
      <x:c r="Y131" s="161"/>
      <x:c r="Z131" s="161"/>
    </x:row>
    <x:row r="132">
      <x:c r="A132" s="161"/>
      <x:c r="B132" s="161"/>
      <x:c r="C132" s="161"/>
      <x:c r="D132" s="161"/>
      <x:c r="E132" s="161"/>
      <x:c r="F132" s="161"/>
      <x:c r="G132" s="161"/>
      <x:c r="H132" s="161"/>
      <x:c r="I132" s="161"/>
      <x:c r="J132" s="161"/>
      <x:c r="K132" s="161"/>
      <x:c r="L132" s="161"/>
      <x:c r="M132" s="161"/>
      <x:c r="N132" s="161"/>
      <x:c r="O132" s="161"/>
      <x:c r="P132" s="161"/>
      <x:c r="Q132" s="161"/>
      <x:c r="R132" s="161"/>
      <x:c r="S132" s="161"/>
      <x:c r="T132" s="161"/>
      <x:c r="U132" s="161"/>
      <x:c r="V132" s="161"/>
      <x:c r="W132" s="161"/>
      <x:c r="X132" s="161"/>
      <x:c r="Y132" s="161"/>
      <x:c r="Z132" s="161"/>
    </x:row>
    <x:row r="133">
      <x:c r="A133" s="161"/>
      <x:c r="B133" s="161"/>
      <x:c r="C133" s="161"/>
      <x:c r="D133" s="161"/>
      <x:c r="E133" s="161"/>
      <x:c r="F133" s="161"/>
      <x:c r="G133" s="161"/>
      <x:c r="H133" s="161"/>
      <x:c r="I133" s="161"/>
      <x:c r="J133" s="161"/>
      <x:c r="K133" s="161"/>
      <x:c r="L133" s="161"/>
      <x:c r="M133" s="161"/>
      <x:c r="N133" s="161"/>
      <x:c r="O133" s="161"/>
      <x:c r="P133" s="161"/>
      <x:c r="Q133" s="161"/>
      <x:c r="R133" s="161"/>
      <x:c r="S133" s="161"/>
      <x:c r="T133" s="161"/>
      <x:c r="U133" s="161"/>
      <x:c r="V133" s="161"/>
      <x:c r="W133" s="161"/>
      <x:c r="X133" s="161"/>
      <x:c r="Y133" s="161"/>
      <x:c r="Z133" s="161"/>
    </x:row>
    <x:row r="134">
      <x:c r="A134" s="161"/>
      <x:c r="B134" s="161"/>
      <x:c r="C134" s="161"/>
      <x:c r="D134" s="161"/>
      <x:c r="E134" s="161"/>
      <x:c r="F134" s="161"/>
      <x:c r="G134" s="161"/>
      <x:c r="H134" s="161"/>
      <x:c r="I134" s="161"/>
      <x:c r="J134" s="161"/>
      <x:c r="K134" s="161"/>
      <x:c r="L134" s="161"/>
      <x:c r="M134" s="161"/>
      <x:c r="N134" s="161"/>
      <x:c r="O134" s="161"/>
      <x:c r="P134" s="161"/>
      <x:c r="Q134" s="161"/>
      <x:c r="R134" s="161"/>
      <x:c r="S134" s="161"/>
      <x:c r="T134" s="161"/>
      <x:c r="U134" s="161"/>
      <x:c r="V134" s="161"/>
      <x:c r="W134" s="161"/>
      <x:c r="X134" s="161"/>
      <x:c r="Y134" s="161"/>
      <x:c r="Z134" s="161"/>
    </x:row>
    <x:row r="135">
      <x:c r="A135" s="161"/>
      <x:c r="B135" s="161"/>
      <x:c r="C135" s="161"/>
      <x:c r="D135" s="161"/>
      <x:c r="E135" s="161"/>
      <x:c r="F135" s="161"/>
      <x:c r="G135" s="161"/>
      <x:c r="H135" s="161"/>
      <x:c r="I135" s="161"/>
      <x:c r="J135" s="161"/>
      <x:c r="K135" s="161"/>
      <x:c r="L135" s="161"/>
      <x:c r="M135" s="161"/>
      <x:c r="N135" s="161"/>
      <x:c r="O135" s="161"/>
      <x:c r="P135" s="161"/>
      <x:c r="Q135" s="161"/>
      <x:c r="R135" s="161"/>
      <x:c r="S135" s="161"/>
      <x:c r="T135" s="161"/>
      <x:c r="U135" s="161"/>
      <x:c r="V135" s="161"/>
      <x:c r="W135" s="161"/>
      <x:c r="X135" s="161"/>
      <x:c r="Y135" s="161"/>
      <x:c r="Z135" s="161"/>
    </x:row>
    <x:row r="136">
      <x:c r="A136" s="161"/>
      <x:c r="B136" s="161"/>
      <x:c r="C136" s="161"/>
      <x:c r="D136" s="161"/>
      <x:c r="E136" s="161"/>
      <x:c r="F136" s="161"/>
      <x:c r="G136" s="161"/>
      <x:c r="H136" s="161"/>
      <x:c r="I136" s="161"/>
      <x:c r="J136" s="161"/>
      <x:c r="K136" s="161"/>
      <x:c r="L136" s="161"/>
      <x:c r="M136" s="161"/>
      <x:c r="N136" s="161"/>
      <x:c r="O136" s="161"/>
      <x:c r="P136" s="161"/>
      <x:c r="Q136" s="161"/>
      <x:c r="R136" s="161"/>
      <x:c r="S136" s="161"/>
      <x:c r="T136" s="161"/>
      <x:c r="U136" s="161"/>
      <x:c r="V136" s="161"/>
      <x:c r="W136" s="161"/>
      <x:c r="X136" s="161"/>
      <x:c r="Y136" s="161"/>
      <x:c r="Z136" s="161"/>
    </x:row>
    <x:row r="137">
      <x:c r="A137" s="161"/>
      <x:c r="B137" s="161"/>
      <x:c r="C137" s="161"/>
      <x:c r="D137" s="161"/>
      <x:c r="E137" s="161"/>
      <x:c r="F137" s="161"/>
      <x:c r="G137" s="161"/>
      <x:c r="H137" s="161"/>
      <x:c r="I137" s="161"/>
      <x:c r="J137" s="161"/>
      <x:c r="K137" s="161"/>
      <x:c r="L137" s="161"/>
      <x:c r="M137" s="161"/>
      <x:c r="N137" s="161"/>
      <x:c r="O137" s="161"/>
      <x:c r="P137" s="161"/>
      <x:c r="Q137" s="161"/>
      <x:c r="R137" s="161"/>
      <x:c r="S137" s="161"/>
      <x:c r="T137" s="161"/>
      <x:c r="U137" s="161"/>
      <x:c r="V137" s="161"/>
      <x:c r="W137" s="161"/>
      <x:c r="X137" s="161"/>
      <x:c r="Y137" s="161"/>
      <x:c r="Z137" s="161"/>
    </x:row>
    <x:row r="138">
      <x:c r="A138" s="161"/>
      <x:c r="B138" s="161"/>
      <x:c r="C138" s="161"/>
      <x:c r="D138" s="161"/>
      <x:c r="E138" s="161"/>
      <x:c r="F138" s="161"/>
      <x:c r="G138" s="161"/>
      <x:c r="H138" s="161"/>
      <x:c r="I138" s="161"/>
      <x:c r="J138" s="161"/>
      <x:c r="K138" s="161"/>
      <x:c r="L138" s="161"/>
      <x:c r="M138" s="161"/>
      <x:c r="N138" s="161"/>
      <x:c r="O138" s="161"/>
      <x:c r="P138" s="161"/>
      <x:c r="Q138" s="161"/>
      <x:c r="R138" s="161"/>
      <x:c r="S138" s="161"/>
      <x:c r="T138" s="161"/>
      <x:c r="U138" s="161"/>
      <x:c r="V138" s="161"/>
      <x:c r="W138" s="161"/>
      <x:c r="X138" s="161"/>
      <x:c r="Y138" s="161"/>
      <x:c r="Z138" s="161"/>
    </x:row>
    <x:row r="139">
      <x:c r="A139" s="161"/>
      <x:c r="B139" s="161"/>
      <x:c r="C139" s="161"/>
      <x:c r="D139" s="161"/>
      <x:c r="E139" s="161"/>
      <x:c r="F139" s="161"/>
      <x:c r="G139" s="161"/>
      <x:c r="H139" s="161"/>
      <x:c r="I139" s="161"/>
      <x:c r="J139" s="161"/>
      <x:c r="K139" s="161"/>
      <x:c r="L139" s="161"/>
      <x:c r="M139" s="161"/>
      <x:c r="N139" s="161"/>
      <x:c r="O139" s="161"/>
      <x:c r="P139" s="161"/>
      <x:c r="Q139" s="161"/>
      <x:c r="R139" s="161"/>
      <x:c r="S139" s="161"/>
      <x:c r="T139" s="161"/>
      <x:c r="U139" s="161"/>
      <x:c r="V139" s="161"/>
      <x:c r="W139" s="161"/>
      <x:c r="X139" s="161"/>
      <x:c r="Y139" s="161"/>
      <x:c r="Z139" s="161"/>
    </x:row>
    <x:row r="140">
      <x:c r="A140" s="161"/>
      <x:c r="B140" s="161"/>
      <x:c r="C140" s="161"/>
      <x:c r="D140" s="161"/>
      <x:c r="E140" s="161"/>
      <x:c r="F140" s="161"/>
      <x:c r="G140" s="161"/>
      <x:c r="H140" s="161"/>
      <x:c r="I140" s="161"/>
      <x:c r="J140" s="161"/>
      <x:c r="K140" s="161"/>
      <x:c r="L140" s="161"/>
      <x:c r="M140" s="161"/>
      <x:c r="N140" s="161"/>
      <x:c r="O140" s="161"/>
      <x:c r="P140" s="161"/>
      <x:c r="Q140" s="161"/>
      <x:c r="R140" s="161"/>
      <x:c r="S140" s="161"/>
      <x:c r="T140" s="161"/>
      <x:c r="U140" s="161"/>
      <x:c r="V140" s="161"/>
      <x:c r="W140" s="161"/>
      <x:c r="X140" s="161"/>
      <x:c r="Y140" s="161"/>
      <x:c r="Z140" s="161"/>
    </x:row>
    <x:row r="141">
      <x:c r="A141" s="161"/>
      <x:c r="B141" s="161"/>
      <x:c r="C141" s="161"/>
      <x:c r="D141" s="161"/>
      <x:c r="E141" s="161"/>
      <x:c r="F141" s="161"/>
      <x:c r="G141" s="161"/>
      <x:c r="H141" s="161"/>
      <x:c r="I141" s="161"/>
      <x:c r="J141" s="161"/>
      <x:c r="K141" s="161"/>
      <x:c r="L141" s="161"/>
      <x:c r="M141" s="161"/>
      <x:c r="N141" s="161"/>
      <x:c r="O141" s="161"/>
      <x:c r="P141" s="161"/>
      <x:c r="Q141" s="161"/>
      <x:c r="R141" s="161"/>
      <x:c r="S141" s="161"/>
      <x:c r="T141" s="161"/>
      <x:c r="U141" s="161"/>
      <x:c r="V141" s="161"/>
      <x:c r="W141" s="161"/>
      <x:c r="X141" s="161"/>
      <x:c r="Y141" s="161"/>
      <x:c r="Z141" s="161"/>
    </x:row>
    <x:row r="142">
      <x:c r="A142" s="161"/>
      <x:c r="B142" s="161"/>
      <x:c r="C142" s="161"/>
      <x:c r="D142" s="161"/>
      <x:c r="E142" s="161"/>
      <x:c r="F142" s="161"/>
      <x:c r="G142" s="161"/>
      <x:c r="H142" s="161"/>
      <x:c r="I142" s="161"/>
      <x:c r="J142" s="161"/>
      <x:c r="K142" s="161"/>
      <x:c r="L142" s="161"/>
      <x:c r="M142" s="161"/>
      <x:c r="N142" s="161"/>
      <x:c r="O142" s="161"/>
      <x:c r="P142" s="161"/>
      <x:c r="Q142" s="161"/>
      <x:c r="R142" s="161"/>
      <x:c r="S142" s="161"/>
      <x:c r="T142" s="161"/>
      <x:c r="U142" s="161"/>
      <x:c r="V142" s="161"/>
      <x:c r="W142" s="161"/>
      <x:c r="X142" s="161"/>
      <x:c r="Y142" s="161"/>
      <x:c r="Z142" s="161"/>
    </x:row>
    <x:row r="143">
      <x:c r="A143" s="161"/>
      <x:c r="B143" s="161"/>
      <x:c r="C143" s="161"/>
      <x:c r="D143" s="161"/>
      <x:c r="E143" s="161"/>
      <x:c r="F143" s="161"/>
      <x:c r="G143" s="161"/>
      <x:c r="H143" s="161"/>
      <x:c r="I143" s="161"/>
      <x:c r="J143" s="161"/>
      <x:c r="K143" s="161"/>
      <x:c r="L143" s="161"/>
      <x:c r="M143" s="161"/>
      <x:c r="N143" s="161"/>
      <x:c r="O143" s="161"/>
      <x:c r="P143" s="161"/>
      <x:c r="Q143" s="161"/>
      <x:c r="R143" s="161"/>
      <x:c r="S143" s="161"/>
      <x:c r="T143" s="161"/>
      <x:c r="U143" s="161"/>
      <x:c r="V143" s="161"/>
      <x:c r="W143" s="161"/>
      <x:c r="X143" s="161"/>
      <x:c r="Y143" s="161"/>
      <x:c r="Z143" s="161"/>
    </x:row>
    <x:row r="144">
      <x:c r="A144" s="161"/>
      <x:c r="B144" s="161"/>
      <x:c r="C144" s="161"/>
      <x:c r="D144" s="161"/>
      <x:c r="E144" s="161"/>
      <x:c r="F144" s="161"/>
      <x:c r="G144" s="161"/>
      <x:c r="H144" s="161"/>
      <x:c r="I144" s="161"/>
      <x:c r="J144" s="161"/>
      <x:c r="K144" s="161"/>
      <x:c r="L144" s="161"/>
      <x:c r="M144" s="161"/>
      <x:c r="N144" s="161"/>
      <x:c r="O144" s="161"/>
      <x:c r="P144" s="161"/>
      <x:c r="Q144" s="161"/>
      <x:c r="R144" s="161"/>
      <x:c r="S144" s="161"/>
      <x:c r="T144" s="161"/>
      <x:c r="U144" s="161"/>
      <x:c r="V144" s="161"/>
      <x:c r="W144" s="161"/>
      <x:c r="X144" s="161"/>
      <x:c r="Y144" s="161"/>
      <x:c r="Z144" s="161"/>
    </x:row>
    <x:row r="145">
      <x:c r="A145" s="161"/>
      <x:c r="B145" s="161"/>
      <x:c r="C145" s="161"/>
      <x:c r="D145" s="161"/>
      <x:c r="E145" s="161"/>
      <x:c r="F145" s="161"/>
      <x:c r="G145" s="161"/>
      <x:c r="H145" s="161"/>
      <x:c r="I145" s="161"/>
      <x:c r="J145" s="161"/>
      <x:c r="K145" s="161"/>
      <x:c r="L145" s="161"/>
      <x:c r="M145" s="161"/>
      <x:c r="N145" s="161"/>
      <x:c r="O145" s="161"/>
      <x:c r="P145" s="161"/>
      <x:c r="Q145" s="161"/>
      <x:c r="R145" s="161"/>
      <x:c r="S145" s="161"/>
      <x:c r="T145" s="161"/>
      <x:c r="U145" s="161"/>
      <x:c r="V145" s="161"/>
      <x:c r="W145" s="161"/>
      <x:c r="X145" s="161"/>
      <x:c r="Y145" s="161"/>
      <x:c r="Z145" s="161"/>
    </x:row>
    <x:row r="146">
      <x:c r="A146" s="161"/>
      <x:c r="B146" s="161"/>
      <x:c r="C146" s="161"/>
      <x:c r="D146" s="161"/>
      <x:c r="E146" s="161"/>
      <x:c r="F146" s="161"/>
      <x:c r="G146" s="161"/>
      <x:c r="H146" s="161"/>
      <x:c r="I146" s="161"/>
      <x:c r="J146" s="161"/>
      <x:c r="K146" s="161"/>
      <x:c r="L146" s="161"/>
      <x:c r="M146" s="161"/>
      <x:c r="N146" s="161"/>
      <x:c r="O146" s="161"/>
      <x:c r="P146" s="161"/>
      <x:c r="Q146" s="161"/>
      <x:c r="R146" s="161"/>
      <x:c r="S146" s="161"/>
      <x:c r="T146" s="161"/>
      <x:c r="U146" s="161"/>
      <x:c r="V146" s="161"/>
      <x:c r="W146" s="161"/>
      <x:c r="X146" s="161"/>
      <x:c r="Y146" s="161"/>
      <x:c r="Z146" s="161"/>
    </x:row>
    <x:row r="147">
      <x:c r="A147" s="161"/>
      <x:c r="B147" s="161"/>
      <x:c r="C147" s="161"/>
      <x:c r="D147" s="161"/>
      <x:c r="E147" s="161"/>
      <x:c r="F147" s="161"/>
      <x:c r="G147" s="161"/>
      <x:c r="H147" s="161"/>
      <x:c r="I147" s="161"/>
      <x:c r="J147" s="161"/>
      <x:c r="K147" s="161"/>
      <x:c r="L147" s="161"/>
      <x:c r="M147" s="161"/>
      <x:c r="N147" s="161"/>
      <x:c r="O147" s="161"/>
      <x:c r="P147" s="161"/>
      <x:c r="Q147" s="161"/>
      <x:c r="R147" s="161"/>
      <x:c r="S147" s="161"/>
      <x:c r="T147" s="161"/>
      <x:c r="U147" s="161"/>
      <x:c r="V147" s="161"/>
      <x:c r="W147" s="161"/>
      <x:c r="X147" s="161"/>
      <x:c r="Y147" s="161"/>
      <x:c r="Z147" s="161"/>
    </x:row>
    <x:row r="148">
      <x:c r="A148" s="161"/>
      <x:c r="B148" s="161"/>
      <x:c r="C148" s="161"/>
      <x:c r="D148" s="161"/>
      <x:c r="E148" s="161"/>
      <x:c r="F148" s="161"/>
      <x:c r="G148" s="161"/>
      <x:c r="H148" s="161"/>
      <x:c r="I148" s="161"/>
      <x:c r="J148" s="161"/>
      <x:c r="K148" s="161"/>
      <x:c r="L148" s="161"/>
      <x:c r="M148" s="161"/>
      <x:c r="N148" s="161"/>
      <x:c r="O148" s="161"/>
      <x:c r="P148" s="161"/>
      <x:c r="Q148" s="161"/>
      <x:c r="R148" s="161"/>
      <x:c r="S148" s="161"/>
      <x:c r="T148" s="161"/>
      <x:c r="U148" s="161"/>
      <x:c r="V148" s="161"/>
      <x:c r="W148" s="161"/>
      <x:c r="X148" s="161"/>
      <x:c r="Y148" s="161"/>
      <x:c r="Z148" s="161"/>
    </x:row>
    <x:row r="149">
      <x:c r="A149" s="161"/>
      <x:c r="B149" s="161"/>
      <x:c r="C149" s="161"/>
      <x:c r="D149" s="161"/>
      <x:c r="E149" s="161"/>
      <x:c r="F149" s="161"/>
      <x:c r="G149" s="161"/>
      <x:c r="H149" s="161"/>
      <x:c r="I149" s="161"/>
      <x:c r="J149" s="161"/>
      <x:c r="K149" s="161"/>
      <x:c r="L149" s="161"/>
      <x:c r="M149" s="161"/>
      <x:c r="N149" s="161"/>
      <x:c r="O149" s="161"/>
      <x:c r="P149" s="161"/>
      <x:c r="Q149" s="161"/>
      <x:c r="R149" s="161"/>
      <x:c r="S149" s="161"/>
      <x:c r="T149" s="161"/>
      <x:c r="U149" s="161"/>
      <x:c r="V149" s="161"/>
      <x:c r="W149" s="161"/>
      <x:c r="X149" s="161"/>
      <x:c r="Y149" s="161"/>
      <x:c r="Z149" s="161"/>
    </x:row>
    <x:row r="150">
      <x:c r="A150" s="161"/>
      <x:c r="B150" s="161"/>
      <x:c r="C150" s="161"/>
      <x:c r="D150" s="161"/>
      <x:c r="E150" s="161"/>
      <x:c r="F150" s="161"/>
      <x:c r="G150" s="161"/>
      <x:c r="H150" s="161"/>
      <x:c r="I150" s="161"/>
      <x:c r="J150" s="161"/>
      <x:c r="K150" s="161"/>
      <x:c r="L150" s="161"/>
      <x:c r="M150" s="161"/>
      <x:c r="N150" s="161"/>
      <x:c r="O150" s="161"/>
      <x:c r="P150" s="161"/>
      <x:c r="Q150" s="161"/>
      <x:c r="R150" s="161"/>
      <x:c r="S150" s="161"/>
      <x:c r="T150" s="161"/>
      <x:c r="U150" s="161"/>
      <x:c r="V150" s="161"/>
      <x:c r="W150" s="161"/>
      <x:c r="X150" s="161"/>
      <x:c r="Y150" s="161"/>
      <x:c r="Z150" s="161"/>
    </x:row>
    <x:row r="151">
      <x:c r="A151" s="161"/>
      <x:c r="B151" s="161"/>
      <x:c r="C151" s="161"/>
      <x:c r="D151" s="161"/>
      <x:c r="E151" s="161"/>
      <x:c r="F151" s="161"/>
      <x:c r="G151" s="161"/>
      <x:c r="H151" s="161"/>
      <x:c r="I151" s="161"/>
      <x:c r="J151" s="161"/>
      <x:c r="K151" s="161"/>
      <x:c r="L151" s="161"/>
      <x:c r="M151" s="161"/>
      <x:c r="N151" s="161"/>
      <x:c r="O151" s="161"/>
      <x:c r="P151" s="161"/>
      <x:c r="Q151" s="161"/>
      <x:c r="R151" s="161"/>
      <x:c r="S151" s="161"/>
      <x:c r="T151" s="161"/>
      <x:c r="U151" s="161"/>
      <x:c r="V151" s="161"/>
      <x:c r="W151" s="161"/>
      <x:c r="X151" s="161"/>
      <x:c r="Y151" s="161"/>
      <x:c r="Z151" s="161"/>
    </x:row>
    <x:row r="152">
      <x:c r="A152" s="161"/>
      <x:c r="B152" s="161"/>
      <x:c r="C152" s="161"/>
      <x:c r="D152" s="161"/>
      <x:c r="E152" s="161"/>
      <x:c r="F152" s="161"/>
      <x:c r="G152" s="161"/>
      <x:c r="H152" s="161"/>
      <x:c r="I152" s="161"/>
      <x:c r="J152" s="161"/>
      <x:c r="K152" s="161"/>
      <x:c r="L152" s="161"/>
      <x:c r="M152" s="161"/>
      <x:c r="N152" s="161"/>
      <x:c r="O152" s="161"/>
      <x:c r="P152" s="161"/>
      <x:c r="Q152" s="161"/>
      <x:c r="R152" s="161"/>
      <x:c r="S152" s="161"/>
      <x:c r="T152" s="161"/>
      <x:c r="U152" s="161"/>
      <x:c r="V152" s="161"/>
      <x:c r="W152" s="161"/>
      <x:c r="X152" s="161"/>
      <x:c r="Y152" s="161"/>
      <x:c r="Z152" s="161"/>
    </x:row>
    <x:row r="153">
      <x:c r="A153" s="161"/>
      <x:c r="B153" s="161"/>
      <x:c r="C153" s="161"/>
      <x:c r="D153" s="161"/>
      <x:c r="E153" s="161"/>
      <x:c r="F153" s="161"/>
      <x:c r="G153" s="161"/>
      <x:c r="H153" s="161"/>
      <x:c r="I153" s="161"/>
      <x:c r="J153" s="161"/>
      <x:c r="K153" s="161"/>
      <x:c r="L153" s="161"/>
      <x:c r="M153" s="161"/>
      <x:c r="N153" s="161"/>
      <x:c r="O153" s="161"/>
      <x:c r="P153" s="161"/>
      <x:c r="Q153" s="161"/>
      <x:c r="R153" s="161"/>
      <x:c r="S153" s="161"/>
      <x:c r="T153" s="161"/>
      <x:c r="U153" s="161"/>
      <x:c r="V153" s="161"/>
      <x:c r="W153" s="161"/>
      <x:c r="X153" s="161"/>
      <x:c r="Y153" s="161"/>
      <x:c r="Z153" s="161"/>
    </x:row>
    <x:row r="154">
      <x:c r="A154" s="161"/>
      <x:c r="B154" s="161"/>
      <x:c r="C154" s="161"/>
      <x:c r="D154" s="161"/>
      <x:c r="E154" s="161"/>
      <x:c r="F154" s="161"/>
      <x:c r="G154" s="161"/>
      <x:c r="H154" s="161"/>
      <x:c r="I154" s="161"/>
      <x:c r="J154" s="161"/>
      <x:c r="K154" s="161"/>
      <x:c r="L154" s="161"/>
      <x:c r="M154" s="161"/>
      <x:c r="N154" s="161"/>
      <x:c r="O154" s="161"/>
      <x:c r="P154" s="161"/>
      <x:c r="Q154" s="161"/>
      <x:c r="R154" s="161"/>
      <x:c r="S154" s="161"/>
      <x:c r="T154" s="161"/>
      <x:c r="U154" s="161"/>
      <x:c r="V154" s="161"/>
      <x:c r="W154" s="161"/>
      <x:c r="X154" s="161"/>
      <x:c r="Y154" s="161"/>
      <x:c r="Z154" s="161"/>
    </x:row>
    <x:row r="155">
      <x:c r="A155" s="161"/>
      <x:c r="B155" s="161"/>
      <x:c r="C155" s="161"/>
      <x:c r="D155" s="161"/>
      <x:c r="E155" s="161"/>
      <x:c r="F155" s="161"/>
      <x:c r="G155" s="161"/>
      <x:c r="H155" s="161"/>
      <x:c r="I155" s="161"/>
      <x:c r="J155" s="161"/>
      <x:c r="K155" s="161"/>
      <x:c r="L155" s="161"/>
      <x:c r="M155" s="161"/>
      <x:c r="N155" s="161"/>
      <x:c r="O155" s="161"/>
      <x:c r="P155" s="161"/>
      <x:c r="Q155" s="161"/>
      <x:c r="R155" s="161"/>
      <x:c r="S155" s="161"/>
      <x:c r="T155" s="161"/>
      <x:c r="U155" s="161"/>
      <x:c r="V155" s="161"/>
      <x:c r="W155" s="161"/>
      <x:c r="X155" s="161"/>
      <x:c r="Y155" s="161"/>
      <x:c r="Z155" s="161"/>
    </x:row>
    <x:row r="156">
      <x:c r="A156" s="161"/>
      <x:c r="B156" s="161"/>
      <x:c r="C156" s="161"/>
      <x:c r="D156" s="161"/>
      <x:c r="E156" s="161"/>
      <x:c r="F156" s="161"/>
      <x:c r="G156" s="161"/>
      <x:c r="H156" s="161"/>
      <x:c r="I156" s="161"/>
      <x:c r="J156" s="161"/>
      <x:c r="K156" s="161"/>
      <x:c r="L156" s="161"/>
      <x:c r="M156" s="161"/>
      <x:c r="N156" s="161"/>
      <x:c r="O156" s="161"/>
      <x:c r="P156" s="161"/>
      <x:c r="Q156" s="161"/>
      <x:c r="R156" s="161"/>
      <x:c r="S156" s="161"/>
      <x:c r="T156" s="161"/>
      <x:c r="U156" s="161"/>
      <x:c r="V156" s="161"/>
      <x:c r="W156" s="161"/>
      <x:c r="X156" s="161"/>
      <x:c r="Y156" s="161"/>
      <x:c r="Z156" s="161"/>
    </x:row>
    <x:row r="157">
      <x:c r="A157" s="161"/>
      <x:c r="B157" s="161"/>
      <x:c r="C157" s="161"/>
      <x:c r="D157" s="161"/>
      <x:c r="E157" s="161"/>
      <x:c r="F157" s="161"/>
      <x:c r="G157" s="161"/>
      <x:c r="H157" s="161"/>
      <x:c r="I157" s="161"/>
      <x:c r="J157" s="161"/>
      <x:c r="K157" s="161"/>
      <x:c r="L157" s="161"/>
      <x:c r="M157" s="161"/>
      <x:c r="N157" s="161"/>
      <x:c r="O157" s="161"/>
      <x:c r="P157" s="161"/>
      <x:c r="Q157" s="161"/>
      <x:c r="R157" s="161"/>
      <x:c r="S157" s="161"/>
      <x:c r="T157" s="161"/>
      <x:c r="U157" s="161"/>
      <x:c r="V157" s="161"/>
      <x:c r="W157" s="161"/>
      <x:c r="X157" s="161"/>
      <x:c r="Y157" s="161"/>
      <x:c r="Z157" s="161"/>
    </x:row>
    <x:row r="158">
      <x:c r="A158" s="161"/>
      <x:c r="B158" s="161"/>
      <x:c r="C158" s="161"/>
      <x:c r="D158" s="161"/>
      <x:c r="E158" s="161"/>
      <x:c r="F158" s="161"/>
      <x:c r="G158" s="161"/>
      <x:c r="H158" s="161"/>
      <x:c r="I158" s="161"/>
      <x:c r="J158" s="161"/>
      <x:c r="K158" s="161"/>
      <x:c r="L158" s="161"/>
      <x:c r="M158" s="161"/>
      <x:c r="N158" s="161"/>
      <x:c r="O158" s="161"/>
      <x:c r="P158" s="161"/>
      <x:c r="Q158" s="161"/>
      <x:c r="R158" s="161"/>
      <x:c r="S158" s="161"/>
      <x:c r="T158" s="161"/>
      <x:c r="U158" s="161"/>
      <x:c r="V158" s="161"/>
      <x:c r="W158" s="161"/>
      <x:c r="X158" s="161"/>
      <x:c r="Y158" s="161"/>
      <x:c r="Z158" s="161"/>
    </x:row>
    <x:row r="159">
      <x:c r="A159" s="161"/>
      <x:c r="B159" s="161"/>
      <x:c r="C159" s="161"/>
      <x:c r="D159" s="161"/>
      <x:c r="E159" s="161"/>
      <x:c r="F159" s="161"/>
      <x:c r="G159" s="161"/>
      <x:c r="H159" s="161"/>
      <x:c r="I159" s="161"/>
      <x:c r="J159" s="161"/>
      <x:c r="K159" s="161"/>
      <x:c r="L159" s="161"/>
      <x:c r="M159" s="161"/>
      <x:c r="N159" s="161"/>
      <x:c r="O159" s="161"/>
      <x:c r="P159" s="161"/>
      <x:c r="Q159" s="161"/>
      <x:c r="R159" s="161"/>
      <x:c r="S159" s="161"/>
      <x:c r="T159" s="161"/>
      <x:c r="U159" s="161"/>
      <x:c r="V159" s="161"/>
      <x:c r="W159" s="161"/>
      <x:c r="X159" s="161"/>
      <x:c r="Y159" s="161"/>
      <x:c r="Z159" s="161"/>
    </x:row>
    <x:row r="160">
      <x:c r="A160" s="161"/>
      <x:c r="B160" s="161"/>
      <x:c r="C160" s="161"/>
      <x:c r="D160" s="161"/>
      <x:c r="E160" s="161"/>
      <x:c r="F160" s="161"/>
      <x:c r="G160" s="161"/>
      <x:c r="H160" s="161"/>
      <x:c r="I160" s="161"/>
      <x:c r="J160" s="161"/>
      <x:c r="K160" s="161"/>
      <x:c r="L160" s="161"/>
      <x:c r="M160" s="161"/>
      <x:c r="N160" s="161"/>
      <x:c r="O160" s="161"/>
      <x:c r="P160" s="161"/>
      <x:c r="Q160" s="161"/>
      <x:c r="R160" s="161"/>
      <x:c r="S160" s="161"/>
      <x:c r="T160" s="161"/>
      <x:c r="U160" s="161"/>
      <x:c r="V160" s="161"/>
      <x:c r="W160" s="161"/>
      <x:c r="X160" s="161"/>
      <x:c r="Y160" s="161"/>
      <x:c r="Z160" s="161"/>
    </x:row>
    <x:row r="161">
      <x:c r="A161" s="161"/>
      <x:c r="B161" s="161"/>
      <x:c r="C161" s="161"/>
      <x:c r="D161" s="161"/>
      <x:c r="E161" s="161"/>
      <x:c r="F161" s="161"/>
      <x:c r="G161" s="161"/>
      <x:c r="H161" s="161"/>
      <x:c r="I161" s="161"/>
      <x:c r="J161" s="161"/>
      <x:c r="K161" s="161"/>
      <x:c r="L161" s="161"/>
      <x:c r="M161" s="161"/>
      <x:c r="N161" s="161"/>
      <x:c r="O161" s="161"/>
      <x:c r="P161" s="161"/>
      <x:c r="Q161" s="161"/>
      <x:c r="R161" s="161"/>
      <x:c r="S161" s="161"/>
      <x:c r="T161" s="161"/>
      <x:c r="U161" s="161"/>
      <x:c r="V161" s="161"/>
      <x:c r="W161" s="161"/>
      <x:c r="X161" s="161"/>
      <x:c r="Y161" s="161"/>
      <x:c r="Z161" s="161"/>
    </x:row>
    <x:row r="162">
      <x:c r="A162" s="161"/>
      <x:c r="B162" s="161"/>
      <x:c r="C162" s="161"/>
      <x:c r="D162" s="161"/>
      <x:c r="E162" s="161"/>
      <x:c r="F162" s="161"/>
      <x:c r="G162" s="161"/>
      <x:c r="H162" s="161"/>
      <x:c r="I162" s="161"/>
      <x:c r="J162" s="161"/>
      <x:c r="K162" s="161"/>
      <x:c r="L162" s="161"/>
      <x:c r="M162" s="161"/>
      <x:c r="N162" s="161"/>
      <x:c r="O162" s="161"/>
      <x:c r="P162" s="161"/>
      <x:c r="Q162" s="161"/>
      <x:c r="R162" s="161"/>
      <x:c r="S162" s="161"/>
      <x:c r="T162" s="161"/>
      <x:c r="U162" s="161"/>
      <x:c r="V162" s="161"/>
      <x:c r="W162" s="161"/>
      <x:c r="X162" s="161"/>
      <x:c r="Y162" s="161"/>
      <x:c r="Z162" s="161"/>
    </x:row>
    <x:row r="163">
      <x:c r="A163" s="161"/>
      <x:c r="B163" s="161"/>
      <x:c r="C163" s="161"/>
      <x:c r="D163" s="161"/>
      <x:c r="E163" s="161"/>
      <x:c r="F163" s="161"/>
      <x:c r="G163" s="161"/>
      <x:c r="H163" s="161"/>
      <x:c r="I163" s="161"/>
      <x:c r="J163" s="161"/>
      <x:c r="K163" s="161"/>
      <x:c r="L163" s="161"/>
      <x:c r="M163" s="161"/>
      <x:c r="N163" s="161"/>
      <x:c r="O163" s="161"/>
      <x:c r="P163" s="161"/>
      <x:c r="Q163" s="161"/>
      <x:c r="R163" s="161"/>
      <x:c r="S163" s="161"/>
      <x:c r="T163" s="161"/>
      <x:c r="U163" s="161"/>
      <x:c r="V163" s="161"/>
      <x:c r="W163" s="161"/>
      <x:c r="X163" s="161"/>
      <x:c r="Y163" s="161"/>
      <x:c r="Z163" s="161"/>
    </x:row>
    <x:row r="164">
      <x:c r="A164" s="161"/>
      <x:c r="B164" s="161"/>
      <x:c r="C164" s="161"/>
      <x:c r="D164" s="161"/>
      <x:c r="E164" s="161"/>
      <x:c r="F164" s="161"/>
      <x:c r="G164" s="161"/>
      <x:c r="H164" s="161"/>
      <x:c r="I164" s="161"/>
      <x:c r="J164" s="161"/>
      <x:c r="K164" s="161"/>
      <x:c r="L164" s="161"/>
      <x:c r="M164" s="161"/>
      <x:c r="N164" s="161"/>
      <x:c r="O164" s="161"/>
      <x:c r="P164" s="161"/>
      <x:c r="Q164" s="161"/>
      <x:c r="R164" s="161"/>
      <x:c r="S164" s="161"/>
      <x:c r="T164" s="161"/>
      <x:c r="U164" s="161"/>
      <x:c r="V164" s="161"/>
      <x:c r="W164" s="161"/>
      <x:c r="X164" s="161"/>
      <x:c r="Y164" s="161"/>
      <x:c r="Z164" s="161"/>
    </x:row>
    <x:row r="165">
      <x:c r="A165" s="161"/>
      <x:c r="B165" s="161"/>
      <x:c r="C165" s="161"/>
      <x:c r="D165" s="161"/>
      <x:c r="E165" s="161"/>
      <x:c r="F165" s="161"/>
      <x:c r="G165" s="161"/>
      <x:c r="H165" s="161"/>
      <x:c r="I165" s="161"/>
      <x:c r="J165" s="161"/>
      <x:c r="K165" s="161"/>
      <x:c r="L165" s="161"/>
      <x:c r="M165" s="161"/>
      <x:c r="N165" s="161"/>
      <x:c r="O165" s="161"/>
      <x:c r="P165" s="161"/>
      <x:c r="Q165" s="161"/>
      <x:c r="R165" s="161"/>
      <x:c r="S165" s="161"/>
      <x:c r="T165" s="161"/>
      <x:c r="U165" s="161"/>
      <x:c r="V165" s="161"/>
      <x:c r="W165" s="161"/>
      <x:c r="X165" s="161"/>
      <x:c r="Y165" s="161"/>
      <x:c r="Z165" s="161"/>
    </x:row>
    <x:row r="166">
      <x:c r="A166" s="161"/>
      <x:c r="B166" s="161"/>
      <x:c r="C166" s="161"/>
      <x:c r="D166" s="161"/>
      <x:c r="E166" s="161"/>
      <x:c r="F166" s="161"/>
      <x:c r="G166" s="161"/>
      <x:c r="H166" s="161"/>
      <x:c r="I166" s="161"/>
      <x:c r="J166" s="161"/>
      <x:c r="K166" s="161"/>
      <x:c r="L166" s="161"/>
      <x:c r="M166" s="161"/>
      <x:c r="N166" s="161"/>
      <x:c r="O166" s="161"/>
      <x:c r="P166" s="161"/>
      <x:c r="Q166" s="161"/>
      <x:c r="R166" s="161"/>
      <x:c r="S166" s="161"/>
      <x:c r="T166" s="161"/>
      <x:c r="U166" s="161"/>
      <x:c r="V166" s="161"/>
      <x:c r="W166" s="161"/>
      <x:c r="X166" s="161"/>
      <x:c r="Y166" s="161"/>
      <x:c r="Z166" s="161"/>
    </x:row>
    <x:row r="167">
      <x:c r="A167" s="161"/>
      <x:c r="B167" s="161"/>
      <x:c r="C167" s="161"/>
      <x:c r="D167" s="161"/>
      <x:c r="E167" s="161"/>
      <x:c r="F167" s="161"/>
      <x:c r="G167" s="161"/>
      <x:c r="H167" s="161"/>
      <x:c r="I167" s="161"/>
      <x:c r="J167" s="161"/>
      <x:c r="K167" s="161"/>
      <x:c r="L167" s="161"/>
      <x:c r="M167" s="161"/>
      <x:c r="N167" s="161"/>
      <x:c r="O167" s="161"/>
      <x:c r="P167" s="161"/>
      <x:c r="Q167" s="161"/>
      <x:c r="R167" s="161"/>
      <x:c r="S167" s="161"/>
      <x:c r="T167" s="161"/>
      <x:c r="U167" s="161"/>
      <x:c r="V167" s="161"/>
      <x:c r="W167" s="161"/>
      <x:c r="X167" s="161"/>
      <x:c r="Y167" s="161"/>
      <x:c r="Z167" s="161"/>
    </x:row>
    <x:row r="168">
      <x:c r="A168" s="161"/>
      <x:c r="B168" s="161"/>
      <x:c r="C168" s="161"/>
      <x:c r="D168" s="161"/>
      <x:c r="E168" s="161"/>
      <x:c r="F168" s="161"/>
      <x:c r="G168" s="161"/>
      <x:c r="H168" s="161"/>
      <x:c r="I168" s="161"/>
      <x:c r="J168" s="161"/>
      <x:c r="K168" s="161"/>
      <x:c r="L168" s="161"/>
      <x:c r="M168" s="161"/>
      <x:c r="N168" s="161"/>
      <x:c r="O168" s="161"/>
      <x:c r="P168" s="161"/>
      <x:c r="Q168" s="161"/>
      <x:c r="R168" s="161"/>
      <x:c r="S168" s="161"/>
      <x:c r="T168" s="161"/>
      <x:c r="U168" s="161"/>
      <x:c r="V168" s="161"/>
      <x:c r="W168" s="161"/>
      <x:c r="X168" s="161"/>
      <x:c r="Y168" s="161"/>
      <x:c r="Z168" s="161"/>
    </x:row>
    <x:row r="169">
      <x:c r="A169" s="161"/>
      <x:c r="B169" s="161"/>
      <x:c r="C169" s="161"/>
      <x:c r="D169" s="161"/>
      <x:c r="E169" s="161"/>
      <x:c r="F169" s="161"/>
      <x:c r="G169" s="161"/>
      <x:c r="H169" s="161"/>
      <x:c r="I169" s="161"/>
      <x:c r="J169" s="161"/>
      <x:c r="K169" s="161"/>
      <x:c r="L169" s="161"/>
      <x:c r="M169" s="161"/>
      <x:c r="N169" s="161"/>
      <x:c r="O169" s="161"/>
      <x:c r="P169" s="161"/>
      <x:c r="Q169" s="161"/>
      <x:c r="R169" s="161"/>
      <x:c r="S169" s="161"/>
      <x:c r="T169" s="161"/>
      <x:c r="U169" s="161"/>
      <x:c r="V169" s="161"/>
      <x:c r="W169" s="161"/>
      <x:c r="X169" s="161"/>
      <x:c r="Y169" s="161"/>
      <x:c r="Z169" s="161"/>
    </x:row>
    <x:row r="170">
      <x:c r="A170" s="161"/>
      <x:c r="B170" s="161"/>
      <x:c r="C170" s="161"/>
      <x:c r="D170" s="161"/>
      <x:c r="E170" s="161"/>
      <x:c r="F170" s="161"/>
      <x:c r="G170" s="161"/>
      <x:c r="H170" s="161"/>
      <x:c r="I170" s="161"/>
      <x:c r="J170" s="161"/>
      <x:c r="K170" s="161"/>
      <x:c r="L170" s="161"/>
      <x:c r="M170" s="161"/>
      <x:c r="N170" s="161"/>
      <x:c r="O170" s="161"/>
      <x:c r="P170" s="161"/>
      <x:c r="Q170" s="161"/>
      <x:c r="R170" s="161"/>
      <x:c r="S170" s="161"/>
      <x:c r="T170" s="161"/>
      <x:c r="U170" s="161"/>
      <x:c r="V170" s="161"/>
      <x:c r="W170" s="161"/>
      <x:c r="X170" s="161"/>
      <x:c r="Y170" s="161"/>
      <x:c r="Z170" s="161"/>
    </x:row>
    <x:row r="171">
      <x:c r="A171" s="161"/>
      <x:c r="B171" s="161"/>
      <x:c r="C171" s="161"/>
      <x:c r="D171" s="161"/>
      <x:c r="E171" s="161"/>
      <x:c r="F171" s="161"/>
      <x:c r="G171" s="161"/>
      <x:c r="H171" s="161"/>
      <x:c r="I171" s="161"/>
      <x:c r="J171" s="161"/>
      <x:c r="K171" s="161"/>
      <x:c r="L171" s="161"/>
      <x:c r="M171" s="161"/>
      <x:c r="N171" s="161"/>
      <x:c r="O171" s="161"/>
      <x:c r="P171" s="161"/>
      <x:c r="Q171" s="161"/>
      <x:c r="R171" s="161"/>
      <x:c r="S171" s="161"/>
      <x:c r="T171" s="161"/>
      <x:c r="U171" s="161"/>
      <x:c r="V171" s="161"/>
      <x:c r="W171" s="161"/>
      <x:c r="X171" s="161"/>
      <x:c r="Y171" s="161"/>
      <x:c r="Z171" s="161"/>
    </x:row>
    <x:row r="172">
      <x:c r="A172" s="161"/>
      <x:c r="B172" s="161"/>
      <x:c r="C172" s="161"/>
      <x:c r="D172" s="161"/>
      <x:c r="E172" s="161"/>
      <x:c r="F172" s="161"/>
      <x:c r="G172" s="161"/>
      <x:c r="H172" s="161"/>
      <x:c r="I172" s="161"/>
      <x:c r="J172" s="161"/>
      <x:c r="K172" s="161"/>
      <x:c r="L172" s="161"/>
      <x:c r="M172" s="161"/>
      <x:c r="N172" s="161"/>
      <x:c r="O172" s="161"/>
      <x:c r="P172" s="161"/>
      <x:c r="Q172" s="161"/>
      <x:c r="R172" s="161"/>
      <x:c r="S172" s="161"/>
      <x:c r="T172" s="161"/>
      <x:c r="U172" s="161"/>
      <x:c r="V172" s="161"/>
      <x:c r="W172" s="161"/>
      <x:c r="X172" s="161"/>
      <x:c r="Y172" s="161"/>
      <x:c r="Z172" s="161"/>
    </x:row>
    <x:row r="173">
      <x:c r="A173" s="161"/>
      <x:c r="B173" s="161"/>
      <x:c r="C173" s="161"/>
      <x:c r="D173" s="161"/>
      <x:c r="E173" s="161"/>
      <x:c r="F173" s="161"/>
      <x:c r="G173" s="161"/>
      <x:c r="H173" s="161"/>
      <x:c r="I173" s="161"/>
      <x:c r="J173" s="161"/>
      <x:c r="K173" s="161"/>
      <x:c r="L173" s="161"/>
      <x:c r="M173" s="161"/>
      <x:c r="N173" s="161"/>
      <x:c r="O173" s="161"/>
      <x:c r="P173" s="161"/>
      <x:c r="Q173" s="161"/>
      <x:c r="R173" s="161"/>
      <x:c r="S173" s="161"/>
      <x:c r="T173" s="161"/>
      <x:c r="U173" s="161"/>
      <x:c r="V173" s="161"/>
      <x:c r="W173" s="161"/>
      <x:c r="X173" s="161"/>
      <x:c r="Y173" s="161"/>
      <x:c r="Z173" s="161"/>
    </x:row>
    <x:row r="174">
      <x:c r="A174" s="161"/>
      <x:c r="B174" s="161"/>
      <x:c r="C174" s="161"/>
      <x:c r="D174" s="161"/>
      <x:c r="E174" s="161"/>
      <x:c r="F174" s="161"/>
      <x:c r="G174" s="161"/>
      <x:c r="H174" s="161"/>
      <x:c r="I174" s="161"/>
      <x:c r="J174" s="161"/>
      <x:c r="K174" s="161"/>
      <x:c r="L174" s="161"/>
      <x:c r="M174" s="161"/>
      <x:c r="N174" s="161"/>
      <x:c r="O174" s="161"/>
      <x:c r="P174" s="161"/>
      <x:c r="Q174" s="161"/>
      <x:c r="R174" s="161"/>
      <x:c r="S174" s="161"/>
      <x:c r="T174" s="161"/>
      <x:c r="U174" s="161"/>
      <x:c r="V174" s="161"/>
      <x:c r="W174" s="161"/>
      <x:c r="X174" s="161"/>
      <x:c r="Y174" s="161"/>
      <x:c r="Z174" s="161"/>
    </x:row>
    <x:row r="175">
      <x:c r="A175" s="161"/>
      <x:c r="B175" s="161"/>
      <x:c r="C175" s="161"/>
      <x:c r="D175" s="161"/>
      <x:c r="E175" s="161"/>
      <x:c r="F175" s="161"/>
      <x:c r="G175" s="161"/>
      <x:c r="H175" s="161"/>
      <x:c r="I175" s="161"/>
      <x:c r="J175" s="161"/>
      <x:c r="K175" s="161"/>
      <x:c r="L175" s="161"/>
      <x:c r="M175" s="161"/>
      <x:c r="N175" s="161"/>
      <x:c r="O175" s="161"/>
      <x:c r="P175" s="161"/>
      <x:c r="Q175" s="161"/>
      <x:c r="R175" s="161"/>
      <x:c r="S175" s="161"/>
      <x:c r="T175" s="161"/>
      <x:c r="U175" s="161"/>
      <x:c r="V175" s="161"/>
      <x:c r="W175" s="161"/>
      <x:c r="X175" s="161"/>
      <x:c r="Y175" s="161"/>
      <x:c r="Z175" s="161"/>
    </x:row>
    <x:row r="176">
      <x:c r="A176" s="161"/>
      <x:c r="B176" s="161"/>
      <x:c r="C176" s="161"/>
      <x:c r="D176" s="161"/>
      <x:c r="E176" s="161"/>
      <x:c r="F176" s="161"/>
      <x:c r="G176" s="161"/>
      <x:c r="H176" s="161"/>
      <x:c r="I176" s="161"/>
      <x:c r="J176" s="161"/>
      <x:c r="K176" s="161"/>
      <x:c r="L176" s="161"/>
      <x:c r="M176" s="161"/>
      <x:c r="N176" s="161"/>
      <x:c r="O176" s="161"/>
      <x:c r="P176" s="161"/>
      <x:c r="Q176" s="161"/>
      <x:c r="R176" s="161"/>
      <x:c r="S176" s="161"/>
      <x:c r="T176" s="161"/>
      <x:c r="U176" s="161"/>
      <x:c r="V176" s="161"/>
      <x:c r="W176" s="161"/>
      <x:c r="X176" s="161"/>
      <x:c r="Y176" s="161"/>
      <x:c r="Z176" s="161"/>
    </x:row>
    <x:row r="177">
      <x:c r="A177" s="161"/>
      <x:c r="B177" s="161"/>
      <x:c r="C177" s="161"/>
      <x:c r="D177" s="161"/>
      <x:c r="E177" s="161"/>
      <x:c r="F177" s="161"/>
      <x:c r="G177" s="161"/>
      <x:c r="H177" s="161"/>
      <x:c r="I177" s="161"/>
      <x:c r="J177" s="161"/>
      <x:c r="K177" s="161"/>
      <x:c r="L177" s="161"/>
      <x:c r="M177" s="161"/>
      <x:c r="N177" s="161"/>
      <x:c r="O177" s="161"/>
      <x:c r="P177" s="161"/>
      <x:c r="Q177" s="161"/>
      <x:c r="R177" s="161"/>
      <x:c r="S177" s="161"/>
      <x:c r="T177" s="161"/>
      <x:c r="U177" s="161"/>
      <x:c r="V177" s="161"/>
      <x:c r="W177" s="161"/>
      <x:c r="X177" s="161"/>
      <x:c r="Y177" s="161"/>
      <x:c r="Z177" s="161"/>
    </x:row>
    <x:row r="178">
      <x:c r="A178" s="161"/>
      <x:c r="B178" s="161"/>
      <x:c r="C178" s="161"/>
      <x:c r="D178" s="161"/>
      <x:c r="E178" s="161"/>
      <x:c r="F178" s="161"/>
      <x:c r="G178" s="161"/>
      <x:c r="H178" s="161"/>
      <x:c r="I178" s="161"/>
      <x:c r="J178" s="161"/>
      <x:c r="K178" s="161"/>
      <x:c r="L178" s="161"/>
      <x:c r="M178" s="161"/>
      <x:c r="N178" s="161"/>
      <x:c r="O178" s="161"/>
      <x:c r="P178" s="161"/>
      <x:c r="Q178" s="161"/>
      <x:c r="R178" s="161"/>
      <x:c r="S178" s="161"/>
      <x:c r="T178" s="161"/>
      <x:c r="U178" s="161"/>
      <x:c r="V178" s="161"/>
      <x:c r="W178" s="161"/>
      <x:c r="X178" s="161"/>
      <x:c r="Y178" s="161"/>
      <x:c r="Z178" s="161"/>
    </x:row>
    <x:row r="179">
      <x:c r="A179" s="161"/>
      <x:c r="B179" s="161"/>
      <x:c r="C179" s="161"/>
      <x:c r="D179" s="161"/>
      <x:c r="E179" s="161"/>
      <x:c r="F179" s="161"/>
      <x:c r="G179" s="161"/>
      <x:c r="H179" s="161"/>
      <x:c r="I179" s="161"/>
      <x:c r="J179" s="161"/>
      <x:c r="K179" s="161"/>
      <x:c r="L179" s="161"/>
      <x:c r="M179" s="161"/>
      <x:c r="N179" s="161"/>
      <x:c r="O179" s="161"/>
      <x:c r="P179" s="161"/>
      <x:c r="Q179" s="161"/>
      <x:c r="R179" s="161"/>
      <x:c r="S179" s="161"/>
      <x:c r="T179" s="161"/>
      <x:c r="U179" s="161"/>
      <x:c r="V179" s="161"/>
      <x:c r="W179" s="161"/>
      <x:c r="X179" s="161"/>
      <x:c r="Y179" s="161"/>
      <x:c r="Z179" s="161"/>
    </x:row>
    <x:row r="180">
      <x:c r="A180" s="161"/>
      <x:c r="B180" s="161"/>
      <x:c r="C180" s="161"/>
      <x:c r="D180" s="161"/>
      <x:c r="E180" s="161"/>
      <x:c r="F180" s="161"/>
      <x:c r="G180" s="161"/>
      <x:c r="H180" s="161"/>
      <x:c r="I180" s="161"/>
      <x:c r="J180" s="161"/>
      <x:c r="K180" s="161"/>
      <x:c r="L180" s="161"/>
      <x:c r="M180" s="161"/>
      <x:c r="N180" s="161"/>
      <x:c r="O180" s="161"/>
      <x:c r="P180" s="161"/>
      <x:c r="Q180" s="161"/>
      <x:c r="R180" s="161"/>
      <x:c r="S180" s="161"/>
      <x:c r="T180" s="161"/>
      <x:c r="U180" s="161"/>
      <x:c r="V180" s="161"/>
      <x:c r="W180" s="161"/>
      <x:c r="X180" s="161"/>
      <x:c r="Y180" s="161"/>
      <x:c r="Z180" s="161"/>
    </x:row>
    <x:row r="181">
      <x:c r="A181" s="161"/>
      <x:c r="B181" s="161"/>
      <x:c r="C181" s="161"/>
      <x:c r="D181" s="161"/>
      <x:c r="E181" s="161"/>
      <x:c r="F181" s="161"/>
      <x:c r="G181" s="161"/>
      <x:c r="H181" s="161"/>
      <x:c r="I181" s="161"/>
      <x:c r="J181" s="161"/>
      <x:c r="K181" s="161"/>
      <x:c r="L181" s="161"/>
      <x:c r="M181" s="161"/>
      <x:c r="N181" s="161"/>
      <x:c r="O181" s="161"/>
      <x:c r="P181" s="161"/>
      <x:c r="Q181" s="161"/>
      <x:c r="R181" s="161"/>
      <x:c r="S181" s="161"/>
      <x:c r="T181" s="161"/>
      <x:c r="U181" s="161"/>
      <x:c r="V181" s="161"/>
      <x:c r="W181" s="161"/>
      <x:c r="X181" s="161"/>
      <x:c r="Y181" s="161"/>
      <x:c r="Z181" s="161"/>
    </x:row>
    <x:row r="182">
      <x:c r="A182" s="161"/>
      <x:c r="B182" s="161"/>
      <x:c r="C182" s="161"/>
      <x:c r="D182" s="161"/>
      <x:c r="E182" s="161"/>
      <x:c r="F182" s="161"/>
      <x:c r="G182" s="161"/>
      <x:c r="H182" s="161"/>
      <x:c r="I182" s="161"/>
      <x:c r="J182" s="161"/>
      <x:c r="K182" s="161"/>
      <x:c r="L182" s="161"/>
      <x:c r="M182" s="161"/>
      <x:c r="N182" s="161"/>
      <x:c r="O182" s="161"/>
      <x:c r="P182" s="161"/>
      <x:c r="Q182" s="161"/>
      <x:c r="R182" s="161"/>
      <x:c r="S182" s="161"/>
      <x:c r="T182" s="161"/>
      <x:c r="U182" s="161"/>
      <x:c r="V182" s="161"/>
      <x:c r="W182" s="161"/>
      <x:c r="X182" s="161"/>
      <x:c r="Y182" s="161"/>
      <x:c r="Z182" s="161"/>
    </x:row>
    <x:row r="183">
      <x:c r="A183" s="161"/>
      <x:c r="B183" s="161"/>
      <x:c r="C183" s="161"/>
      <x:c r="D183" s="161"/>
      <x:c r="E183" s="161"/>
      <x:c r="F183" s="161"/>
      <x:c r="G183" s="161"/>
      <x:c r="H183" s="161"/>
      <x:c r="I183" s="161"/>
      <x:c r="J183" s="161"/>
      <x:c r="K183" s="161"/>
      <x:c r="L183" s="161"/>
      <x:c r="M183" s="161"/>
      <x:c r="N183" s="161"/>
      <x:c r="O183" s="161"/>
      <x:c r="P183" s="161"/>
      <x:c r="Q183" s="161"/>
      <x:c r="R183" s="161"/>
      <x:c r="S183" s="161"/>
      <x:c r="T183" s="161"/>
      <x:c r="U183" s="161"/>
      <x:c r="V183" s="161"/>
      <x:c r="W183" s="161"/>
      <x:c r="X183" s="161"/>
      <x:c r="Y183" s="161"/>
      <x:c r="Z183" s="161"/>
    </x:row>
    <x:row r="184">
      <x:c r="A184" s="161"/>
      <x:c r="B184" s="161"/>
      <x:c r="C184" s="161"/>
      <x:c r="D184" s="161"/>
      <x:c r="E184" s="161"/>
      <x:c r="F184" s="161"/>
      <x:c r="G184" s="161"/>
      <x:c r="H184" s="161"/>
      <x:c r="I184" s="161"/>
      <x:c r="J184" s="161"/>
      <x:c r="K184" s="161"/>
      <x:c r="L184" s="161"/>
      <x:c r="M184" s="161"/>
      <x:c r="N184" s="161"/>
      <x:c r="O184" s="161"/>
      <x:c r="P184" s="161"/>
      <x:c r="Q184" s="161"/>
      <x:c r="R184" s="161"/>
      <x:c r="S184" s="161"/>
      <x:c r="T184" s="161"/>
      <x:c r="U184" s="161"/>
      <x:c r="V184" s="161"/>
      <x:c r="W184" s="161"/>
      <x:c r="X184" s="161"/>
      <x:c r="Y184" s="161"/>
      <x:c r="Z184" s="161"/>
    </x:row>
    <x:row r="185">
      <x:c r="A185" s="161"/>
      <x:c r="B185" s="161"/>
      <x:c r="C185" s="161"/>
      <x:c r="D185" s="161"/>
      <x:c r="E185" s="161"/>
      <x:c r="F185" s="161"/>
      <x:c r="G185" s="161"/>
      <x:c r="H185" s="161"/>
      <x:c r="I185" s="161"/>
      <x:c r="J185" s="161"/>
      <x:c r="K185" s="161"/>
      <x:c r="L185" s="161"/>
      <x:c r="M185" s="161"/>
      <x:c r="N185" s="161"/>
      <x:c r="O185" s="161"/>
      <x:c r="P185" s="161"/>
      <x:c r="Q185" s="161"/>
      <x:c r="R185" s="161"/>
      <x:c r="S185" s="161"/>
      <x:c r="T185" s="161"/>
      <x:c r="U185" s="161"/>
      <x:c r="V185" s="161"/>
      <x:c r="W185" s="161"/>
      <x:c r="X185" s="161"/>
      <x:c r="Y185" s="161"/>
      <x:c r="Z185" s="161"/>
    </x:row>
    <x:row r="186">
      <x:c r="A186" s="161"/>
      <x:c r="B186" s="161"/>
      <x:c r="C186" s="161"/>
      <x:c r="D186" s="161"/>
      <x:c r="E186" s="161"/>
      <x:c r="F186" s="161"/>
      <x:c r="G186" s="161"/>
      <x:c r="H186" s="161"/>
      <x:c r="I186" s="161"/>
      <x:c r="J186" s="161"/>
      <x:c r="K186" s="161"/>
      <x:c r="L186" s="161"/>
      <x:c r="M186" s="161"/>
      <x:c r="N186" s="161"/>
      <x:c r="O186" s="161"/>
      <x:c r="P186" s="161"/>
      <x:c r="Q186" s="161"/>
      <x:c r="R186" s="161"/>
      <x:c r="S186" s="161"/>
      <x:c r="T186" s="161"/>
      <x:c r="U186" s="161"/>
      <x:c r="V186" s="161"/>
      <x:c r="W186" s="161"/>
      <x:c r="X186" s="161"/>
      <x:c r="Y186" s="161"/>
      <x:c r="Z186" s="161"/>
    </x:row>
    <x:row r="187">
      <x:c r="A187" s="161"/>
      <x:c r="B187" s="161"/>
      <x:c r="C187" s="161"/>
      <x:c r="D187" s="161"/>
      <x:c r="E187" s="161"/>
      <x:c r="F187" s="161"/>
      <x:c r="G187" s="161"/>
      <x:c r="H187" s="161"/>
      <x:c r="I187" s="161"/>
      <x:c r="J187" s="161"/>
      <x:c r="K187" s="161"/>
      <x:c r="L187" s="161"/>
      <x:c r="M187" s="161"/>
      <x:c r="N187" s="161"/>
      <x:c r="O187" s="161"/>
      <x:c r="P187" s="161"/>
      <x:c r="Q187" s="161"/>
      <x:c r="R187" s="161"/>
      <x:c r="S187" s="161"/>
      <x:c r="T187" s="161"/>
      <x:c r="U187" s="161"/>
      <x:c r="V187" s="161"/>
      <x:c r="W187" s="161"/>
      <x:c r="X187" s="161"/>
      <x:c r="Y187" s="161"/>
      <x:c r="Z187" s="161"/>
    </x:row>
    <x:row r="188">
      <x:c r="A188" s="161"/>
      <x:c r="B188" s="161"/>
      <x:c r="C188" s="161"/>
      <x:c r="D188" s="161"/>
      <x:c r="E188" s="161"/>
      <x:c r="F188" s="161"/>
      <x:c r="G188" s="161"/>
      <x:c r="H188" s="161"/>
      <x:c r="I188" s="161"/>
      <x:c r="J188" s="161"/>
      <x:c r="K188" s="161"/>
      <x:c r="L188" s="161"/>
      <x:c r="M188" s="161"/>
      <x:c r="N188" s="161"/>
      <x:c r="O188" s="161"/>
      <x:c r="P188" s="161"/>
      <x:c r="Q188" s="161"/>
      <x:c r="R188" s="161"/>
      <x:c r="S188" s="161"/>
      <x:c r="T188" s="161"/>
      <x:c r="U188" s="161"/>
      <x:c r="V188" s="161"/>
      <x:c r="W188" s="161"/>
      <x:c r="X188" s="161"/>
      <x:c r="Y188" s="161"/>
      <x:c r="Z188" s="161"/>
    </x:row>
    <x:row r="189">
      <x:c r="A189" s="161"/>
      <x:c r="B189" s="161"/>
      <x:c r="C189" s="161"/>
      <x:c r="D189" s="161"/>
      <x:c r="E189" s="161"/>
      <x:c r="F189" s="161"/>
      <x:c r="G189" s="161"/>
      <x:c r="H189" s="161"/>
      <x:c r="I189" s="161"/>
      <x:c r="J189" s="161"/>
      <x:c r="K189" s="161"/>
      <x:c r="L189" s="161"/>
      <x:c r="M189" s="161"/>
      <x:c r="N189" s="161"/>
      <x:c r="O189" s="161"/>
      <x:c r="P189" s="161"/>
      <x:c r="Q189" s="161"/>
      <x:c r="R189" s="161"/>
      <x:c r="S189" s="161"/>
      <x:c r="T189" s="161"/>
      <x:c r="U189" s="161"/>
      <x:c r="V189" s="161"/>
      <x:c r="W189" s="161"/>
      <x:c r="X189" s="161"/>
      <x:c r="Y189" s="161"/>
      <x:c r="Z189" s="161"/>
    </x:row>
    <x:row r="190">
      <x:c r="A190" s="161"/>
      <x:c r="B190" s="161"/>
      <x:c r="C190" s="161"/>
      <x:c r="D190" s="161"/>
      <x:c r="E190" s="161"/>
      <x:c r="F190" s="161"/>
      <x:c r="G190" s="161"/>
      <x:c r="H190" s="161"/>
      <x:c r="I190" s="161"/>
      <x:c r="J190" s="161"/>
      <x:c r="K190" s="161"/>
      <x:c r="L190" s="161"/>
      <x:c r="M190" s="161"/>
      <x:c r="N190" s="161"/>
      <x:c r="O190" s="161"/>
      <x:c r="P190" s="161"/>
      <x:c r="Q190" s="161"/>
      <x:c r="R190" s="161"/>
      <x:c r="S190" s="161"/>
      <x:c r="T190" s="161"/>
      <x:c r="U190" s="161"/>
      <x:c r="V190" s="161"/>
      <x:c r="W190" s="161"/>
      <x:c r="X190" s="161"/>
      <x:c r="Y190" s="161"/>
      <x:c r="Z190" s="161"/>
    </x:row>
    <x:row r="191">
      <x:c r="A191" s="161"/>
      <x:c r="B191" s="161"/>
      <x:c r="C191" s="161"/>
      <x:c r="D191" s="161"/>
      <x:c r="E191" s="161"/>
      <x:c r="F191" s="161"/>
      <x:c r="G191" s="161"/>
      <x:c r="H191" s="161"/>
      <x:c r="I191" s="161"/>
      <x:c r="J191" s="161"/>
      <x:c r="K191" s="161"/>
      <x:c r="L191" s="161"/>
      <x:c r="M191" s="161"/>
      <x:c r="N191" s="161"/>
      <x:c r="O191" s="161"/>
      <x:c r="P191" s="161"/>
      <x:c r="Q191" s="161"/>
      <x:c r="R191" s="161"/>
      <x:c r="S191" s="161"/>
      <x:c r="T191" s="161"/>
      <x:c r="U191" s="161"/>
      <x:c r="V191" s="161"/>
      <x:c r="W191" s="161"/>
      <x:c r="X191" s="161"/>
      <x:c r="Y191" s="161"/>
      <x:c r="Z191" s="161"/>
    </x:row>
    <x:row r="192">
      <x:c r="A192" s="161"/>
      <x:c r="B192" s="161"/>
      <x:c r="C192" s="161"/>
      <x:c r="D192" s="161"/>
      <x:c r="E192" s="161"/>
      <x:c r="F192" s="161"/>
      <x:c r="G192" s="161"/>
      <x:c r="H192" s="161"/>
      <x:c r="I192" s="161"/>
      <x:c r="J192" s="161"/>
      <x:c r="K192" s="161"/>
      <x:c r="L192" s="161"/>
      <x:c r="M192" s="161"/>
      <x:c r="N192" s="161"/>
      <x:c r="O192" s="161"/>
      <x:c r="P192" s="161"/>
      <x:c r="Q192" s="161"/>
      <x:c r="R192" s="161"/>
      <x:c r="S192" s="161"/>
      <x:c r="T192" s="161"/>
      <x:c r="U192" s="161"/>
      <x:c r="V192" s="161"/>
      <x:c r="W192" s="161"/>
      <x:c r="X192" s="161"/>
      <x:c r="Y192" s="161"/>
      <x:c r="Z192" s="161"/>
    </x:row>
    <x:row r="193">
      <x:c r="A193" s="161"/>
      <x:c r="B193" s="161"/>
      <x:c r="C193" s="161"/>
      <x:c r="D193" s="161"/>
      <x:c r="E193" s="161"/>
      <x:c r="F193" s="161"/>
      <x:c r="G193" s="161"/>
      <x:c r="H193" s="161"/>
      <x:c r="I193" s="161"/>
      <x:c r="J193" s="161"/>
      <x:c r="K193" s="161"/>
      <x:c r="L193" s="161"/>
      <x:c r="M193" s="161"/>
      <x:c r="N193" s="161"/>
      <x:c r="O193" s="161"/>
      <x:c r="P193" s="161"/>
      <x:c r="Q193" s="161"/>
      <x:c r="R193" s="161"/>
      <x:c r="S193" s="161"/>
      <x:c r="T193" s="161"/>
      <x:c r="U193" s="161"/>
      <x:c r="V193" s="161"/>
      <x:c r="W193" s="161"/>
      <x:c r="X193" s="161"/>
      <x:c r="Y193" s="161"/>
      <x:c r="Z193" s="161"/>
    </x:row>
    <x:row r="194">
      <x:c r="A194" s="161"/>
      <x:c r="B194" s="161"/>
      <x:c r="C194" s="161"/>
      <x:c r="D194" s="161"/>
      <x:c r="E194" s="161"/>
      <x:c r="F194" s="161"/>
      <x:c r="G194" s="161"/>
      <x:c r="H194" s="161"/>
      <x:c r="I194" s="161"/>
      <x:c r="J194" s="161"/>
      <x:c r="K194" s="161"/>
      <x:c r="L194" s="161"/>
      <x:c r="M194" s="161"/>
      <x:c r="N194" s="161"/>
      <x:c r="O194" s="161"/>
      <x:c r="P194" s="161"/>
      <x:c r="Q194" s="161"/>
      <x:c r="R194" s="161"/>
      <x:c r="S194" s="161"/>
      <x:c r="T194" s="161"/>
      <x:c r="U194" s="161"/>
      <x:c r="V194" s="161"/>
      <x:c r="W194" s="161"/>
      <x:c r="X194" s="161"/>
      <x:c r="Y194" s="161"/>
      <x:c r="Z194" s="161"/>
    </x:row>
    <x:row r="195">
      <x:c r="A195" s="161"/>
      <x:c r="B195" s="161"/>
      <x:c r="C195" s="161"/>
      <x:c r="D195" s="161"/>
      <x:c r="E195" s="161"/>
      <x:c r="F195" s="161"/>
      <x:c r="G195" s="161"/>
      <x:c r="H195" s="161"/>
      <x:c r="I195" s="161"/>
      <x:c r="J195" s="161"/>
      <x:c r="K195" s="161"/>
      <x:c r="L195" s="161"/>
      <x:c r="M195" s="161"/>
      <x:c r="N195" s="161"/>
      <x:c r="O195" s="161"/>
      <x:c r="P195" s="161"/>
      <x:c r="Q195" s="161"/>
      <x:c r="R195" s="161"/>
      <x:c r="S195" s="161"/>
      <x:c r="T195" s="161"/>
      <x:c r="U195" s="161"/>
      <x:c r="V195" s="161"/>
      <x:c r="W195" s="161"/>
      <x:c r="X195" s="161"/>
      <x:c r="Y195" s="161"/>
      <x:c r="Z195" s="161"/>
    </x:row>
    <x:row r="196">
      <x:c r="A196" s="161"/>
      <x:c r="B196" s="161"/>
      <x:c r="C196" s="161"/>
      <x:c r="D196" s="161"/>
      <x:c r="E196" s="161"/>
      <x:c r="F196" s="161"/>
      <x:c r="G196" s="161"/>
      <x:c r="H196" s="161"/>
      <x:c r="I196" s="161"/>
      <x:c r="J196" s="161"/>
      <x:c r="K196" s="161"/>
      <x:c r="L196" s="161"/>
      <x:c r="M196" s="161"/>
      <x:c r="N196" s="161"/>
      <x:c r="O196" s="161"/>
      <x:c r="P196" s="161"/>
      <x:c r="Q196" s="161"/>
      <x:c r="R196" s="161"/>
      <x:c r="S196" s="161"/>
      <x:c r="T196" s="161"/>
      <x:c r="U196" s="161"/>
      <x:c r="V196" s="161"/>
      <x:c r="W196" s="161"/>
      <x:c r="X196" s="161"/>
      <x:c r="Y196" s="161"/>
      <x:c r="Z196" s="161"/>
    </x:row>
    <x:row r="197">
      <x:c r="A197" s="161"/>
      <x:c r="B197" s="161"/>
      <x:c r="C197" s="161"/>
      <x:c r="D197" s="161"/>
      <x:c r="E197" s="161"/>
      <x:c r="F197" s="161"/>
      <x:c r="G197" s="161"/>
      <x:c r="H197" s="161"/>
      <x:c r="I197" s="161"/>
      <x:c r="J197" s="161"/>
      <x:c r="K197" s="161"/>
      <x:c r="L197" s="161"/>
      <x:c r="M197" s="161"/>
      <x:c r="N197" s="161"/>
      <x:c r="O197" s="161"/>
      <x:c r="P197" s="161"/>
      <x:c r="Q197" s="161"/>
      <x:c r="R197" s="161"/>
      <x:c r="S197" s="161"/>
      <x:c r="T197" s="161"/>
      <x:c r="U197" s="161"/>
      <x:c r="V197" s="161"/>
      <x:c r="W197" s="161"/>
      <x:c r="X197" s="161"/>
      <x:c r="Y197" s="161"/>
      <x:c r="Z197" s="161"/>
    </x:row>
    <x:row r="198">
      <x:c r="A198" s="161"/>
      <x:c r="B198" s="161"/>
      <x:c r="C198" s="161"/>
      <x:c r="D198" s="161"/>
      <x:c r="E198" s="161"/>
      <x:c r="F198" s="161"/>
      <x:c r="G198" s="161"/>
      <x:c r="H198" s="161"/>
      <x:c r="I198" s="161"/>
      <x:c r="J198" s="161"/>
      <x:c r="K198" s="161"/>
      <x:c r="L198" s="161"/>
      <x:c r="M198" s="161"/>
      <x:c r="N198" s="161"/>
      <x:c r="O198" s="161"/>
      <x:c r="P198" s="161"/>
      <x:c r="Q198" s="161"/>
      <x:c r="R198" s="161"/>
      <x:c r="S198" s="161"/>
      <x:c r="T198" s="161"/>
      <x:c r="U198" s="161"/>
      <x:c r="V198" s="161"/>
      <x:c r="W198" s="161"/>
      <x:c r="X198" s="161"/>
      <x:c r="Y198" s="161"/>
      <x:c r="Z198" s="161"/>
    </x:row>
    <x:row r="199">
      <x:c r="A199" s="161"/>
      <x:c r="B199" s="161"/>
      <x:c r="C199" s="161"/>
      <x:c r="D199" s="161"/>
      <x:c r="E199" s="161"/>
      <x:c r="F199" s="161"/>
      <x:c r="G199" s="161"/>
      <x:c r="H199" s="161"/>
      <x:c r="I199" s="161"/>
      <x:c r="J199" s="161"/>
      <x:c r="K199" s="161"/>
      <x:c r="L199" s="161"/>
      <x:c r="M199" s="161"/>
      <x:c r="N199" s="161"/>
      <x:c r="O199" s="161"/>
      <x:c r="P199" s="161"/>
      <x:c r="Q199" s="161"/>
      <x:c r="R199" s="161"/>
      <x:c r="S199" s="161"/>
      <x:c r="T199" s="161"/>
      <x:c r="U199" s="161"/>
      <x:c r="V199" s="161"/>
      <x:c r="W199" s="161"/>
      <x:c r="X199" s="161"/>
      <x:c r="Y199" s="161"/>
      <x:c r="Z199" s="161"/>
    </x:row>
    <x:row r="200">
      <x:c r="A200" s="161"/>
      <x:c r="B200" s="161"/>
      <x:c r="C200" s="161"/>
      <x:c r="D200" s="161"/>
      <x:c r="E200" s="161"/>
      <x:c r="F200" s="161"/>
      <x:c r="G200" s="161"/>
      <x:c r="H200" s="161"/>
      <x:c r="I200" s="161"/>
      <x:c r="J200" s="161"/>
      <x:c r="K200" s="161"/>
      <x:c r="L200" s="161"/>
      <x:c r="M200" s="161"/>
      <x:c r="N200" s="161"/>
      <x:c r="O200" s="161"/>
      <x:c r="P200" s="161"/>
      <x:c r="Q200" s="161"/>
      <x:c r="R200" s="161"/>
      <x:c r="S200" s="161"/>
      <x:c r="T200" s="161"/>
      <x:c r="U200" s="161"/>
      <x:c r="V200" s="161"/>
      <x:c r="W200" s="161"/>
      <x:c r="X200" s="161"/>
      <x:c r="Y200" s="161"/>
      <x:c r="Z200" s="161"/>
    </x:row>
    <x:row r="201">
      <x:c r="A201" s="161"/>
      <x:c r="B201" s="161"/>
      <x:c r="C201" s="161"/>
      <x:c r="D201" s="161"/>
      <x:c r="E201" s="161"/>
      <x:c r="F201" s="161"/>
      <x:c r="G201" s="161"/>
      <x:c r="H201" s="161"/>
      <x:c r="I201" s="161"/>
      <x:c r="J201" s="161"/>
      <x:c r="K201" s="161"/>
      <x:c r="L201" s="161"/>
      <x:c r="M201" s="161"/>
      <x:c r="N201" s="161"/>
      <x:c r="O201" s="161"/>
      <x:c r="P201" s="161"/>
      <x:c r="Q201" s="161"/>
      <x:c r="R201" s="161"/>
      <x:c r="S201" s="161"/>
      <x:c r="T201" s="161"/>
      <x:c r="U201" s="161"/>
      <x:c r="V201" s="161"/>
      <x:c r="W201" s="161"/>
      <x:c r="X201" s="161"/>
      <x:c r="Y201" s="161"/>
      <x:c r="Z201" s="161"/>
    </x:row>
    <x:row r="202">
      <x:c r="A202" s="161"/>
      <x:c r="B202" s="161"/>
      <x:c r="C202" s="161"/>
      <x:c r="D202" s="161"/>
      <x:c r="E202" s="161"/>
      <x:c r="F202" s="161"/>
      <x:c r="G202" s="161"/>
      <x:c r="H202" s="161"/>
      <x:c r="I202" s="161"/>
      <x:c r="J202" s="161"/>
      <x:c r="K202" s="161"/>
      <x:c r="L202" s="161"/>
      <x:c r="M202" s="161"/>
      <x:c r="N202" s="161"/>
      <x:c r="O202" s="161"/>
      <x:c r="P202" s="161"/>
      <x:c r="Q202" s="161"/>
      <x:c r="R202" s="161"/>
      <x:c r="S202" s="161"/>
      <x:c r="T202" s="161"/>
      <x:c r="U202" s="161"/>
      <x:c r="V202" s="161"/>
      <x:c r="W202" s="161"/>
      <x:c r="X202" s="161"/>
      <x:c r="Y202" s="161"/>
      <x:c r="Z202" s="161"/>
    </x:row>
    <x:row r="203">
      <x:c r="A203" s="161"/>
      <x:c r="B203" s="161"/>
      <x:c r="C203" s="161"/>
      <x:c r="D203" s="161"/>
      <x:c r="E203" s="161"/>
      <x:c r="F203" s="161"/>
      <x:c r="G203" s="161"/>
      <x:c r="H203" s="161"/>
      <x:c r="I203" s="161"/>
      <x:c r="J203" s="161"/>
      <x:c r="K203" s="161"/>
      <x:c r="L203" s="161"/>
      <x:c r="M203" s="161"/>
      <x:c r="N203" s="161"/>
      <x:c r="O203" s="161"/>
      <x:c r="P203" s="161"/>
      <x:c r="Q203" s="161"/>
      <x:c r="R203" s="161"/>
      <x:c r="S203" s="161"/>
      <x:c r="T203" s="161"/>
      <x:c r="U203" s="161"/>
      <x:c r="V203" s="161"/>
      <x:c r="W203" s="161"/>
      <x:c r="X203" s="161"/>
      <x:c r="Y203" s="161"/>
      <x:c r="Z203" s="161"/>
    </x:row>
    <x:row r="204">
      <x:c r="A204" s="161"/>
      <x:c r="B204" s="161"/>
      <x:c r="C204" s="161"/>
      <x:c r="D204" s="161"/>
      <x:c r="E204" s="161"/>
      <x:c r="F204" s="161"/>
      <x:c r="G204" s="161"/>
      <x:c r="H204" s="161"/>
      <x:c r="I204" s="161"/>
      <x:c r="J204" s="161"/>
      <x:c r="K204" s="161"/>
      <x:c r="L204" s="161"/>
      <x:c r="M204" s="161"/>
      <x:c r="N204" s="161"/>
      <x:c r="O204" s="161"/>
      <x:c r="P204" s="161"/>
      <x:c r="Q204" s="161"/>
      <x:c r="R204" s="161"/>
      <x:c r="S204" s="161"/>
      <x:c r="T204" s="161"/>
      <x:c r="U204" s="161"/>
      <x:c r="V204" s="161"/>
      <x:c r="W204" s="161"/>
      <x:c r="X204" s="161"/>
      <x:c r="Y204" s="161"/>
      <x:c r="Z204" s="161"/>
    </x:row>
    <x:row r="205">
      <x:c r="A205" s="161"/>
      <x:c r="B205" s="161"/>
      <x:c r="C205" s="161"/>
      <x:c r="D205" s="161"/>
      <x:c r="E205" s="161"/>
      <x:c r="F205" s="161"/>
      <x:c r="G205" s="161"/>
      <x:c r="H205" s="161"/>
      <x:c r="I205" s="161"/>
      <x:c r="J205" s="161"/>
      <x:c r="K205" s="161"/>
      <x:c r="L205" s="161"/>
      <x:c r="M205" s="161"/>
      <x:c r="N205" s="161"/>
      <x:c r="O205" s="161"/>
      <x:c r="P205" s="161"/>
      <x:c r="Q205" s="161"/>
      <x:c r="R205" s="161"/>
      <x:c r="S205" s="161"/>
      <x:c r="T205" s="161"/>
      <x:c r="U205" s="161"/>
      <x:c r="V205" s="161"/>
      <x:c r="W205" s="161"/>
      <x:c r="X205" s="161"/>
      <x:c r="Y205" s="161"/>
      <x:c r="Z205" s="161"/>
    </x:row>
    <x:row r="206">
      <x:c r="A206" s="161"/>
      <x:c r="B206" s="161"/>
      <x:c r="C206" s="161"/>
      <x:c r="D206" s="161"/>
      <x:c r="E206" s="161"/>
      <x:c r="F206" s="161"/>
      <x:c r="G206" s="161"/>
      <x:c r="H206" s="161"/>
      <x:c r="I206" s="161"/>
      <x:c r="J206" s="161"/>
      <x:c r="K206" s="161"/>
      <x:c r="L206" s="161"/>
      <x:c r="M206" s="161"/>
      <x:c r="N206" s="161"/>
      <x:c r="O206" s="161"/>
      <x:c r="P206" s="161"/>
      <x:c r="Q206" s="161"/>
      <x:c r="R206" s="161"/>
      <x:c r="S206" s="161"/>
      <x:c r="T206" s="161"/>
      <x:c r="U206" s="161"/>
      <x:c r="V206" s="161"/>
      <x:c r="W206" s="161"/>
      <x:c r="X206" s="161"/>
      <x:c r="Y206" s="161"/>
      <x:c r="Z206" s="161"/>
    </x:row>
    <x:row r="207">
      <x:c r="A207" s="161"/>
      <x:c r="B207" s="161"/>
      <x:c r="C207" s="161"/>
      <x:c r="D207" s="161"/>
      <x:c r="E207" s="161"/>
      <x:c r="F207" s="161"/>
      <x:c r="G207" s="161"/>
      <x:c r="H207" s="161"/>
      <x:c r="I207" s="161"/>
      <x:c r="J207" s="161"/>
      <x:c r="K207" s="161"/>
      <x:c r="L207" s="161"/>
      <x:c r="M207" s="161"/>
      <x:c r="N207" s="161"/>
      <x:c r="O207" s="161"/>
      <x:c r="P207" s="161"/>
      <x:c r="Q207" s="161"/>
      <x:c r="R207" s="161"/>
      <x:c r="S207" s="161"/>
      <x:c r="T207" s="161"/>
      <x:c r="U207" s="161"/>
      <x:c r="V207" s="161"/>
      <x:c r="W207" s="161"/>
      <x:c r="X207" s="161"/>
      <x:c r="Y207" s="161"/>
      <x:c r="Z207" s="161"/>
    </x:row>
    <x:row r="208">
      <x:c r="A208" s="161"/>
      <x:c r="B208" s="161"/>
      <x:c r="C208" s="161"/>
      <x:c r="D208" s="161"/>
      <x:c r="E208" s="161"/>
      <x:c r="F208" s="161"/>
      <x:c r="G208" s="161"/>
      <x:c r="H208" s="161"/>
      <x:c r="I208" s="161"/>
      <x:c r="J208" s="161"/>
      <x:c r="K208" s="161"/>
      <x:c r="L208" s="161"/>
      <x:c r="M208" s="161"/>
      <x:c r="N208" s="161"/>
      <x:c r="O208" s="161"/>
      <x:c r="P208" s="161"/>
      <x:c r="Q208" s="161"/>
      <x:c r="R208" s="161"/>
      <x:c r="S208" s="161"/>
      <x:c r="T208" s="161"/>
      <x:c r="U208" s="161"/>
      <x:c r="V208" s="161"/>
      <x:c r="W208" s="161"/>
      <x:c r="X208" s="161"/>
      <x:c r="Y208" s="161"/>
      <x:c r="Z208" s="161"/>
    </x:row>
    <x:row r="209">
      <x:c r="A209" s="161"/>
      <x:c r="B209" s="161"/>
      <x:c r="C209" s="161"/>
      <x:c r="D209" s="161"/>
      <x:c r="E209" s="161"/>
      <x:c r="F209" s="161"/>
      <x:c r="G209" s="161"/>
      <x:c r="H209" s="161"/>
      <x:c r="I209" s="161"/>
      <x:c r="J209" s="161"/>
      <x:c r="K209" s="161"/>
      <x:c r="L209" s="161"/>
      <x:c r="M209" s="161"/>
      <x:c r="N209" s="161"/>
      <x:c r="O209" s="161"/>
      <x:c r="P209" s="161"/>
      <x:c r="Q209" s="161"/>
      <x:c r="R209" s="161"/>
      <x:c r="S209" s="161"/>
      <x:c r="T209" s="161"/>
      <x:c r="U209" s="161"/>
      <x:c r="V209" s="161"/>
      <x:c r="W209" s="161"/>
      <x:c r="X209" s="161"/>
      <x:c r="Y209" s="161"/>
      <x:c r="Z209" s="161"/>
    </x:row>
    <x:row r="210">
      <x:c r="A210" s="161"/>
      <x:c r="B210" s="161"/>
      <x:c r="C210" s="161"/>
      <x:c r="D210" s="161"/>
      <x:c r="E210" s="161"/>
      <x:c r="F210" s="161"/>
      <x:c r="G210" s="161"/>
      <x:c r="H210" s="161"/>
      <x:c r="I210" s="161"/>
      <x:c r="J210" s="161"/>
      <x:c r="K210" s="161"/>
      <x:c r="L210" s="161"/>
      <x:c r="M210" s="161"/>
      <x:c r="N210" s="161"/>
      <x:c r="O210" s="161"/>
      <x:c r="P210" s="161"/>
      <x:c r="Q210" s="161"/>
      <x:c r="R210" s="161"/>
      <x:c r="S210" s="161"/>
      <x:c r="T210" s="161"/>
      <x:c r="U210" s="161"/>
      <x:c r="V210" s="161"/>
      <x:c r="W210" s="161"/>
      <x:c r="X210" s="161"/>
      <x:c r="Y210" s="161"/>
      <x:c r="Z210" s="161"/>
    </x:row>
    <x:row r="211">
      <x:c r="A211" s="161"/>
      <x:c r="B211" s="161"/>
      <x:c r="C211" s="161"/>
      <x:c r="D211" s="161"/>
      <x:c r="E211" s="161"/>
      <x:c r="F211" s="161"/>
      <x:c r="G211" s="161"/>
      <x:c r="H211" s="161"/>
      <x:c r="I211" s="161"/>
      <x:c r="J211" s="161"/>
      <x:c r="K211" s="161"/>
      <x:c r="L211" s="161"/>
      <x:c r="M211" s="161"/>
      <x:c r="N211" s="161"/>
      <x:c r="O211" s="161"/>
      <x:c r="P211" s="161"/>
      <x:c r="Q211" s="161"/>
      <x:c r="R211" s="161"/>
      <x:c r="S211" s="161"/>
      <x:c r="T211" s="161"/>
      <x:c r="U211" s="161"/>
      <x:c r="V211" s="161"/>
      <x:c r="W211" s="161"/>
      <x:c r="X211" s="161"/>
      <x:c r="Y211" s="161"/>
      <x:c r="Z211" s="161"/>
    </x:row>
    <x:row r="212">
      <x:c r="A212" s="161"/>
      <x:c r="B212" s="161"/>
      <x:c r="C212" s="161"/>
      <x:c r="D212" s="161"/>
      <x:c r="E212" s="161"/>
      <x:c r="F212" s="161"/>
      <x:c r="G212" s="161"/>
      <x:c r="H212" s="161"/>
      <x:c r="I212" s="161"/>
      <x:c r="J212" s="161"/>
      <x:c r="K212" s="161"/>
      <x:c r="L212" s="161"/>
      <x:c r="M212" s="161"/>
      <x:c r="N212" s="161"/>
      <x:c r="O212" s="161"/>
      <x:c r="P212" s="161"/>
      <x:c r="Q212" s="161"/>
      <x:c r="R212" s="161"/>
      <x:c r="S212" s="161"/>
      <x:c r="T212" s="161"/>
      <x:c r="U212" s="161"/>
      <x:c r="V212" s="161"/>
      <x:c r="W212" s="161"/>
      <x:c r="X212" s="161"/>
      <x:c r="Y212" s="161"/>
      <x:c r="Z212" s="161"/>
    </x:row>
    <x:row r="213">
      <x:c r="A213" s="161"/>
      <x:c r="B213" s="161"/>
      <x:c r="C213" s="161"/>
      <x:c r="D213" s="161"/>
      <x:c r="E213" s="161"/>
      <x:c r="F213" s="161"/>
      <x:c r="G213" s="161"/>
      <x:c r="H213" s="161"/>
      <x:c r="I213" s="161"/>
      <x:c r="J213" s="161"/>
      <x:c r="K213" s="161"/>
      <x:c r="L213" s="161"/>
      <x:c r="M213" s="161"/>
      <x:c r="N213" s="161"/>
      <x:c r="O213" s="161"/>
      <x:c r="P213" s="161"/>
      <x:c r="Q213" s="161"/>
      <x:c r="R213" s="161"/>
      <x:c r="S213" s="161"/>
      <x:c r="T213" s="161"/>
      <x:c r="U213" s="161"/>
      <x:c r="V213" s="161"/>
      <x:c r="W213" s="161"/>
      <x:c r="X213" s="161"/>
      <x:c r="Y213" s="161"/>
      <x:c r="Z213" s="161"/>
    </x:row>
    <x:row r="214">
      <x:c r="A214" s="161"/>
      <x:c r="B214" s="161"/>
      <x:c r="C214" s="161"/>
      <x:c r="D214" s="161"/>
      <x:c r="E214" s="161"/>
      <x:c r="F214" s="161"/>
      <x:c r="G214" s="161"/>
      <x:c r="H214" s="161"/>
      <x:c r="I214" s="161"/>
      <x:c r="J214" s="161"/>
      <x:c r="K214" s="161"/>
      <x:c r="L214" s="161"/>
      <x:c r="M214" s="161"/>
      <x:c r="N214" s="161"/>
      <x:c r="O214" s="161"/>
      <x:c r="P214" s="161"/>
      <x:c r="Q214" s="161"/>
      <x:c r="R214" s="161"/>
      <x:c r="S214" s="161"/>
      <x:c r="T214" s="161"/>
      <x:c r="U214" s="161"/>
      <x:c r="V214" s="161"/>
      <x:c r="W214" s="161"/>
      <x:c r="X214" s="161"/>
      <x:c r="Y214" s="161"/>
      <x:c r="Z214" s="161"/>
    </x:row>
    <x:row r="215">
      <x:c r="A215" s="161"/>
      <x:c r="B215" s="161"/>
      <x:c r="C215" s="161"/>
      <x:c r="D215" s="161"/>
      <x:c r="E215" s="161"/>
      <x:c r="F215" s="161"/>
      <x:c r="G215" s="161"/>
      <x:c r="H215" s="161"/>
      <x:c r="I215" s="161"/>
      <x:c r="J215" s="161"/>
      <x:c r="K215" s="161"/>
      <x:c r="L215" s="161"/>
      <x:c r="M215" s="161"/>
      <x:c r="N215" s="161"/>
      <x:c r="O215" s="161"/>
      <x:c r="P215" s="161"/>
      <x:c r="Q215" s="161"/>
      <x:c r="R215" s="161"/>
      <x:c r="S215" s="161"/>
      <x:c r="T215" s="161"/>
      <x:c r="U215" s="161"/>
      <x:c r="V215" s="161"/>
      <x:c r="W215" s="161"/>
      <x:c r="X215" s="161"/>
      <x:c r="Y215" s="161"/>
      <x:c r="Z215" s="161"/>
    </x:row>
    <x:row r="216">
      <x:c r="A216" s="161"/>
      <x:c r="B216" s="161"/>
      <x:c r="C216" s="161"/>
      <x:c r="D216" s="161"/>
      <x:c r="E216" s="161"/>
      <x:c r="F216" s="161"/>
      <x:c r="G216" s="161"/>
      <x:c r="H216" s="161"/>
      <x:c r="I216" s="161"/>
      <x:c r="J216" s="161"/>
      <x:c r="K216" s="161"/>
      <x:c r="L216" s="161"/>
      <x:c r="M216" s="161"/>
      <x:c r="N216" s="161"/>
      <x:c r="O216" s="161"/>
      <x:c r="P216" s="161"/>
      <x:c r="Q216" s="161"/>
      <x:c r="R216" s="161"/>
      <x:c r="S216" s="161"/>
      <x:c r="T216" s="161"/>
      <x:c r="U216" s="161"/>
      <x:c r="V216" s="161"/>
      <x:c r="W216" s="161"/>
      <x:c r="X216" s="161"/>
      <x:c r="Y216" s="161"/>
      <x:c r="Z216" s="161"/>
    </x:row>
    <x:row r="217">
      <x:c r="A217" s="161"/>
      <x:c r="B217" s="161"/>
      <x:c r="C217" s="161"/>
      <x:c r="D217" s="161"/>
      <x:c r="E217" s="161"/>
      <x:c r="F217" s="161"/>
      <x:c r="G217" s="161"/>
      <x:c r="H217" s="161"/>
      <x:c r="I217" s="161"/>
      <x:c r="J217" s="161"/>
      <x:c r="K217" s="161"/>
      <x:c r="L217" s="161"/>
      <x:c r="M217" s="161"/>
      <x:c r="N217" s="161"/>
      <x:c r="O217" s="161"/>
      <x:c r="P217" s="161"/>
      <x:c r="Q217" s="161"/>
      <x:c r="R217" s="161"/>
      <x:c r="S217" s="161"/>
      <x:c r="T217" s="161"/>
      <x:c r="U217" s="161"/>
      <x:c r="V217" s="161"/>
      <x:c r="W217" s="161"/>
      <x:c r="X217" s="161"/>
      <x:c r="Y217" s="161"/>
      <x:c r="Z217" s="161"/>
    </x:row>
    <x:row r="218">
      <x:c r="A218" s="161"/>
      <x:c r="B218" s="161"/>
      <x:c r="C218" s="161"/>
      <x:c r="D218" s="161"/>
      <x:c r="E218" s="161"/>
      <x:c r="F218" s="161"/>
      <x:c r="G218" s="161"/>
      <x:c r="H218" s="161"/>
      <x:c r="I218" s="161"/>
      <x:c r="J218" s="161"/>
      <x:c r="K218" s="161"/>
      <x:c r="L218" s="161"/>
      <x:c r="M218" s="161"/>
      <x:c r="N218" s="161"/>
      <x:c r="O218" s="161"/>
      <x:c r="P218" s="161"/>
      <x:c r="Q218" s="161"/>
      <x:c r="R218" s="161"/>
      <x:c r="S218" s="161"/>
      <x:c r="T218" s="161"/>
      <x:c r="U218" s="161"/>
      <x:c r="V218" s="161"/>
      <x:c r="W218" s="161"/>
      <x:c r="X218" s="161"/>
      <x:c r="Y218" s="161"/>
      <x:c r="Z218" s="161"/>
    </x:row>
    <x:row r="219">
      <x:c r="A219" s="161"/>
      <x:c r="B219" s="161"/>
      <x:c r="C219" s="161"/>
      <x:c r="D219" s="161"/>
      <x:c r="E219" s="161"/>
      <x:c r="F219" s="161"/>
      <x:c r="G219" s="161"/>
      <x:c r="H219" s="161"/>
      <x:c r="I219" s="161"/>
      <x:c r="J219" s="161"/>
      <x:c r="K219" s="161"/>
      <x:c r="L219" s="161"/>
      <x:c r="M219" s="161"/>
      <x:c r="N219" s="161"/>
      <x:c r="O219" s="161"/>
      <x:c r="P219" s="161"/>
      <x:c r="Q219" s="161"/>
      <x:c r="R219" s="161"/>
      <x:c r="S219" s="161"/>
      <x:c r="T219" s="161"/>
      <x:c r="U219" s="161"/>
      <x:c r="V219" s="161"/>
      <x:c r="W219" s="161"/>
      <x:c r="X219" s="161"/>
      <x:c r="Y219" s="161"/>
      <x:c r="Z219" s="161"/>
    </x:row>
    <x:row r="220">
      <x:c r="A220" s="161"/>
      <x:c r="B220" s="161"/>
      <x:c r="C220" s="161"/>
      <x:c r="D220" s="161"/>
      <x:c r="E220" s="161"/>
      <x:c r="F220" s="161"/>
      <x:c r="G220" s="161"/>
      <x:c r="H220" s="161"/>
      <x:c r="I220" s="161"/>
      <x:c r="J220" s="161"/>
      <x:c r="K220" s="161"/>
      <x:c r="L220" s="161"/>
      <x:c r="M220" s="161"/>
      <x:c r="N220" s="161"/>
      <x:c r="O220" s="161"/>
      <x:c r="P220" s="161"/>
      <x:c r="Q220" s="161"/>
      <x:c r="R220" s="161"/>
      <x:c r="S220" s="161"/>
      <x:c r="T220" s="161"/>
      <x:c r="U220" s="161"/>
      <x:c r="V220" s="161"/>
      <x:c r="W220" s="161"/>
      <x:c r="X220" s="161"/>
      <x:c r="Y220" s="161"/>
      <x:c r="Z220" s="161"/>
    </x:row>
    <x:row r="221">
      <x:c r="A221" s="161"/>
      <x:c r="B221" s="161"/>
      <x:c r="C221" s="161"/>
      <x:c r="D221" s="161"/>
      <x:c r="E221" s="161"/>
      <x:c r="F221" s="161"/>
      <x:c r="G221" s="161"/>
      <x:c r="H221" s="161"/>
      <x:c r="I221" s="161"/>
      <x:c r="J221" s="161"/>
      <x:c r="K221" s="161"/>
      <x:c r="L221" s="161"/>
      <x:c r="M221" s="161"/>
      <x:c r="N221" s="161"/>
      <x:c r="O221" s="161"/>
      <x:c r="P221" s="161"/>
      <x:c r="Q221" s="161"/>
      <x:c r="R221" s="161"/>
      <x:c r="S221" s="161"/>
      <x:c r="T221" s="161"/>
      <x:c r="U221" s="161"/>
      <x:c r="V221" s="161"/>
      <x:c r="W221" s="161"/>
      <x:c r="X221" s="161"/>
      <x:c r="Y221" s="161"/>
      <x:c r="Z221" s="161"/>
    </x:row>
    <x:row r="222">
      <x:c r="A222" s="161"/>
      <x:c r="B222" s="161"/>
      <x:c r="C222" s="161"/>
      <x:c r="D222" s="161"/>
      <x:c r="E222" s="161"/>
      <x:c r="F222" s="161"/>
      <x:c r="G222" s="161"/>
      <x:c r="H222" s="161"/>
      <x:c r="I222" s="161"/>
      <x:c r="J222" s="161"/>
      <x:c r="K222" s="161"/>
      <x:c r="L222" s="161"/>
      <x:c r="M222" s="161"/>
      <x:c r="N222" s="161"/>
      <x:c r="O222" s="161"/>
      <x:c r="P222" s="161"/>
      <x:c r="Q222" s="161"/>
      <x:c r="R222" s="161"/>
      <x:c r="S222" s="161"/>
      <x:c r="T222" s="161"/>
      <x:c r="U222" s="161"/>
      <x:c r="V222" s="161"/>
      <x:c r="W222" s="161"/>
      <x:c r="X222" s="161"/>
      <x:c r="Y222" s="161"/>
      <x:c r="Z222" s="161"/>
    </x:row>
    <x:row r="223">
      <x:c r="A223" s="161"/>
      <x:c r="B223" s="161"/>
      <x:c r="C223" s="161"/>
      <x:c r="D223" s="161"/>
      <x:c r="E223" s="161"/>
      <x:c r="F223" s="161"/>
      <x:c r="G223" s="161"/>
      <x:c r="H223" s="161"/>
      <x:c r="I223" s="161"/>
      <x:c r="J223" s="161"/>
      <x:c r="K223" s="161"/>
      <x:c r="L223" s="161"/>
      <x:c r="M223" s="161"/>
      <x:c r="N223" s="161"/>
      <x:c r="O223" s="161"/>
      <x:c r="P223" s="161"/>
      <x:c r="Q223" s="161"/>
      <x:c r="R223" s="161"/>
      <x:c r="S223" s="161"/>
      <x:c r="T223" s="161"/>
      <x:c r="U223" s="161"/>
      <x:c r="V223" s="161"/>
      <x:c r="W223" s="161"/>
      <x:c r="X223" s="161"/>
      <x:c r="Y223" s="161"/>
      <x:c r="Z223" s="161"/>
    </x:row>
    <x:row r="224">
      <x:c r="A224" s="161"/>
      <x:c r="B224" s="161"/>
      <x:c r="C224" s="161"/>
      <x:c r="D224" s="161"/>
      <x:c r="E224" s="161"/>
      <x:c r="F224" s="161"/>
      <x:c r="G224" s="161"/>
      <x:c r="H224" s="161"/>
      <x:c r="I224" s="161"/>
      <x:c r="J224" s="161"/>
      <x:c r="K224" s="161"/>
      <x:c r="L224" s="161"/>
      <x:c r="M224" s="161"/>
      <x:c r="N224" s="161"/>
      <x:c r="O224" s="161"/>
      <x:c r="P224" s="161"/>
      <x:c r="Q224" s="161"/>
      <x:c r="R224" s="161"/>
      <x:c r="S224" s="161"/>
      <x:c r="T224" s="161"/>
      <x:c r="U224" s="161"/>
      <x:c r="V224" s="161"/>
      <x:c r="W224" s="161"/>
      <x:c r="X224" s="161"/>
      <x:c r="Y224" s="161"/>
      <x:c r="Z224" s="161"/>
    </x:row>
    <x:row r="225">
      <x:c r="A225" s="161"/>
      <x:c r="B225" s="161"/>
      <x:c r="C225" s="161"/>
      <x:c r="D225" s="161"/>
      <x:c r="E225" s="161"/>
      <x:c r="F225" s="161"/>
      <x:c r="G225" s="161"/>
      <x:c r="H225" s="161"/>
      <x:c r="I225" s="161"/>
      <x:c r="J225" s="161"/>
      <x:c r="K225" s="161"/>
      <x:c r="L225" s="161"/>
      <x:c r="M225" s="161"/>
      <x:c r="N225" s="161"/>
      <x:c r="O225" s="161"/>
      <x:c r="P225" s="161"/>
      <x:c r="Q225" s="161"/>
      <x:c r="R225" s="161"/>
      <x:c r="S225" s="161"/>
      <x:c r="T225" s="161"/>
      <x:c r="U225" s="161"/>
      <x:c r="V225" s="161"/>
      <x:c r="W225" s="161"/>
      <x:c r="X225" s="161"/>
      <x:c r="Y225" s="161"/>
      <x:c r="Z225" s="161"/>
    </x:row>
    <x:row r="226">
      <x:c r="A226" s="161"/>
      <x:c r="B226" s="161"/>
      <x:c r="C226" s="161"/>
      <x:c r="D226" s="161"/>
      <x:c r="E226" s="161"/>
      <x:c r="F226" s="161"/>
      <x:c r="G226" s="161"/>
      <x:c r="H226" s="161"/>
      <x:c r="I226" s="161"/>
      <x:c r="J226" s="161"/>
      <x:c r="K226" s="161"/>
      <x:c r="L226" s="161"/>
      <x:c r="M226" s="161"/>
      <x:c r="N226" s="161"/>
      <x:c r="O226" s="161"/>
      <x:c r="P226" s="161"/>
      <x:c r="Q226" s="161"/>
      <x:c r="R226" s="161"/>
      <x:c r="S226" s="161"/>
      <x:c r="T226" s="161"/>
      <x:c r="U226" s="161"/>
      <x:c r="V226" s="161"/>
      <x:c r="W226" s="161"/>
      <x:c r="X226" s="161"/>
      <x:c r="Y226" s="161"/>
      <x:c r="Z226" s="161"/>
    </x:row>
    <x:row r="227">
      <x:c r="A227" s="161"/>
      <x:c r="B227" s="161"/>
      <x:c r="C227" s="161"/>
      <x:c r="D227" s="161"/>
      <x:c r="E227" s="161"/>
      <x:c r="F227" s="161"/>
      <x:c r="G227" s="161"/>
      <x:c r="H227" s="161"/>
      <x:c r="I227" s="161"/>
      <x:c r="J227" s="161"/>
      <x:c r="K227" s="161"/>
      <x:c r="L227" s="161"/>
      <x:c r="M227" s="161"/>
      <x:c r="N227" s="161"/>
      <x:c r="O227" s="161"/>
      <x:c r="P227" s="161"/>
      <x:c r="Q227" s="161"/>
      <x:c r="R227" s="161"/>
      <x:c r="S227" s="161"/>
      <x:c r="T227" s="161"/>
      <x:c r="U227" s="161"/>
      <x:c r="V227" s="161"/>
      <x:c r="W227" s="161"/>
      <x:c r="X227" s="161"/>
      <x:c r="Y227" s="161"/>
      <x:c r="Z227" s="161"/>
    </x:row>
    <x:row r="228">
      <x:c r="A228" s="161"/>
      <x:c r="B228" s="161"/>
      <x:c r="C228" s="161"/>
      <x:c r="D228" s="161"/>
      <x:c r="E228" s="161"/>
      <x:c r="F228" s="161"/>
      <x:c r="G228" s="161"/>
      <x:c r="H228" s="161"/>
      <x:c r="I228" s="161"/>
      <x:c r="J228" s="161"/>
      <x:c r="K228" s="161"/>
      <x:c r="L228" s="161"/>
      <x:c r="M228" s="161"/>
      <x:c r="N228" s="161"/>
      <x:c r="O228" s="161"/>
      <x:c r="P228" s="161"/>
      <x:c r="Q228" s="161"/>
      <x:c r="R228" s="161"/>
      <x:c r="S228" s="161"/>
      <x:c r="T228" s="161"/>
      <x:c r="U228" s="161"/>
      <x:c r="V228" s="161"/>
      <x:c r="W228" s="161"/>
      <x:c r="X228" s="161"/>
      <x:c r="Y228" s="161"/>
      <x:c r="Z228" s="161"/>
    </x:row>
    <x:row r="229">
      <x:c r="A229" s="161"/>
      <x:c r="B229" s="161"/>
      <x:c r="C229" s="161"/>
      <x:c r="D229" s="161"/>
      <x:c r="E229" s="161"/>
      <x:c r="F229" s="161"/>
      <x:c r="G229" s="161"/>
      <x:c r="H229" s="161"/>
      <x:c r="I229" s="161"/>
      <x:c r="J229" s="161"/>
      <x:c r="K229" s="161"/>
      <x:c r="L229" s="161"/>
      <x:c r="M229" s="161"/>
      <x:c r="N229" s="161"/>
      <x:c r="O229" s="161"/>
      <x:c r="P229" s="161"/>
      <x:c r="Q229" s="161"/>
      <x:c r="R229" s="161"/>
      <x:c r="S229" s="161"/>
      <x:c r="T229" s="161"/>
      <x:c r="U229" s="161"/>
      <x:c r="V229" s="161"/>
      <x:c r="W229" s="161"/>
      <x:c r="X229" s="161"/>
      <x:c r="Y229" s="161"/>
      <x:c r="Z229" s="161"/>
    </x:row>
    <x:row r="230">
      <x:c r="A230" s="161"/>
      <x:c r="B230" s="161"/>
      <x:c r="C230" s="161"/>
      <x:c r="D230" s="161"/>
      <x:c r="E230" s="161"/>
      <x:c r="F230" s="161"/>
      <x:c r="G230" s="161"/>
      <x:c r="H230" s="161"/>
      <x:c r="I230" s="161"/>
      <x:c r="J230" s="161"/>
      <x:c r="K230" s="161"/>
      <x:c r="L230" s="161"/>
      <x:c r="M230" s="161"/>
      <x:c r="N230" s="161"/>
      <x:c r="O230" s="161"/>
      <x:c r="P230" s="161"/>
      <x:c r="Q230" s="161"/>
      <x:c r="R230" s="161"/>
      <x:c r="S230" s="161"/>
      <x:c r="T230" s="161"/>
      <x:c r="U230" s="161"/>
      <x:c r="V230" s="161"/>
      <x:c r="W230" s="161"/>
      <x:c r="X230" s="161"/>
      <x:c r="Y230" s="161"/>
      <x:c r="Z230" s="161"/>
    </x:row>
    <x:row r="231">
      <x:c r="A231" s="161"/>
      <x:c r="B231" s="161"/>
      <x:c r="C231" s="161"/>
      <x:c r="D231" s="161"/>
      <x:c r="E231" s="161"/>
      <x:c r="F231" s="161"/>
      <x:c r="G231" s="161"/>
      <x:c r="H231" s="161"/>
      <x:c r="I231" s="161"/>
      <x:c r="J231" s="161"/>
      <x:c r="K231" s="161"/>
      <x:c r="L231" s="161"/>
      <x:c r="M231" s="161"/>
      <x:c r="N231" s="161"/>
      <x:c r="O231" s="161"/>
      <x:c r="P231" s="161"/>
      <x:c r="Q231" s="161"/>
      <x:c r="R231" s="161"/>
      <x:c r="S231" s="161"/>
      <x:c r="T231" s="161"/>
      <x:c r="U231" s="161"/>
      <x:c r="V231" s="161"/>
      <x:c r="W231" s="161"/>
      <x:c r="X231" s="161"/>
      <x:c r="Y231" s="161"/>
      <x:c r="Z231" s="161"/>
    </x:row>
    <x:row r="232">
      <x:c r="A232" s="161"/>
      <x:c r="B232" s="161"/>
      <x:c r="C232" s="161"/>
      <x:c r="D232" s="161"/>
      <x:c r="E232" s="161"/>
      <x:c r="F232" s="161"/>
      <x:c r="G232" s="161"/>
      <x:c r="H232" s="161"/>
      <x:c r="I232" s="161"/>
      <x:c r="J232" s="161"/>
      <x:c r="K232" s="161"/>
      <x:c r="L232" s="161"/>
      <x:c r="M232" s="161"/>
      <x:c r="N232" s="161"/>
      <x:c r="O232" s="161"/>
      <x:c r="P232" s="161"/>
      <x:c r="Q232" s="161"/>
      <x:c r="R232" s="161"/>
      <x:c r="S232" s="161"/>
      <x:c r="T232" s="161"/>
      <x:c r="U232" s="161"/>
      <x:c r="V232" s="161"/>
      <x:c r="W232" s="161"/>
      <x:c r="X232" s="161"/>
      <x:c r="Y232" s="161"/>
      <x:c r="Z232" s="161"/>
    </x:row>
    <x:row r="233">
      <x:c r="A233" s="161"/>
      <x:c r="B233" s="161"/>
      <x:c r="C233" s="161"/>
      <x:c r="D233" s="161"/>
      <x:c r="E233" s="161"/>
      <x:c r="F233" s="161"/>
      <x:c r="G233" s="161"/>
      <x:c r="H233" s="161"/>
      <x:c r="I233" s="161"/>
      <x:c r="J233" s="161"/>
      <x:c r="K233" s="161"/>
      <x:c r="L233" s="161"/>
      <x:c r="M233" s="161"/>
      <x:c r="N233" s="161"/>
      <x:c r="O233" s="161"/>
      <x:c r="P233" s="161"/>
      <x:c r="Q233" s="161"/>
      <x:c r="R233" s="161"/>
      <x:c r="S233" s="161"/>
      <x:c r="T233" s="161"/>
      <x:c r="U233" s="161"/>
      <x:c r="V233" s="161"/>
      <x:c r="W233" s="161"/>
      <x:c r="X233" s="161"/>
      <x:c r="Y233" s="161"/>
      <x:c r="Z233" s="161"/>
    </x:row>
    <x:row r="234">
      <x:c r="A234" s="161"/>
      <x:c r="B234" s="161"/>
      <x:c r="C234" s="161"/>
      <x:c r="D234" s="161"/>
      <x:c r="E234" s="161"/>
      <x:c r="F234" s="161"/>
      <x:c r="G234" s="161"/>
      <x:c r="H234" s="161"/>
      <x:c r="I234" s="161"/>
      <x:c r="J234" s="161"/>
      <x:c r="K234" s="161"/>
      <x:c r="L234" s="161"/>
      <x:c r="M234" s="161"/>
      <x:c r="N234" s="161"/>
      <x:c r="O234" s="161"/>
      <x:c r="P234" s="161"/>
      <x:c r="Q234" s="161"/>
      <x:c r="R234" s="161"/>
      <x:c r="S234" s="161"/>
      <x:c r="T234" s="161"/>
      <x:c r="U234" s="161"/>
      <x:c r="V234" s="161"/>
      <x:c r="W234" s="161"/>
      <x:c r="X234" s="161"/>
      <x:c r="Y234" s="161"/>
      <x:c r="Z234" s="161"/>
    </x:row>
    <x:row r="235">
      <x:c r="A235" s="161"/>
      <x:c r="B235" s="161"/>
      <x:c r="C235" s="161"/>
      <x:c r="D235" s="161"/>
      <x:c r="E235" s="161"/>
      <x:c r="F235" s="161"/>
      <x:c r="G235" s="161"/>
      <x:c r="H235" s="161"/>
      <x:c r="I235" s="161"/>
      <x:c r="J235" s="161"/>
      <x:c r="K235" s="161"/>
      <x:c r="L235" s="161"/>
      <x:c r="M235" s="161"/>
      <x:c r="N235" s="161"/>
      <x:c r="O235" s="161"/>
      <x:c r="P235" s="161"/>
      <x:c r="Q235" s="161"/>
      <x:c r="R235" s="161"/>
      <x:c r="S235" s="161"/>
      <x:c r="T235" s="161"/>
      <x:c r="U235" s="161"/>
      <x:c r="V235" s="161"/>
      <x:c r="W235" s="161"/>
      <x:c r="X235" s="161"/>
      <x:c r="Y235" s="161"/>
      <x:c r="Z235" s="161"/>
    </x:row>
    <x:row r="236">
      <x:c r="A236" s="161"/>
      <x:c r="B236" s="161"/>
      <x:c r="C236" s="161"/>
      <x:c r="D236" s="161"/>
      <x:c r="E236" s="161"/>
      <x:c r="F236" s="161"/>
      <x:c r="G236" s="161"/>
      <x:c r="H236" s="161"/>
      <x:c r="I236" s="161"/>
      <x:c r="J236" s="161"/>
      <x:c r="K236" s="161"/>
      <x:c r="L236" s="161"/>
      <x:c r="M236" s="161"/>
      <x:c r="N236" s="161"/>
      <x:c r="O236" s="161"/>
      <x:c r="P236" s="161"/>
      <x:c r="Q236" s="161"/>
      <x:c r="R236" s="161"/>
      <x:c r="S236" s="161"/>
      <x:c r="T236" s="161"/>
      <x:c r="U236" s="161"/>
      <x:c r="V236" s="161"/>
      <x:c r="W236" s="161"/>
      <x:c r="X236" s="161"/>
      <x:c r="Y236" s="161"/>
      <x:c r="Z236" s="161"/>
    </x:row>
    <x:row r="237">
      <x:c r="A237" s="161"/>
      <x:c r="B237" s="161"/>
      <x:c r="C237" s="161"/>
      <x:c r="D237" s="161"/>
      <x:c r="E237" s="161"/>
      <x:c r="F237" s="161"/>
      <x:c r="G237" s="161"/>
      <x:c r="H237" s="161"/>
      <x:c r="I237" s="161"/>
      <x:c r="J237" s="161"/>
      <x:c r="K237" s="161"/>
      <x:c r="L237" s="161"/>
      <x:c r="M237" s="161"/>
      <x:c r="N237" s="161"/>
      <x:c r="O237" s="161"/>
      <x:c r="P237" s="161"/>
      <x:c r="Q237" s="161"/>
      <x:c r="R237" s="161"/>
      <x:c r="S237" s="161"/>
      <x:c r="T237" s="161"/>
      <x:c r="U237" s="161"/>
      <x:c r="V237" s="161"/>
      <x:c r="W237" s="161"/>
      <x:c r="X237" s="161"/>
      <x:c r="Y237" s="161"/>
      <x:c r="Z237" s="161"/>
    </x:row>
    <x:row r="238">
      <x:c r="A238" s="161"/>
      <x:c r="B238" s="161"/>
      <x:c r="C238" s="161"/>
      <x:c r="D238" s="161"/>
      <x:c r="E238" s="161"/>
      <x:c r="F238" s="161"/>
      <x:c r="G238" s="161"/>
      <x:c r="H238" s="161"/>
      <x:c r="I238" s="161"/>
      <x:c r="J238" s="161"/>
      <x:c r="K238" s="161"/>
      <x:c r="L238" s="161"/>
      <x:c r="M238" s="161"/>
      <x:c r="N238" s="161"/>
      <x:c r="O238" s="161"/>
      <x:c r="P238" s="161"/>
      <x:c r="Q238" s="161"/>
      <x:c r="R238" s="161"/>
      <x:c r="S238" s="161"/>
      <x:c r="T238" s="161"/>
      <x:c r="U238" s="161"/>
      <x:c r="V238" s="161"/>
      <x:c r="W238" s="161"/>
      <x:c r="X238" s="161"/>
      <x:c r="Y238" s="161"/>
      <x:c r="Z238" s="161"/>
    </x:row>
    <x:row r="239">
      <x:c r="A239" s="161"/>
      <x:c r="B239" s="161"/>
      <x:c r="C239" s="161"/>
      <x:c r="D239" s="161"/>
      <x:c r="E239" s="161"/>
      <x:c r="F239" s="161"/>
      <x:c r="G239" s="161"/>
      <x:c r="H239" s="161"/>
      <x:c r="I239" s="161"/>
      <x:c r="J239" s="161"/>
      <x:c r="K239" s="161"/>
      <x:c r="L239" s="161"/>
      <x:c r="M239" s="161"/>
      <x:c r="N239" s="161"/>
      <x:c r="O239" s="161"/>
      <x:c r="P239" s="161"/>
      <x:c r="Q239" s="161"/>
      <x:c r="R239" s="161"/>
      <x:c r="S239" s="161"/>
      <x:c r="T239" s="161"/>
      <x:c r="U239" s="161"/>
      <x:c r="V239" s="161"/>
      <x:c r="W239" s="161"/>
      <x:c r="X239" s="161"/>
      <x:c r="Y239" s="161"/>
      <x:c r="Z239" s="161"/>
    </x:row>
    <x:row r="240">
      <x:c r="A240" s="161"/>
      <x:c r="B240" s="161"/>
      <x:c r="C240" s="161"/>
      <x:c r="D240" s="161"/>
      <x:c r="E240" s="161"/>
      <x:c r="F240" s="161"/>
      <x:c r="G240" s="161"/>
      <x:c r="H240" s="161"/>
      <x:c r="I240" s="161"/>
      <x:c r="J240" s="161"/>
      <x:c r="K240" s="161"/>
      <x:c r="L240" s="161"/>
      <x:c r="M240" s="161"/>
      <x:c r="N240" s="161"/>
      <x:c r="O240" s="161"/>
      <x:c r="P240" s="161"/>
      <x:c r="Q240" s="161"/>
      <x:c r="R240" s="161"/>
      <x:c r="S240" s="161"/>
      <x:c r="T240" s="161"/>
      <x:c r="U240" s="161"/>
      <x:c r="V240" s="161"/>
      <x:c r="W240" s="161"/>
      <x:c r="X240" s="161"/>
      <x:c r="Y240" s="161"/>
      <x:c r="Z240" s="161"/>
    </x:row>
    <x:row r="241">
      <x:c r="A241" s="161"/>
      <x:c r="B241" s="161"/>
      <x:c r="C241" s="161"/>
      <x:c r="D241" s="161"/>
      <x:c r="E241" s="161"/>
      <x:c r="F241" s="161"/>
      <x:c r="G241" s="161"/>
      <x:c r="H241" s="161"/>
      <x:c r="I241" s="161"/>
      <x:c r="J241" s="161"/>
      <x:c r="K241" s="161"/>
      <x:c r="L241" s="161"/>
      <x:c r="M241" s="161"/>
      <x:c r="N241" s="161"/>
      <x:c r="O241" s="161"/>
      <x:c r="P241" s="161"/>
      <x:c r="Q241" s="161"/>
      <x:c r="R241" s="161"/>
      <x:c r="S241" s="161"/>
      <x:c r="T241" s="161"/>
      <x:c r="U241" s="161"/>
      <x:c r="V241" s="161"/>
      <x:c r="W241" s="161"/>
      <x:c r="X241" s="161"/>
      <x:c r="Y241" s="161"/>
      <x:c r="Z241" s="161"/>
    </x:row>
    <x:row r="242">
      <x:c r="A242" s="161"/>
      <x:c r="B242" s="161"/>
      <x:c r="C242" s="161"/>
      <x:c r="D242" s="161"/>
      <x:c r="E242" s="161"/>
      <x:c r="F242" s="161"/>
      <x:c r="G242" s="161"/>
      <x:c r="H242" s="161"/>
      <x:c r="I242" s="161"/>
      <x:c r="J242" s="161"/>
      <x:c r="K242" s="161"/>
      <x:c r="L242" s="161"/>
      <x:c r="M242" s="161"/>
      <x:c r="N242" s="161"/>
      <x:c r="O242" s="161"/>
      <x:c r="P242" s="161"/>
      <x:c r="Q242" s="161"/>
      <x:c r="R242" s="161"/>
      <x:c r="S242" s="161"/>
      <x:c r="T242" s="161"/>
      <x:c r="U242" s="161"/>
      <x:c r="V242" s="161"/>
      <x:c r="W242" s="161"/>
      <x:c r="X242" s="161"/>
      <x:c r="Y242" s="161"/>
      <x:c r="Z242" s="161"/>
    </x:row>
    <x:row r="243">
      <x:c r="A243" s="161"/>
      <x:c r="B243" s="161"/>
      <x:c r="C243" s="161"/>
      <x:c r="D243" s="161"/>
      <x:c r="E243" s="161"/>
      <x:c r="F243" s="161"/>
      <x:c r="G243" s="161"/>
      <x:c r="H243" s="161"/>
      <x:c r="I243" s="161"/>
      <x:c r="J243" s="161"/>
      <x:c r="K243" s="161"/>
      <x:c r="L243" s="161"/>
      <x:c r="M243" s="161"/>
      <x:c r="N243" s="161"/>
      <x:c r="O243" s="161"/>
      <x:c r="P243" s="161"/>
      <x:c r="Q243" s="161"/>
      <x:c r="R243" s="161"/>
      <x:c r="S243" s="161"/>
      <x:c r="T243" s="161"/>
      <x:c r="U243" s="161"/>
      <x:c r="V243" s="161"/>
      <x:c r="W243" s="161"/>
      <x:c r="X243" s="161"/>
      <x:c r="Y243" s="161"/>
      <x:c r="Z243" s="161"/>
    </x:row>
    <x:row r="244">
      <x:c r="A244" s="161"/>
      <x:c r="B244" s="161"/>
      <x:c r="C244" s="161"/>
      <x:c r="D244" s="161"/>
      <x:c r="E244" s="161"/>
      <x:c r="F244" s="161"/>
      <x:c r="G244" s="161"/>
      <x:c r="H244" s="161"/>
      <x:c r="I244" s="161"/>
      <x:c r="J244" s="161"/>
      <x:c r="K244" s="161"/>
      <x:c r="L244" s="161"/>
      <x:c r="M244" s="161"/>
      <x:c r="N244" s="161"/>
      <x:c r="O244" s="161"/>
      <x:c r="P244" s="161"/>
      <x:c r="Q244" s="161"/>
      <x:c r="R244" s="161"/>
      <x:c r="S244" s="161"/>
      <x:c r="T244" s="161"/>
      <x:c r="U244" s="161"/>
      <x:c r="V244" s="161"/>
      <x:c r="W244" s="161"/>
      <x:c r="X244" s="161"/>
      <x:c r="Y244" s="161"/>
      <x:c r="Z244" s="161"/>
    </x:row>
    <x:row r="245">
      <x:c r="A245" s="161"/>
      <x:c r="B245" s="161"/>
      <x:c r="C245" s="161"/>
      <x:c r="D245" s="161"/>
      <x:c r="E245" s="161"/>
      <x:c r="F245" s="161"/>
      <x:c r="G245" s="161"/>
      <x:c r="H245" s="161"/>
      <x:c r="I245" s="161"/>
      <x:c r="J245" s="161"/>
      <x:c r="K245" s="161"/>
      <x:c r="L245" s="161"/>
      <x:c r="M245" s="161"/>
      <x:c r="N245" s="161"/>
      <x:c r="O245" s="161"/>
      <x:c r="P245" s="161"/>
      <x:c r="Q245" s="161"/>
      <x:c r="R245" s="161"/>
      <x:c r="S245" s="161"/>
      <x:c r="T245" s="161"/>
      <x:c r="U245" s="161"/>
      <x:c r="V245" s="161"/>
      <x:c r="W245" s="161"/>
      <x:c r="X245" s="161"/>
      <x:c r="Y245" s="161"/>
      <x:c r="Z245" s="161"/>
    </x:row>
    <x:row r="246">
      <x:c r="A246" s="161"/>
      <x:c r="B246" s="161"/>
      <x:c r="C246" s="161"/>
      <x:c r="D246" s="161"/>
      <x:c r="E246" s="161"/>
      <x:c r="F246" s="161"/>
      <x:c r="G246" s="161"/>
      <x:c r="H246" s="161"/>
      <x:c r="I246" s="161"/>
      <x:c r="J246" s="161"/>
      <x:c r="K246" s="161"/>
      <x:c r="L246" s="161"/>
      <x:c r="M246" s="161"/>
      <x:c r="N246" s="161"/>
      <x:c r="O246" s="161"/>
      <x:c r="P246" s="161"/>
      <x:c r="Q246" s="161"/>
      <x:c r="R246" s="161"/>
      <x:c r="S246" s="161"/>
      <x:c r="T246" s="161"/>
      <x:c r="U246" s="161"/>
      <x:c r="V246" s="161"/>
      <x:c r="W246" s="161"/>
      <x:c r="X246" s="161"/>
      <x:c r="Y246" s="161"/>
      <x:c r="Z246" s="161"/>
    </x:row>
    <x:row r="247">
      <x:c r="A247" s="161"/>
      <x:c r="B247" s="161"/>
      <x:c r="C247" s="161"/>
      <x:c r="D247" s="161"/>
      <x:c r="E247" s="161"/>
      <x:c r="F247" s="161"/>
      <x:c r="G247" s="161"/>
      <x:c r="H247" s="161"/>
      <x:c r="I247" s="161"/>
      <x:c r="J247" s="161"/>
      <x:c r="K247" s="161"/>
      <x:c r="L247" s="161"/>
      <x:c r="M247" s="161"/>
      <x:c r="N247" s="161"/>
      <x:c r="O247" s="161"/>
      <x:c r="P247" s="161"/>
      <x:c r="Q247" s="161"/>
      <x:c r="R247" s="161"/>
      <x:c r="S247" s="161"/>
      <x:c r="T247" s="161"/>
      <x:c r="U247" s="161"/>
      <x:c r="V247" s="161"/>
      <x:c r="W247" s="161"/>
      <x:c r="X247" s="161"/>
      <x:c r="Y247" s="161"/>
      <x:c r="Z247" s="161"/>
    </x:row>
    <x:row r="248">
      <x:c r="A248" s="161"/>
      <x:c r="B248" s="161"/>
      <x:c r="C248" s="161"/>
      <x:c r="D248" s="161"/>
      <x:c r="E248" s="161"/>
      <x:c r="F248" s="161"/>
      <x:c r="G248" s="161"/>
      <x:c r="H248" s="161"/>
      <x:c r="I248" s="161"/>
      <x:c r="J248" s="161"/>
      <x:c r="K248" s="161"/>
      <x:c r="L248" s="161"/>
      <x:c r="M248" s="161"/>
      <x:c r="N248" s="161"/>
      <x:c r="O248" s="161"/>
      <x:c r="P248" s="161"/>
      <x:c r="Q248" s="161"/>
      <x:c r="R248" s="161"/>
      <x:c r="S248" s="161"/>
      <x:c r="T248" s="161"/>
      <x:c r="U248" s="161"/>
      <x:c r="V248" s="161"/>
      <x:c r="W248" s="161"/>
      <x:c r="X248" s="161"/>
      <x:c r="Y248" s="161"/>
      <x:c r="Z248" s="161"/>
    </x:row>
    <x:row r="249">
      <x:c r="A249" s="161"/>
      <x:c r="B249" s="161"/>
      <x:c r="C249" s="161"/>
      <x:c r="D249" s="161"/>
      <x:c r="E249" s="161"/>
      <x:c r="F249" s="161"/>
      <x:c r="G249" s="161"/>
      <x:c r="H249" s="161"/>
      <x:c r="I249" s="161"/>
      <x:c r="J249" s="161"/>
      <x:c r="K249" s="161"/>
      <x:c r="L249" s="161"/>
      <x:c r="M249" s="161"/>
      <x:c r="N249" s="161"/>
      <x:c r="O249" s="161"/>
      <x:c r="P249" s="161"/>
      <x:c r="Q249" s="161"/>
      <x:c r="R249" s="161"/>
      <x:c r="S249" s="161"/>
      <x:c r="T249" s="161"/>
      <x:c r="U249" s="161"/>
      <x:c r="V249" s="161"/>
      <x:c r="W249" s="161"/>
      <x:c r="X249" s="161"/>
      <x:c r="Y249" s="161"/>
      <x:c r="Z249" s="161"/>
    </x:row>
    <x:row r="250">
      <x:c r="A250" s="161"/>
      <x:c r="B250" s="161"/>
      <x:c r="C250" s="161"/>
      <x:c r="D250" s="161"/>
      <x:c r="E250" s="161"/>
      <x:c r="F250" s="161"/>
      <x:c r="G250" s="161"/>
      <x:c r="H250" s="161"/>
      <x:c r="I250" s="161"/>
      <x:c r="J250" s="161"/>
      <x:c r="K250" s="161"/>
      <x:c r="L250" s="161"/>
      <x:c r="M250" s="161"/>
      <x:c r="N250" s="161"/>
      <x:c r="O250" s="161"/>
      <x:c r="P250" s="161"/>
      <x:c r="Q250" s="161"/>
      <x:c r="R250" s="161"/>
      <x:c r="S250" s="161"/>
      <x:c r="T250" s="161"/>
      <x:c r="U250" s="161"/>
      <x:c r="V250" s="161"/>
      <x:c r="W250" s="161"/>
      <x:c r="X250" s="161"/>
      <x:c r="Y250" s="161"/>
      <x:c r="Z250" s="161"/>
    </x:row>
  </x:sheetData>
  <x:mergeCells>
    <x:mergeCell ref="A1:H1"/>
    <x:mergeCell ref="A2:H3"/>
    <x:mergeCell ref="I1:J1"/>
    <x:mergeCell ref="A14:J14"/>
    <x:mergeCell ref="A21:J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4" hidden="0" customWidth="1"/>
    <x:col min="4" max="4" width="20" hidden="0" customWidth="1"/>
    <x:col min="5" max="5" width="4" hidden="0" customWidth="1"/>
    <x:col min="6" max="6" width="22" hidden="0" customWidth="1"/>
    <x:col min="7" max="7" width="4" hidden="0" customWidth="1"/>
    <x:col min="8" max="8" width="22" hidden="0" customWidth="1"/>
    <x:col min="9" max="9" width="4" hidden="0" customWidth="1"/>
    <x:col min="10" max="10" width="22" hidden="0" customWidth="1"/>
    <x:col min="11" max="11" width="4" hidden="0" customWidth="1"/>
  </x:cols>
  <x:sheetData>
    <x:row r="1" ht="42" customHeight="1">
      <x:c r="A1" s="45" t="str">
        <x:v>Configuración</x:v>
      </x:c>
      <x:c r="B1" s="160"/>
      <x:c r="C1" s="160"/>
      <x:c r="D1" s="160"/>
      <x:c r="E1" s="160"/>
      <x:c r="F1" s="160"/>
      <x:c r="G1" s="160"/>
      <x:c r="H1" s="160"/>
      <x:c r="I1" s="58" t="str">
        <x:v>SETUP</x:v>
      </x:c>
      <x:c r="J1" s="160"/>
      <x:c r="K1" s="160"/>
      <x:c r="L1" s="161"/>
      <x:c r="M1" s="161"/>
      <x:c r="N1" s="161"/>
      <x:c r="O1" s="161"/>
      <x:c r="P1" s="161"/>
      <x:c r="Q1" s="161"/>
      <x:c r="R1" s="161"/>
      <x:c r="S1" s="161"/>
      <x:c r="T1" s="161"/>
      <x:c r="U1" s="161"/>
      <x:c r="V1" s="161"/>
      <x:c r="W1" s="161"/>
      <x:c r="X1" s="161"/>
      <x:c r="Y1" s="161"/>
      <x:c r="Z1" s="161"/>
    </x:row>
    <x:row r="2">
      <x:c r="A2" s="166" t="str">
        <x:v>Personaliza los datos base del CRM. Las listas de esta hoja alimentan los menús desplegables del archivo.</x:v>
      </x:c>
      <x:c r="B2" s="160"/>
      <x:c r="C2" s="160"/>
      <x:c r="D2" s="160"/>
      <x:c r="E2" s="160"/>
      <x:c r="F2" s="160"/>
      <x:c r="G2" s="160"/>
      <x:c r="H2" s="160"/>
      <x:c r="I2" s="160"/>
      <x:c r="J2" s="160"/>
      <x:c r="K2" s="160"/>
      <x:c r="L2" s="161"/>
      <x:c r="M2" s="161"/>
      <x:c r="N2" s="161"/>
      <x:c r="O2" s="161"/>
      <x:c r="P2" s="161"/>
      <x:c r="Q2" s="161"/>
      <x:c r="R2" s="161"/>
      <x:c r="S2" s="161"/>
      <x:c r="T2" s="161"/>
      <x:c r="U2" s="161"/>
      <x:c r="V2" s="161"/>
      <x:c r="W2" s="161"/>
      <x:c r="X2" s="161"/>
      <x:c r="Y2" s="161"/>
      <x:c r="Z2" s="161"/>
    </x:row>
    <x:row r="3">
      <x:c r="A3" s="160"/>
      <x:c r="B3" s="160"/>
      <x:c r="C3" s="160"/>
      <x:c r="D3" s="160"/>
      <x:c r="E3" s="160"/>
      <x:c r="F3" s="160"/>
      <x:c r="G3" s="160"/>
      <x:c r="H3" s="160"/>
      <x:c r="I3" s="160"/>
      <x:c r="J3" s="160"/>
      <x:c r="K3" s="160"/>
      <x:c r="L3" s="161"/>
      <x:c r="M3" s="161"/>
      <x:c r="N3" s="161"/>
      <x:c r="O3" s="161"/>
      <x:c r="P3" s="161"/>
      <x:c r="Q3" s="161"/>
      <x:c r="R3" s="161"/>
      <x:c r="S3" s="161"/>
      <x:c r="T3" s="161"/>
      <x:c r="U3" s="161"/>
      <x:c r="V3" s="161"/>
      <x:c r="W3" s="161"/>
      <x:c r="X3" s="161"/>
      <x:c r="Y3" s="161"/>
      <x:c r="Z3" s="161"/>
    </x:row>
    <x:row r="4">
      <x:c r="A4" s="160"/>
      <x:c r="B4" s="160"/>
      <x:c r="C4" s="160"/>
      <x:c r="D4" s="160"/>
      <x:c r="E4" s="160"/>
      <x:c r="F4" s="160"/>
      <x:c r="G4" s="160"/>
      <x:c r="H4" s="160"/>
      <x:c r="I4" s="160"/>
      <x:c r="J4" s="160"/>
      <x:c r="K4" s="160"/>
      <x:c r="L4" s="161"/>
      <x:c r="M4" s="161"/>
      <x:c r="N4" s="161"/>
      <x:c r="O4" s="161"/>
      <x:c r="P4" s="161"/>
      <x:c r="Q4" s="161"/>
      <x:c r="R4" s="161"/>
      <x:c r="S4" s="161"/>
      <x:c r="T4" s="161"/>
      <x:c r="U4" s="161"/>
      <x:c r="V4" s="161"/>
      <x:c r="W4" s="161"/>
      <x:c r="X4" s="161"/>
      <x:c r="Y4" s="161"/>
      <x:c r="Z4" s="161"/>
    </x:row>
    <x:row r="5">
      <x:c r="A5" s="78" t="str">
        <x:v>Datos generales</x:v>
      </x:c>
      <x:c r="B5" s="78"/>
      <x:c r="C5" s="160"/>
      <x:c r="D5" s="65" t="str">
        <x:v>Responsables</x:v>
      </x:c>
      <x:c r="E5" s="160"/>
      <x:c r="F5" s="65" t="str">
        <x:v>Etapas</x:v>
      </x:c>
      <x:c r="G5" s="160"/>
      <x:c r="H5" s="65" t="str">
        <x:v>Canales</x:v>
      </x:c>
      <x:c r="I5" s="160"/>
      <x:c r="J5" s="65" t="str">
        <x:v>Fuentes</x:v>
      </x:c>
      <x:c r="K5" s="160"/>
      <x:c r="L5" s="161"/>
      <x:c r="M5" s="161"/>
      <x:c r="N5" s="161"/>
      <x:c r="O5" s="161"/>
      <x:c r="P5" s="161"/>
      <x:c r="Q5" s="161"/>
      <x:c r="R5" s="161"/>
      <x:c r="S5" s="161"/>
      <x:c r="T5" s="161"/>
      <x:c r="U5" s="161"/>
      <x:c r="V5" s="161"/>
      <x:c r="W5" s="161"/>
      <x:c r="X5" s="161"/>
      <x:c r="Y5" s="161"/>
      <x:c r="Z5" s="161"/>
    </x:row>
    <x:row r="6">
      <x:c r="A6" s="160" t="str">
        <x:v>Empresa</x:v>
      </x:c>
      <x:c r="B6" s="108" t="str">
        <x:v>Mi Empresa S.A. de C.V.</x:v>
      </x:c>
      <x:c r="C6" s="160"/>
      <x:c r="D6" s="108" t="str">
        <x:v>Dirección Comercial</x:v>
      </x:c>
      <x:c r="E6" s="160"/>
      <x:c r="F6" s="108" t="str">
        <x:v>Lead nuevo</x:v>
      </x:c>
      <x:c r="G6" s="160"/>
      <x:c r="H6" s="108" t="str">
        <x:v>WhatsApp</x:v>
      </x:c>
      <x:c r="I6" s="160"/>
      <x:c r="J6" s="108" t="str">
        <x:v>Redes sociales</x:v>
      </x:c>
      <x:c r="K6" s="160"/>
      <x:c r="L6" s="161"/>
      <x:c r="M6" s="161"/>
      <x:c r="N6" s="161"/>
      <x:c r="O6" s="161"/>
      <x:c r="P6" s="161"/>
      <x:c r="Q6" s="161"/>
      <x:c r="R6" s="161"/>
      <x:c r="S6" s="161"/>
      <x:c r="T6" s="161"/>
      <x:c r="U6" s="161"/>
      <x:c r="V6" s="161"/>
      <x:c r="W6" s="161"/>
      <x:c r="X6" s="161"/>
      <x:c r="Y6" s="161"/>
      <x:c r="Z6" s="161"/>
    </x:row>
    <x:row r="7">
      <x:c r="A7" s="160" t="str">
        <x:v>Año de análisis</x:v>
      </x:c>
      <x:c r="B7" s="108" t="n">
        <x:v>2026</x:v>
      </x:c>
      <x:c r="C7" s="160"/>
      <x:c r="D7" s="108" t="str">
        <x:v>Ejecutivo 1</x:v>
      </x:c>
      <x:c r="E7" s="160"/>
      <x:c r="F7" s="108" t="str">
        <x:v>Contactado</x:v>
      </x:c>
      <x:c r="G7" s="160"/>
      <x:c r="H7" s="108" t="str">
        <x:v>Llamada</x:v>
      </x:c>
      <x:c r="I7" s="160"/>
      <x:c r="J7" s="108" t="str">
        <x:v>Sitio web</x:v>
      </x:c>
      <x:c r="K7" s="160"/>
      <x:c r="L7" s="161"/>
      <x:c r="M7" s="161"/>
      <x:c r="N7" s="161"/>
      <x:c r="O7" s="161"/>
      <x:c r="P7" s="161"/>
      <x:c r="Q7" s="161"/>
      <x:c r="R7" s="161"/>
      <x:c r="S7" s="161"/>
      <x:c r="T7" s="161"/>
      <x:c r="U7" s="161"/>
      <x:c r="V7" s="161"/>
      <x:c r="W7" s="161"/>
      <x:c r="X7" s="161"/>
      <x:c r="Y7" s="161"/>
      <x:c r="Z7" s="161"/>
    </x:row>
    <x:row r="8">
      <x:c r="A8" s="160" t="str">
        <x:v>Mes de análisis</x:v>
      </x:c>
      <x:c r="B8" s="112" t="str">
        <x:v>Mayo</x:v>
      </x:c>
      <x:c r="C8" s="160"/>
      <x:c r="D8" s="108" t="str">
        <x:v>Ejecutivo 2</x:v>
      </x:c>
      <x:c r="E8" s="160"/>
      <x:c r="F8" s="108" t="str">
        <x:v>Diagnóstico</x:v>
      </x:c>
      <x:c r="G8" s="160"/>
      <x:c r="H8" s="108" t="str">
        <x:v>Correo</x:v>
      </x:c>
      <x:c r="I8" s="160"/>
      <x:c r="J8" s="108" t="str">
        <x:v>Referido</x:v>
      </x:c>
      <x:c r="K8" s="160"/>
      <x:c r="L8" s="161"/>
      <x:c r="M8" s="161"/>
      <x:c r="N8" s="161"/>
      <x:c r="O8" s="161"/>
      <x:c r="P8" s="161"/>
      <x:c r="Q8" s="161"/>
      <x:c r="R8" s="161"/>
      <x:c r="S8" s="161"/>
      <x:c r="T8" s="161"/>
      <x:c r="U8" s="161"/>
      <x:c r="V8" s="161"/>
      <x:c r="W8" s="161"/>
      <x:c r="X8" s="161"/>
      <x:c r="Y8" s="161"/>
      <x:c r="Z8" s="161"/>
    </x:row>
    <x:row r="9">
      <x:c r="A9" s="160" t="str">
        <x:v>Meta mensual de ventas</x:v>
      </x:c>
      <x:c r="B9" s="108" t="n">
        <x:v>250000</x:v>
      </x:c>
      <x:c r="C9" s="160"/>
      <x:c r="D9" s="108" t="str">
        <x:v>Marketing</x:v>
      </x:c>
      <x:c r="E9" s="160"/>
      <x:c r="F9" s="108" t="str">
        <x:v>Propuesta enviada</x:v>
      </x:c>
      <x:c r="G9" s="160"/>
      <x:c r="H9" s="108" t="str">
        <x:v>Reunión</x:v>
      </x:c>
      <x:c r="I9" s="160"/>
      <x:c r="J9" s="108" t="str">
        <x:v>Campaña</x:v>
      </x:c>
      <x:c r="K9" s="160"/>
      <x:c r="L9" s="161"/>
      <x:c r="M9" s="161"/>
      <x:c r="N9" s="161"/>
      <x:c r="O9" s="161"/>
      <x:c r="P9" s="161"/>
      <x:c r="Q9" s="161"/>
      <x:c r="R9" s="161"/>
      <x:c r="S9" s="161"/>
      <x:c r="T9" s="161"/>
      <x:c r="U9" s="161"/>
      <x:c r="V9" s="161"/>
      <x:c r="W9" s="161"/>
      <x:c r="X9" s="161"/>
      <x:c r="Y9" s="161"/>
      <x:c r="Z9" s="161"/>
    </x:row>
    <x:row r="10">
      <x:c r="A10" s="160" t="str">
        <x:v>Moneda</x:v>
      </x:c>
      <x:c r="B10" s="108" t="str">
        <x:v>MXN</x:v>
      </x:c>
      <x:c r="C10" s="160"/>
      <x:c r="D10" s="108" t="str">
        <x:v>Administración</x:v>
      </x:c>
      <x:c r="E10" s="160"/>
      <x:c r="F10" s="108" t="str">
        <x:v>Negociación</x:v>
      </x:c>
      <x:c r="G10" s="160"/>
      <x:c r="H10" s="108" t="str">
        <x:v>LinkedIn</x:v>
      </x:c>
      <x:c r="I10" s="160"/>
      <x:c r="J10" s="108" t="str">
        <x:v>Evento</x:v>
      </x:c>
      <x:c r="K10" s="160"/>
      <x:c r="L10" s="161"/>
      <x:c r="M10" s="161"/>
      <x:c r="N10" s="161"/>
      <x:c r="O10" s="161"/>
      <x:c r="P10" s="161"/>
      <x:c r="Q10" s="161"/>
      <x:c r="R10" s="161"/>
      <x:c r="S10" s="161"/>
      <x:c r="T10" s="161"/>
      <x:c r="U10" s="161"/>
      <x:c r="V10" s="161"/>
      <x:c r="W10" s="161"/>
      <x:c r="X10" s="161"/>
      <x:c r="Y10" s="161"/>
      <x:c r="Z10" s="161"/>
    </x:row>
    <x:row r="11">
      <x:c r="A11" s="160"/>
      <x:c r="B11" s="160"/>
      <x:c r="C11" s="160"/>
      <x:c r="D11" s="160"/>
      <x:c r="E11" s="160"/>
      <x:c r="F11" s="108" t="str">
        <x:v>Ganada</x:v>
      </x:c>
      <x:c r="G11" s="160"/>
      <x:c r="H11" s="108" t="str">
        <x:v>Referido</x:v>
      </x:c>
      <x:c r="I11" s="160"/>
      <x:c r="J11" s="108" t="str">
        <x:v>Cliente actual</x:v>
      </x:c>
      <x:c r="K11" s="160"/>
      <x:c r="L11" s="161"/>
      <x:c r="M11" s="161"/>
      <x:c r="N11" s="161"/>
      <x:c r="O11" s="161"/>
      <x:c r="P11" s="161"/>
      <x:c r="Q11" s="161"/>
      <x:c r="R11" s="161"/>
      <x:c r="S11" s="161"/>
      <x:c r="T11" s="161"/>
      <x:c r="U11" s="161"/>
      <x:c r="V11" s="161"/>
      <x:c r="W11" s="161"/>
      <x:c r="X11" s="161"/>
      <x:c r="Y11" s="161"/>
      <x:c r="Z11" s="161"/>
    </x:row>
    <x:row r="12">
      <x:c r="A12" s="78" t="str">
        <x:v>Notas</x:v>
      </x:c>
      <x:c r="B12" s="78"/>
      <x:c r="C12" s="160"/>
      <x:c r="D12" s="160"/>
      <x:c r="E12" s="160"/>
      <x:c r="F12" s="108" t="str">
        <x:v>Perdida</x:v>
      </x:c>
      <x:c r="G12" s="160"/>
      <x:c r="H12" s="108" t="str">
        <x:v>Otro</x:v>
      </x:c>
      <x:c r="I12" s="160"/>
      <x:c r="J12" s="108" t="str">
        <x:v>Otro</x:v>
      </x:c>
      <x:c r="K12" s="160"/>
      <x:c r="L12" s="161"/>
      <x:c r="M12" s="161"/>
      <x:c r="N12" s="161"/>
      <x:c r="O12" s="161"/>
      <x:c r="P12" s="161"/>
      <x:c r="Q12" s="161"/>
      <x:c r="R12" s="161"/>
      <x:c r="S12" s="161"/>
      <x:c r="T12" s="161"/>
      <x:c r="U12" s="161"/>
      <x:c r="V12" s="161"/>
      <x:c r="W12" s="161"/>
      <x:c r="X12" s="161"/>
      <x:c r="Y12" s="161"/>
      <x:c r="Z12" s="161"/>
    </x:row>
    <x:row r="13">
      <x:c r="A13" s="178" t="str">
        <x:v>Puedes editar responsables, etapas, canales, fuentes y segmentos. El resto de las hojas usa estos catálogos para mantener información consistente.</x:v>
      </x:c>
      <x:c r="B13" s="160"/>
      <x:c r="C13" s="160"/>
      <x:c r="D13" s="160"/>
      <x:c r="E13" s="160"/>
      <x:c r="F13" s="160"/>
      <x:c r="G13" s="160"/>
      <x:c r="H13" s="160"/>
      <x:c r="I13" s="160"/>
      <x:c r="J13" s="160"/>
      <x:c r="K13" s="160"/>
      <x:c r="L13" s="161"/>
      <x:c r="M13" s="161"/>
      <x:c r="N13" s="161"/>
      <x:c r="O13" s="161"/>
      <x:c r="P13" s="161"/>
      <x:c r="Q13" s="161"/>
      <x:c r="R13" s="161"/>
      <x:c r="S13" s="161"/>
      <x:c r="T13" s="161"/>
      <x:c r="U13" s="161"/>
      <x:c r="V13" s="161"/>
      <x:c r="W13" s="161"/>
      <x:c r="X13" s="161"/>
      <x:c r="Y13" s="161"/>
      <x:c r="Z13" s="161"/>
    </x:row>
    <x:row r="14">
      <x:c r="A14" s="160"/>
      <x:c r="B14" s="160"/>
      <x:c r="C14" s="160"/>
      <x:c r="D14" s="160"/>
      <x:c r="E14" s="160"/>
      <x:c r="F14" s="160"/>
      <x:c r="G14" s="160"/>
      <x:c r="H14" s="160"/>
      <x:c r="I14" s="160"/>
      <x:c r="J14" s="160"/>
      <x:c r="K14" s="160"/>
      <x:c r="L14" s="161"/>
      <x:c r="M14" s="161"/>
      <x:c r="N14" s="161"/>
      <x:c r="O14" s="161"/>
      <x:c r="P14" s="161"/>
      <x:c r="Q14" s="161"/>
      <x:c r="R14" s="161"/>
      <x:c r="S14" s="161"/>
      <x:c r="T14" s="161"/>
      <x:c r="U14" s="161"/>
      <x:c r="V14" s="161"/>
      <x:c r="W14" s="161"/>
      <x:c r="X14" s="161"/>
      <x:c r="Y14" s="161"/>
      <x:c r="Z14" s="161"/>
    </x:row>
    <x:row r="15">
      <x:c r="A15" s="160"/>
      <x:c r="B15" s="160"/>
      <x:c r="C15" s="160"/>
      <x:c r="D15" s="160"/>
      <x:c r="E15" s="160"/>
      <x:c r="F15" s="160"/>
      <x:c r="G15" s="160"/>
      <x:c r="H15" s="160"/>
      <x:c r="I15" s="160"/>
      <x:c r="J15" s="160"/>
      <x:c r="K15" s="160"/>
      <x:c r="L15" s="161"/>
      <x:c r="M15" s="161"/>
      <x:c r="N15" s="161"/>
      <x:c r="O15" s="161"/>
      <x:c r="P15" s="161"/>
      <x:c r="Q15" s="161"/>
      <x:c r="R15" s="161"/>
      <x:c r="S15" s="161"/>
      <x:c r="T15" s="161"/>
      <x:c r="U15" s="161"/>
      <x:c r="V15" s="161"/>
      <x:c r="W15" s="161"/>
      <x:c r="X15" s="161"/>
      <x:c r="Y15" s="161"/>
      <x:c r="Z15" s="161"/>
    </x:row>
    <x:row r="16">
      <x:c r="A16" s="160"/>
      <x:c r="B16" s="160"/>
      <x:c r="C16" s="160"/>
      <x:c r="D16" s="160"/>
      <x:c r="E16" s="160"/>
      <x:c r="F16" s="160"/>
      <x:c r="G16" s="160"/>
      <x:c r="H16" s="160"/>
      <x:c r="I16" s="160"/>
      <x:c r="J16" s="160"/>
      <x:c r="K16" s="160"/>
      <x:c r="L16" s="161"/>
      <x:c r="M16" s="161"/>
      <x:c r="N16" s="161"/>
      <x:c r="O16" s="161"/>
      <x:c r="P16" s="161"/>
      <x:c r="Q16" s="161"/>
      <x:c r="R16" s="161"/>
      <x:c r="S16" s="161"/>
      <x:c r="T16" s="161"/>
      <x:c r="U16" s="161"/>
      <x:c r="V16" s="161"/>
      <x:c r="W16" s="161"/>
      <x:c r="X16" s="161"/>
      <x:c r="Y16" s="161"/>
      <x:c r="Z16" s="161"/>
    </x:row>
    <x:row r="17">
      <x:c r="A17" s="160"/>
      <x:c r="B17" s="160"/>
      <x:c r="C17" s="160"/>
      <x:c r="D17" s="160"/>
      <x:c r="E17" s="160"/>
      <x:c r="F17" s="160"/>
      <x:c r="G17" s="160"/>
      <x:c r="H17" s="160"/>
      <x:c r="I17" s="160"/>
      <x:c r="J17" s="160"/>
      <x:c r="K17" s="160"/>
      <x:c r="L17" s="161"/>
      <x:c r="M17" s="161"/>
      <x:c r="N17" s="161"/>
      <x:c r="O17" s="161"/>
      <x:c r="P17" s="161"/>
      <x:c r="Q17" s="161"/>
      <x:c r="R17" s="161"/>
      <x:c r="S17" s="161"/>
      <x:c r="T17" s="161"/>
      <x:c r="U17" s="161"/>
      <x:c r="V17" s="161"/>
      <x:c r="W17" s="161"/>
      <x:c r="X17" s="161"/>
      <x:c r="Y17" s="161"/>
      <x:c r="Z17" s="161"/>
    </x:row>
    <x:row r="18">
      <x:c r="A18" s="160"/>
      <x:c r="B18" s="160"/>
      <x:c r="C18" s="160"/>
      <x:c r="D18" s="65" t="str">
        <x:v>Segmentos</x:v>
      </x:c>
      <x:c r="E18" s="160"/>
      <x:c r="F18" s="65" t="str">
        <x:v>Estatus cliente</x:v>
      </x:c>
      <x:c r="G18" s="160"/>
      <x:c r="H18" s="65" t="str">
        <x:v>Estatus oportunidad</x:v>
      </x:c>
      <x:c r="I18" s="160"/>
      <x:c r="J18" s="65" t="str">
        <x:v>Prioridad</x:v>
      </x:c>
      <x:c r="K18" s="160"/>
      <x:c r="L18" s="161"/>
      <x:c r="M18" s="161"/>
      <x:c r="N18" s="161"/>
      <x:c r="O18" s="161"/>
      <x:c r="P18" s="161"/>
      <x:c r="Q18" s="161"/>
      <x:c r="R18" s="161"/>
      <x:c r="S18" s="161"/>
      <x:c r="T18" s="161"/>
      <x:c r="U18" s="161"/>
      <x:c r="V18" s="161"/>
      <x:c r="W18" s="161"/>
      <x:c r="X18" s="161"/>
      <x:c r="Y18" s="161"/>
      <x:c r="Z18" s="161"/>
    </x:row>
    <x:row r="19">
      <x:c r="A19" s="160"/>
      <x:c r="B19" s="160"/>
      <x:c r="C19" s="160"/>
      <x:c r="D19" s="108" t="str">
        <x:v>Microempresa</x:v>
      </x:c>
      <x:c r="E19" s="160"/>
      <x:c r="F19" s="108" t="str">
        <x:v>Prospecto</x:v>
      </x:c>
      <x:c r="G19" s="160"/>
      <x:c r="H19" s="108" t="str">
        <x:v>Abierta</x:v>
      </x:c>
      <x:c r="I19" s="160"/>
      <x:c r="J19" s="108" t="str">
        <x:v>Alta</x:v>
      </x:c>
      <x:c r="K19" s="160"/>
      <x:c r="L19" s="161"/>
      <x:c r="M19" s="161"/>
      <x:c r="N19" s="161"/>
      <x:c r="O19" s="161"/>
      <x:c r="P19" s="161"/>
      <x:c r="Q19" s="161"/>
      <x:c r="R19" s="161"/>
      <x:c r="S19" s="161"/>
      <x:c r="T19" s="161"/>
      <x:c r="U19" s="161"/>
      <x:c r="V19" s="161"/>
      <x:c r="W19" s="161"/>
      <x:c r="X19" s="161"/>
      <x:c r="Y19" s="161"/>
      <x:c r="Z19" s="161"/>
    </x:row>
    <x:row r="20">
      <x:c r="A20" s="160"/>
      <x:c r="B20" s="160"/>
      <x:c r="C20" s="160"/>
      <x:c r="D20" s="108" t="str">
        <x:v>PYME</x:v>
      </x:c>
      <x:c r="E20" s="160"/>
      <x:c r="F20" s="108" t="str">
        <x:v>Activo</x:v>
      </x:c>
      <x:c r="G20" s="160"/>
      <x:c r="H20" s="108" t="str">
        <x:v>Ganada</x:v>
      </x:c>
      <x:c r="I20" s="160"/>
      <x:c r="J20" s="108" t="str">
        <x:v>Media</x:v>
      </x:c>
      <x:c r="K20" s="160"/>
      <x:c r="L20" s="161"/>
      <x:c r="M20" s="161"/>
      <x:c r="N20" s="161"/>
      <x:c r="O20" s="161"/>
      <x:c r="P20" s="161"/>
      <x:c r="Q20" s="161"/>
      <x:c r="R20" s="161"/>
      <x:c r="S20" s="161"/>
      <x:c r="T20" s="161"/>
      <x:c r="U20" s="161"/>
      <x:c r="V20" s="161"/>
      <x:c r="W20" s="161"/>
      <x:c r="X20" s="161"/>
      <x:c r="Y20" s="161"/>
      <x:c r="Z20" s="161"/>
    </x:row>
    <x:row r="21">
      <x:c r="A21" s="160"/>
      <x:c r="B21" s="160"/>
      <x:c r="C21" s="160"/>
      <x:c r="D21" s="108" t="str">
        <x:v>Corporativo</x:v>
      </x:c>
      <x:c r="E21" s="160"/>
      <x:c r="F21" s="108" t="str">
        <x:v>Inactivo</x:v>
      </x:c>
      <x:c r="G21" s="160"/>
      <x:c r="H21" s="108" t="str">
        <x:v>Perdida</x:v>
      </x:c>
      <x:c r="I21" s="160"/>
      <x:c r="J21" s="108" t="str">
        <x:v>Baja</x:v>
      </x:c>
      <x:c r="K21" s="160"/>
      <x:c r="L21" s="161"/>
      <x:c r="M21" s="161"/>
      <x:c r="N21" s="161"/>
      <x:c r="O21" s="161"/>
      <x:c r="P21" s="161"/>
      <x:c r="Q21" s="161"/>
      <x:c r="R21" s="161"/>
      <x:c r="S21" s="161"/>
      <x:c r="T21" s="161"/>
      <x:c r="U21" s="161"/>
      <x:c r="V21" s="161"/>
      <x:c r="W21" s="161"/>
      <x:c r="X21" s="161"/>
      <x:c r="Y21" s="161"/>
      <x:c r="Z21" s="161"/>
    </x:row>
    <x:row r="22">
      <x:c r="A22" s="160"/>
      <x:c r="B22" s="160"/>
      <x:c r="C22" s="160"/>
      <x:c r="D22" s="108" t="str">
        <x:v>Gobierno</x:v>
      </x:c>
      <x:c r="E22" s="160"/>
      <x:c r="F22" s="108" t="str">
        <x:v>Bloqueado</x:v>
      </x:c>
      <x:c r="G22" s="160"/>
      <x:c r="H22" s="108" t="str">
        <x:v>Pausada</x:v>
      </x:c>
      <x:c r="I22" s="160"/>
      <x:c r="J22" s="160"/>
      <x:c r="K22" s="160"/>
      <x:c r="L22" s="161"/>
      <x:c r="M22" s="161"/>
      <x:c r="N22" s="161"/>
      <x:c r="O22" s="161"/>
      <x:c r="P22" s="161"/>
      <x:c r="Q22" s="161"/>
      <x:c r="R22" s="161"/>
      <x:c r="S22" s="161"/>
      <x:c r="T22" s="161"/>
      <x:c r="U22" s="161"/>
      <x:c r="V22" s="161"/>
      <x:c r="W22" s="161"/>
      <x:c r="X22" s="161"/>
      <x:c r="Y22" s="161"/>
      <x:c r="Z22" s="161"/>
    </x:row>
    <x:row r="23">
      <x:c r="A23" s="160"/>
      <x:c r="B23" s="160"/>
      <x:c r="C23" s="160"/>
      <x:c r="D23" s="108" t="str">
        <x:v>Emprendedor</x:v>
      </x:c>
      <x:c r="E23" s="160"/>
      <x:c r="F23" s="160"/>
      <x:c r="G23" s="160"/>
      <x:c r="H23" s="160"/>
      <x:c r="I23" s="160"/>
      <x:c r="J23" s="160"/>
      <x:c r="K23" s="160"/>
      <x:c r="L23" s="161"/>
      <x:c r="M23" s="161"/>
      <x:c r="N23" s="161"/>
      <x:c r="O23" s="161"/>
      <x:c r="P23" s="161"/>
      <x:c r="Q23" s="161"/>
      <x:c r="R23" s="161"/>
      <x:c r="S23" s="161"/>
      <x:c r="T23" s="161"/>
      <x:c r="U23" s="161"/>
      <x:c r="V23" s="161"/>
      <x:c r="W23" s="161"/>
      <x:c r="X23" s="161"/>
      <x:c r="Y23" s="161"/>
      <x:c r="Z23" s="161"/>
    </x:row>
    <x:row r="24">
      <x:c r="A24" s="160"/>
      <x:c r="B24" s="160"/>
      <x:c r="C24" s="160"/>
      <x:c r="D24" s="108" t="str">
        <x:v>Consultoría</x:v>
      </x:c>
      <x:c r="E24" s="160"/>
      <x:c r="F24" s="160"/>
      <x:c r="G24" s="160"/>
      <x:c r="H24" s="160"/>
      <x:c r="I24" s="160"/>
      <x:c r="J24" s="160"/>
      <x:c r="K24" s="160"/>
      <x:c r="L24" s="161"/>
      <x:c r="M24" s="161"/>
      <x:c r="N24" s="161"/>
      <x:c r="O24" s="161"/>
      <x:c r="P24" s="161"/>
      <x:c r="Q24" s="161"/>
      <x:c r="R24" s="161"/>
      <x:c r="S24" s="161"/>
      <x:c r="T24" s="161"/>
      <x:c r="U24" s="161"/>
      <x:c r="V24" s="161"/>
      <x:c r="W24" s="161"/>
      <x:c r="X24" s="161"/>
      <x:c r="Y24" s="161"/>
      <x:c r="Z24" s="161"/>
    </x:row>
    <x:row r="25">
      <x:c r="A25" s="160"/>
      <x:c r="B25" s="160"/>
      <x:c r="C25" s="160"/>
      <x:c r="D25" s="108" t="str">
        <x:v>Otro</x:v>
      </x:c>
      <x:c r="E25" s="160"/>
      <x:c r="F25" s="160"/>
      <x:c r="G25" s="160"/>
      <x:c r="H25" s="160"/>
      <x:c r="I25" s="160"/>
      <x:c r="J25" s="160"/>
      <x:c r="K25" s="160"/>
      <x:c r="L25" s="161"/>
      <x:c r="M25" s="161"/>
      <x:c r="N25" s="161"/>
      <x:c r="O25" s="161"/>
      <x:c r="P25" s="161"/>
      <x:c r="Q25" s="161"/>
      <x:c r="R25" s="161"/>
      <x:c r="S25" s="161"/>
      <x:c r="T25" s="161"/>
      <x:c r="U25" s="161"/>
      <x:c r="V25" s="161"/>
      <x:c r="W25" s="161"/>
      <x:c r="X25" s="161"/>
      <x:c r="Y25" s="161"/>
      <x:c r="Z25" s="161"/>
    </x:row>
    <x:row r="26">
      <x:c r="A26" s="160"/>
      <x:c r="B26" s="160"/>
      <x:c r="C26" s="160"/>
      <x:c r="D26" s="160"/>
      <x:c r="E26" s="160"/>
      <x:c r="F26" s="160"/>
      <x:c r="G26" s="160"/>
      <x:c r="H26" s="160"/>
      <x:c r="I26" s="160"/>
      <x:c r="J26" s="160"/>
      <x:c r="K26" s="160"/>
      <x:c r="L26" s="161"/>
      <x:c r="M26" s="161"/>
      <x:c r="N26" s="161"/>
      <x:c r="O26" s="161"/>
      <x:c r="P26" s="161"/>
      <x:c r="Q26" s="161"/>
      <x:c r="R26" s="161"/>
      <x:c r="S26" s="161"/>
      <x:c r="T26" s="161"/>
      <x:c r="U26" s="161"/>
      <x:c r="V26" s="161"/>
      <x:c r="W26" s="161"/>
      <x:c r="X26" s="161"/>
      <x:c r="Y26" s="161"/>
      <x:c r="Z26" s="161"/>
    </x:row>
    <x:row r="27">
      <x:c r="A27" s="160"/>
      <x:c r="B27" s="160"/>
      <x:c r="C27" s="160"/>
      <x:c r="D27" s="160"/>
      <x:c r="E27" s="160"/>
      <x:c r="F27" s="160"/>
      <x:c r="G27" s="160"/>
      <x:c r="H27" s="160"/>
      <x:c r="I27" s="160"/>
      <x:c r="J27" s="160"/>
      <x:c r="K27" s="160"/>
      <x:c r="L27" s="161"/>
      <x:c r="M27" s="161"/>
      <x:c r="N27" s="161"/>
      <x:c r="O27" s="161"/>
      <x:c r="P27" s="161"/>
      <x:c r="Q27" s="161"/>
      <x:c r="R27" s="161"/>
      <x:c r="S27" s="161"/>
      <x:c r="T27" s="161"/>
      <x:c r="U27" s="161"/>
      <x:c r="V27" s="161"/>
      <x:c r="W27" s="161"/>
      <x:c r="X27" s="161"/>
      <x:c r="Y27" s="161"/>
      <x:c r="Z27" s="161"/>
    </x:row>
    <x:row r="28">
      <x:c r="A28" s="160"/>
      <x:c r="B28" s="160"/>
      <x:c r="C28" s="160"/>
      <x:c r="D28" s="160"/>
      <x:c r="E28" s="160"/>
      <x:c r="F28" s="160"/>
      <x:c r="G28" s="160"/>
      <x:c r="H28" s="160"/>
      <x:c r="I28" s="160"/>
      <x:c r="J28" s="160"/>
      <x:c r="K28" s="160"/>
      <x:c r="L28" s="161"/>
      <x:c r="M28" s="161"/>
      <x:c r="N28" s="161"/>
      <x:c r="O28" s="161"/>
      <x:c r="P28" s="161"/>
      <x:c r="Q28" s="161"/>
      <x:c r="R28" s="161"/>
      <x:c r="S28" s="161"/>
      <x:c r="T28" s="161"/>
      <x:c r="U28" s="161"/>
      <x:c r="V28" s="161"/>
      <x:c r="W28" s="161"/>
      <x:c r="X28" s="161"/>
      <x:c r="Y28" s="161"/>
      <x:c r="Z28" s="161"/>
    </x:row>
    <x:row r="29">
      <x:c r="A29" s="160"/>
      <x:c r="B29" s="160"/>
      <x:c r="C29" s="160"/>
      <x:c r="D29" s="160"/>
      <x:c r="E29" s="160"/>
      <x:c r="F29" s="160"/>
      <x:c r="G29" s="160"/>
      <x:c r="H29" s="160"/>
      <x:c r="I29" s="160"/>
      <x:c r="J29" s="160"/>
      <x:c r="K29" s="160"/>
      <x:c r="L29" s="161"/>
      <x:c r="M29" s="161"/>
      <x:c r="N29" s="161"/>
      <x:c r="O29" s="161"/>
      <x:c r="P29" s="161"/>
      <x:c r="Q29" s="161"/>
      <x:c r="R29" s="161"/>
      <x:c r="S29" s="161"/>
      <x:c r="T29" s="161"/>
      <x:c r="U29" s="161"/>
      <x:c r="V29" s="161"/>
      <x:c r="W29" s="161"/>
      <x:c r="X29" s="161"/>
      <x:c r="Y29" s="161"/>
      <x:c r="Z29" s="161"/>
    </x:row>
    <x:row r="30">
      <x:c r="A30" s="160"/>
      <x:c r="B30" s="160"/>
      <x:c r="C30" s="160"/>
      <x:c r="D30" s="160"/>
      <x:c r="E30" s="160"/>
      <x:c r="F30" s="160"/>
      <x:c r="G30" s="160"/>
      <x:c r="H30" s="160"/>
      <x:c r="I30" s="160"/>
      <x:c r="J30" s="160"/>
      <x:c r="K30" s="160"/>
      <x:c r="L30" s="161"/>
      <x:c r="M30" s="161"/>
      <x:c r="N30" s="161"/>
      <x:c r="O30" s="161"/>
      <x:c r="P30" s="161"/>
      <x:c r="Q30" s="161"/>
      <x:c r="R30" s="161"/>
      <x:c r="S30" s="161"/>
      <x:c r="T30" s="161"/>
      <x:c r="U30" s="161"/>
      <x:c r="V30" s="161"/>
      <x:c r="W30" s="161"/>
      <x:c r="X30" s="161"/>
      <x:c r="Y30" s="161"/>
      <x:c r="Z30" s="161"/>
    </x:row>
    <x:row r="31">
      <x:c r="A31" s="160"/>
      <x:c r="B31" s="160"/>
      <x:c r="C31" s="160"/>
      <x:c r="D31" s="160"/>
      <x:c r="E31" s="160"/>
      <x:c r="F31" s="160"/>
      <x:c r="G31" s="160"/>
      <x:c r="H31" s="160"/>
      <x:c r="I31" s="160"/>
      <x:c r="J31" s="160"/>
      <x:c r="K31" s="160"/>
      <x:c r="L31" s="161"/>
      <x:c r="M31" s="161"/>
      <x:c r="N31" s="161"/>
      <x:c r="O31" s="161"/>
      <x:c r="P31" s="161"/>
      <x:c r="Q31" s="161"/>
      <x:c r="R31" s="161"/>
      <x:c r="S31" s="161"/>
      <x:c r="T31" s="161"/>
      <x:c r="U31" s="161"/>
      <x:c r="V31" s="161"/>
      <x:c r="W31" s="161"/>
      <x:c r="X31" s="161"/>
      <x:c r="Y31" s="161"/>
      <x:c r="Z31" s="161"/>
    </x:row>
    <x:row r="32">
      <x:c r="A32" s="160"/>
      <x:c r="B32" s="160"/>
      <x:c r="C32" s="160"/>
      <x:c r="D32" s="160"/>
      <x:c r="E32" s="160"/>
      <x:c r="F32" s="160"/>
      <x:c r="G32" s="160"/>
      <x:c r="H32" s="160"/>
      <x:c r="I32" s="160"/>
      <x:c r="J32" s="160"/>
      <x:c r="K32" s="160"/>
      <x:c r="L32" s="161"/>
      <x:c r="M32" s="161"/>
      <x:c r="N32" s="161"/>
      <x:c r="O32" s="161"/>
      <x:c r="P32" s="161"/>
      <x:c r="Q32" s="161"/>
      <x:c r="R32" s="161"/>
      <x:c r="S32" s="161"/>
      <x:c r="T32" s="161"/>
      <x:c r="U32" s="161"/>
      <x:c r="V32" s="161"/>
      <x:c r="W32" s="161"/>
      <x:c r="X32" s="161"/>
      <x:c r="Y32" s="161"/>
      <x:c r="Z32" s="161"/>
    </x:row>
    <x:row r="33">
      <x:c r="A33" s="160"/>
      <x:c r="B33" s="160"/>
      <x:c r="C33" s="160"/>
      <x:c r="D33" s="160"/>
      <x:c r="E33" s="160"/>
      <x:c r="F33" s="160"/>
      <x:c r="G33" s="160"/>
      <x:c r="H33" s="160"/>
      <x:c r="I33" s="160"/>
      <x:c r="J33" s="160"/>
      <x:c r="K33" s="160"/>
      <x:c r="L33" s="161"/>
      <x:c r="M33" s="161"/>
      <x:c r="N33" s="161"/>
      <x:c r="O33" s="161"/>
      <x:c r="P33" s="161"/>
      <x:c r="Q33" s="161"/>
      <x:c r="R33" s="161"/>
      <x:c r="S33" s="161"/>
      <x:c r="T33" s="161"/>
      <x:c r="U33" s="161"/>
      <x:c r="V33" s="161"/>
      <x:c r="W33" s="161"/>
      <x:c r="X33" s="161"/>
      <x:c r="Y33" s="161"/>
      <x:c r="Z33" s="161"/>
    </x:row>
    <x:row r="34">
      <x:c r="A34" s="160"/>
      <x:c r="B34" s="160"/>
      <x:c r="C34" s="160"/>
      <x:c r="D34" s="160"/>
      <x:c r="E34" s="160"/>
      <x:c r="F34" s="160"/>
      <x:c r="G34" s="160"/>
      <x:c r="H34" s="160"/>
      <x:c r="I34" s="160"/>
      <x:c r="J34" s="160"/>
      <x:c r="K34" s="160"/>
      <x:c r="L34" s="161"/>
      <x:c r="M34" s="161"/>
      <x:c r="N34" s="161"/>
      <x:c r="O34" s="161"/>
      <x:c r="P34" s="161"/>
      <x:c r="Q34" s="161"/>
      <x:c r="R34" s="161"/>
      <x:c r="S34" s="161"/>
      <x:c r="T34" s="161"/>
      <x:c r="U34" s="161"/>
      <x:c r="V34" s="161"/>
      <x:c r="W34" s="161"/>
      <x:c r="X34" s="161"/>
      <x:c r="Y34" s="161"/>
      <x:c r="Z34" s="161"/>
    </x:row>
    <x:row r="35">
      <x:c r="A35" s="160"/>
      <x:c r="B35" s="160"/>
      <x:c r="C35" s="160"/>
      <x:c r="D35" s="160"/>
      <x:c r="E35" s="160"/>
      <x:c r="F35" s="160"/>
      <x:c r="G35" s="160"/>
      <x:c r="H35" s="160"/>
      <x:c r="I35" s="160"/>
      <x:c r="J35" s="160"/>
      <x:c r="K35" s="160"/>
      <x:c r="L35" s="161"/>
      <x:c r="M35" s="161"/>
      <x:c r="N35" s="161"/>
      <x:c r="O35" s="161"/>
      <x:c r="P35" s="161"/>
      <x:c r="Q35" s="161"/>
      <x:c r="R35" s="161"/>
      <x:c r="S35" s="161"/>
      <x:c r="T35" s="161"/>
      <x:c r="U35" s="161"/>
      <x:c r="V35" s="161"/>
      <x:c r="W35" s="161"/>
      <x:c r="X35" s="161"/>
      <x:c r="Y35" s="161"/>
      <x:c r="Z35" s="161"/>
    </x:row>
    <x:row r="36">
      <x:c r="A36" s="160"/>
      <x:c r="B36" s="160"/>
      <x:c r="C36" s="160"/>
      <x:c r="D36" s="160"/>
      <x:c r="E36" s="160"/>
      <x:c r="F36" s="160"/>
      <x:c r="G36" s="160"/>
      <x:c r="H36" s="160"/>
      <x:c r="I36" s="160"/>
      <x:c r="J36" s="160"/>
      <x:c r="K36" s="160"/>
      <x:c r="L36" s="161"/>
      <x:c r="M36" s="161"/>
      <x:c r="N36" s="161"/>
      <x:c r="O36" s="161"/>
      <x:c r="P36" s="161"/>
      <x:c r="Q36" s="161"/>
      <x:c r="R36" s="161"/>
      <x:c r="S36" s="161"/>
      <x:c r="T36" s="161"/>
      <x:c r="U36" s="161"/>
      <x:c r="V36" s="161"/>
      <x:c r="W36" s="161"/>
      <x:c r="X36" s="161"/>
      <x:c r="Y36" s="161"/>
      <x:c r="Z36" s="161"/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  <x:c r="K37" s="160"/>
      <x:c r="L37" s="161"/>
      <x:c r="M37" s="161"/>
      <x:c r="N37" s="161"/>
      <x:c r="O37" s="161"/>
      <x:c r="P37" s="161"/>
      <x:c r="Q37" s="161"/>
      <x:c r="R37" s="161"/>
      <x:c r="S37" s="161"/>
      <x:c r="T37" s="161"/>
      <x:c r="U37" s="161"/>
      <x:c r="V37" s="161"/>
      <x:c r="W37" s="161"/>
      <x:c r="X37" s="161"/>
      <x:c r="Y37" s="161"/>
      <x:c r="Z37" s="161"/>
    </x:row>
    <x:row r="38">
      <x:c r="A38" s="160"/>
      <x:c r="B38" s="160"/>
      <x:c r="C38" s="160"/>
      <x:c r="D38" s="160"/>
      <x:c r="E38" s="160"/>
      <x:c r="F38" s="160"/>
      <x:c r="G38" s="160"/>
      <x:c r="H38" s="160"/>
      <x:c r="I38" s="160"/>
      <x:c r="J38" s="160"/>
      <x:c r="K38" s="160"/>
      <x:c r="L38" s="161"/>
      <x:c r="M38" s="161"/>
      <x:c r="N38" s="161"/>
      <x:c r="O38" s="161"/>
      <x:c r="P38" s="161"/>
      <x:c r="Q38" s="161"/>
      <x:c r="R38" s="161"/>
      <x:c r="S38" s="161"/>
      <x:c r="T38" s="161"/>
      <x:c r="U38" s="161"/>
      <x:c r="V38" s="161"/>
      <x:c r="W38" s="161"/>
      <x:c r="X38" s="161"/>
      <x:c r="Y38" s="161"/>
      <x:c r="Z38" s="161"/>
    </x:row>
    <x:row r="39">
      <x:c r="A39" s="160"/>
      <x:c r="B39" s="160"/>
      <x:c r="C39" s="160"/>
      <x:c r="D39" s="160"/>
      <x:c r="E39" s="160"/>
      <x:c r="F39" s="160"/>
      <x:c r="G39" s="160"/>
      <x:c r="H39" s="160"/>
      <x:c r="I39" s="160"/>
      <x:c r="J39" s="160"/>
      <x:c r="K39" s="160"/>
      <x:c r="L39" s="161"/>
      <x:c r="M39" s="161"/>
      <x:c r="N39" s="161"/>
      <x:c r="O39" s="161"/>
      <x:c r="P39" s="161"/>
      <x:c r="Q39" s="161"/>
      <x:c r="R39" s="161"/>
      <x:c r="S39" s="161"/>
      <x:c r="T39" s="161"/>
      <x:c r="U39" s="161"/>
      <x:c r="V39" s="161"/>
      <x:c r="W39" s="161"/>
      <x:c r="X39" s="161"/>
      <x:c r="Y39" s="161"/>
      <x:c r="Z39" s="161"/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  <x:c r="K40" s="160"/>
      <x:c r="L40" s="161"/>
      <x:c r="M40" s="161"/>
      <x:c r="N40" s="161"/>
      <x:c r="O40" s="161"/>
      <x:c r="P40" s="161"/>
      <x:c r="Q40" s="161"/>
      <x:c r="R40" s="161"/>
      <x:c r="S40" s="161"/>
      <x:c r="T40" s="161"/>
      <x:c r="U40" s="161"/>
      <x:c r="V40" s="161"/>
      <x:c r="W40" s="161"/>
      <x:c r="X40" s="161"/>
      <x:c r="Y40" s="161"/>
      <x:c r="Z40" s="161"/>
    </x:row>
    <x:row r="41">
      <x:c r="A41" s="160"/>
      <x:c r="B41" s="160"/>
      <x:c r="C41" s="160"/>
      <x:c r="D41" s="160"/>
      <x:c r="E41" s="160"/>
      <x:c r="F41" s="160"/>
      <x:c r="G41" s="160"/>
      <x:c r="H41" s="160"/>
      <x:c r="I41" s="160"/>
      <x:c r="J41" s="160"/>
      <x:c r="K41" s="160"/>
      <x:c r="L41" s="161"/>
      <x:c r="M41" s="161"/>
      <x:c r="N41" s="161"/>
      <x:c r="O41" s="161"/>
      <x:c r="P41" s="161"/>
      <x:c r="Q41" s="161"/>
      <x:c r="R41" s="161"/>
      <x:c r="S41" s="161"/>
      <x:c r="T41" s="161"/>
      <x:c r="U41" s="161"/>
      <x:c r="V41" s="161"/>
      <x:c r="W41" s="161"/>
      <x:c r="X41" s="161"/>
      <x:c r="Y41" s="161"/>
      <x:c r="Z41" s="161"/>
    </x:row>
    <x:row r="42">
      <x:c r="A42" s="160"/>
      <x:c r="B42" s="160"/>
      <x:c r="C42" s="160"/>
      <x:c r="D42" s="160"/>
      <x:c r="E42" s="160"/>
      <x:c r="F42" s="160"/>
      <x:c r="G42" s="160"/>
      <x:c r="H42" s="160"/>
      <x:c r="I42" s="160"/>
      <x:c r="J42" s="160"/>
      <x:c r="K42" s="160"/>
      <x:c r="L42" s="161"/>
      <x:c r="M42" s="161"/>
      <x:c r="N42" s="161"/>
      <x:c r="O42" s="161"/>
      <x:c r="P42" s="161"/>
      <x:c r="Q42" s="161"/>
      <x:c r="R42" s="161"/>
      <x:c r="S42" s="161"/>
      <x:c r="T42" s="161"/>
      <x:c r="U42" s="161"/>
      <x:c r="V42" s="161"/>
      <x:c r="W42" s="161"/>
      <x:c r="X42" s="161"/>
      <x:c r="Y42" s="161"/>
      <x:c r="Z42" s="161"/>
    </x:row>
    <x:row r="43">
      <x:c r="A43" s="160"/>
      <x:c r="B43" s="160"/>
      <x:c r="C43" s="160"/>
      <x:c r="D43" s="160"/>
      <x:c r="E43" s="160"/>
      <x:c r="F43" s="160"/>
      <x:c r="G43" s="160"/>
      <x:c r="H43" s="160"/>
      <x:c r="I43" s="160"/>
      <x:c r="J43" s="160"/>
      <x:c r="K43" s="160"/>
      <x:c r="L43" s="161"/>
      <x:c r="M43" s="161"/>
      <x:c r="N43" s="161"/>
      <x:c r="O43" s="161"/>
      <x:c r="P43" s="161"/>
      <x:c r="Q43" s="161"/>
      <x:c r="R43" s="161"/>
      <x:c r="S43" s="161"/>
      <x:c r="T43" s="161"/>
      <x:c r="U43" s="161"/>
      <x:c r="V43" s="161"/>
      <x:c r="W43" s="161"/>
      <x:c r="X43" s="161"/>
      <x:c r="Y43" s="161"/>
      <x:c r="Z43" s="161"/>
    </x:row>
    <x:row r="44">
      <x:c r="A44" s="160"/>
      <x:c r="B44" s="160"/>
      <x:c r="C44" s="160"/>
      <x:c r="D44" s="160"/>
      <x:c r="E44" s="160"/>
      <x:c r="F44" s="160"/>
      <x:c r="G44" s="160"/>
      <x:c r="H44" s="160"/>
      <x:c r="I44" s="160"/>
      <x:c r="J44" s="160"/>
      <x:c r="K44" s="160"/>
      <x:c r="L44" s="161"/>
      <x:c r="M44" s="161"/>
      <x:c r="N44" s="161"/>
      <x:c r="O44" s="161"/>
      <x:c r="P44" s="161"/>
      <x:c r="Q44" s="161"/>
      <x:c r="R44" s="161"/>
      <x:c r="S44" s="161"/>
      <x:c r="T44" s="161"/>
      <x:c r="U44" s="161"/>
      <x:c r="V44" s="161"/>
      <x:c r="W44" s="161"/>
      <x:c r="X44" s="161"/>
      <x:c r="Y44" s="161"/>
      <x:c r="Z44" s="161"/>
    </x:row>
    <x:row r="45">
      <x:c r="A45" s="160"/>
      <x:c r="B45" s="160"/>
      <x:c r="C45" s="160"/>
      <x:c r="D45" s="160"/>
      <x:c r="E45" s="160"/>
      <x:c r="F45" s="160"/>
      <x:c r="G45" s="160"/>
      <x:c r="H45" s="160"/>
      <x:c r="I45" s="160"/>
      <x:c r="J45" s="160"/>
      <x:c r="K45" s="160"/>
      <x:c r="L45" s="161"/>
      <x:c r="M45" s="161"/>
      <x:c r="N45" s="161"/>
      <x:c r="O45" s="161"/>
      <x:c r="P45" s="161"/>
      <x:c r="Q45" s="161"/>
      <x:c r="R45" s="161"/>
      <x:c r="S45" s="161"/>
      <x:c r="T45" s="161"/>
      <x:c r="U45" s="161"/>
      <x:c r="V45" s="161"/>
      <x:c r="W45" s="161"/>
      <x:c r="X45" s="161"/>
      <x:c r="Y45" s="161"/>
      <x:c r="Z45" s="161"/>
    </x:row>
    <x:row r="46">
      <x:c r="A46" s="160"/>
      <x:c r="B46" s="160"/>
      <x:c r="C46" s="160"/>
      <x:c r="D46" s="160"/>
      <x:c r="E46" s="160"/>
      <x:c r="F46" s="160"/>
      <x:c r="G46" s="160"/>
      <x:c r="H46" s="160"/>
      <x:c r="I46" s="160"/>
      <x:c r="J46" s="160"/>
      <x:c r="K46" s="160"/>
      <x:c r="L46" s="161"/>
      <x:c r="M46" s="161"/>
      <x:c r="N46" s="161"/>
      <x:c r="O46" s="161"/>
      <x:c r="P46" s="161"/>
      <x:c r="Q46" s="161"/>
      <x:c r="R46" s="161"/>
      <x:c r="S46" s="161"/>
      <x:c r="T46" s="161"/>
      <x:c r="U46" s="161"/>
      <x:c r="V46" s="161"/>
      <x:c r="W46" s="161"/>
      <x:c r="X46" s="161"/>
      <x:c r="Y46" s="161"/>
      <x:c r="Z46" s="161"/>
    </x:row>
    <x:row r="47">
      <x:c r="A47" s="160"/>
      <x:c r="B47" s="160"/>
      <x:c r="C47" s="160"/>
      <x:c r="D47" s="160"/>
      <x:c r="E47" s="160"/>
      <x:c r="F47" s="160"/>
      <x:c r="G47" s="160"/>
      <x:c r="H47" s="160"/>
      <x:c r="I47" s="160"/>
      <x:c r="J47" s="160"/>
      <x:c r="K47" s="160"/>
      <x:c r="L47" s="161"/>
      <x:c r="M47" s="161"/>
      <x:c r="N47" s="161"/>
      <x:c r="O47" s="161"/>
      <x:c r="P47" s="161"/>
      <x:c r="Q47" s="161"/>
      <x:c r="R47" s="161"/>
      <x:c r="S47" s="161"/>
      <x:c r="T47" s="161"/>
      <x:c r="U47" s="161"/>
      <x:c r="V47" s="161"/>
      <x:c r="W47" s="161"/>
      <x:c r="X47" s="161"/>
      <x:c r="Y47" s="161"/>
      <x:c r="Z47" s="161"/>
    </x:row>
    <x:row r="48">
      <x:c r="A48" s="160"/>
      <x:c r="B48" s="160"/>
      <x:c r="C48" s="160"/>
      <x:c r="D48" s="160"/>
      <x:c r="E48" s="160"/>
      <x:c r="F48" s="160"/>
      <x:c r="G48" s="160"/>
      <x:c r="H48" s="160"/>
      <x:c r="I48" s="160"/>
      <x:c r="J48" s="160"/>
      <x:c r="K48" s="160"/>
      <x:c r="L48" s="161"/>
      <x:c r="M48" s="161"/>
      <x:c r="N48" s="161"/>
      <x:c r="O48" s="161"/>
      <x:c r="P48" s="161"/>
      <x:c r="Q48" s="161"/>
      <x:c r="R48" s="161"/>
      <x:c r="S48" s="161"/>
      <x:c r="T48" s="161"/>
      <x:c r="U48" s="161"/>
      <x:c r="V48" s="161"/>
      <x:c r="W48" s="161"/>
      <x:c r="X48" s="161"/>
      <x:c r="Y48" s="161"/>
      <x:c r="Z48" s="161"/>
    </x:row>
    <x:row r="49">
      <x:c r="A49" s="160"/>
      <x:c r="B49" s="160"/>
      <x:c r="C49" s="160"/>
      <x:c r="D49" s="160"/>
      <x:c r="E49" s="160"/>
      <x:c r="F49" s="160"/>
      <x:c r="G49" s="160"/>
      <x:c r="H49" s="160"/>
      <x:c r="I49" s="160"/>
      <x:c r="J49" s="160"/>
      <x:c r="K49" s="160"/>
      <x:c r="L49" s="161"/>
      <x:c r="M49" s="161"/>
      <x:c r="N49" s="161"/>
      <x:c r="O49" s="161"/>
      <x:c r="P49" s="161"/>
      <x:c r="Q49" s="161"/>
      <x:c r="R49" s="161"/>
      <x:c r="S49" s="161"/>
      <x:c r="T49" s="161"/>
      <x:c r="U49" s="161"/>
      <x:c r="V49" s="161"/>
      <x:c r="W49" s="161"/>
      <x:c r="X49" s="161"/>
      <x:c r="Y49" s="161"/>
      <x:c r="Z49" s="161"/>
    </x:row>
    <x:row r="50">
      <x:c r="A50" s="160"/>
      <x:c r="B50" s="160"/>
      <x:c r="C50" s="160"/>
      <x:c r="D50" s="160"/>
      <x:c r="E50" s="160"/>
      <x:c r="F50" s="160"/>
      <x:c r="G50" s="160"/>
      <x:c r="H50" s="160"/>
      <x:c r="I50" s="160"/>
      <x:c r="J50" s="160"/>
      <x:c r="K50" s="160"/>
      <x:c r="L50" s="161"/>
      <x:c r="M50" s="161"/>
      <x:c r="N50" s="161"/>
      <x:c r="O50" s="161"/>
      <x:c r="P50" s="161"/>
      <x:c r="Q50" s="161"/>
      <x:c r="R50" s="161"/>
      <x:c r="S50" s="161"/>
      <x:c r="T50" s="161"/>
      <x:c r="U50" s="161"/>
      <x:c r="V50" s="161"/>
      <x:c r="W50" s="161"/>
      <x:c r="X50" s="161"/>
      <x:c r="Y50" s="161"/>
      <x:c r="Z50" s="161"/>
    </x:row>
    <x:row r="51">
      <x:c r="A51" s="160"/>
      <x:c r="B51" s="160"/>
      <x:c r="C51" s="160"/>
      <x:c r="D51" s="160"/>
      <x:c r="E51" s="160"/>
      <x:c r="F51" s="160"/>
      <x:c r="G51" s="160"/>
      <x:c r="H51" s="160"/>
      <x:c r="I51" s="160"/>
      <x:c r="J51" s="160"/>
      <x:c r="K51" s="160"/>
      <x:c r="L51" s="161"/>
      <x:c r="M51" s="161"/>
      <x:c r="N51" s="161"/>
      <x:c r="O51" s="161"/>
      <x:c r="P51" s="161"/>
      <x:c r="Q51" s="161"/>
      <x:c r="R51" s="161"/>
      <x:c r="S51" s="161"/>
      <x:c r="T51" s="161"/>
      <x:c r="U51" s="161"/>
      <x:c r="V51" s="161"/>
      <x:c r="W51" s="161"/>
      <x:c r="X51" s="161"/>
      <x:c r="Y51" s="161"/>
      <x:c r="Z51" s="161"/>
    </x:row>
    <x:row r="52">
      <x:c r="A52" s="160"/>
      <x:c r="B52" s="160"/>
      <x:c r="C52" s="160"/>
      <x:c r="D52" s="160"/>
      <x:c r="E52" s="160"/>
      <x:c r="F52" s="160"/>
      <x:c r="G52" s="160"/>
      <x:c r="H52" s="160"/>
      <x:c r="I52" s="160"/>
      <x:c r="J52" s="160"/>
      <x:c r="K52" s="160"/>
      <x:c r="L52" s="161"/>
      <x:c r="M52" s="161"/>
      <x:c r="N52" s="161"/>
      <x:c r="O52" s="161"/>
      <x:c r="P52" s="161"/>
      <x:c r="Q52" s="161"/>
      <x:c r="R52" s="161"/>
      <x:c r="S52" s="161"/>
      <x:c r="T52" s="161"/>
      <x:c r="U52" s="161"/>
      <x:c r="V52" s="161"/>
      <x:c r="W52" s="161"/>
      <x:c r="X52" s="161"/>
      <x:c r="Y52" s="161"/>
      <x:c r="Z52" s="161"/>
    </x:row>
    <x:row r="53">
      <x:c r="A53" s="160"/>
      <x:c r="B53" s="160"/>
      <x:c r="C53" s="160"/>
      <x:c r="D53" s="160"/>
      <x:c r="E53" s="160"/>
      <x:c r="F53" s="160"/>
      <x:c r="G53" s="160"/>
      <x:c r="H53" s="160"/>
      <x:c r="I53" s="160"/>
      <x:c r="J53" s="160"/>
      <x:c r="K53" s="160"/>
      <x:c r="L53" s="161"/>
      <x:c r="M53" s="161"/>
      <x:c r="N53" s="161"/>
      <x:c r="O53" s="161"/>
      <x:c r="P53" s="161"/>
      <x:c r="Q53" s="161"/>
      <x:c r="R53" s="161"/>
      <x:c r="S53" s="161"/>
      <x:c r="T53" s="161"/>
      <x:c r="U53" s="161"/>
      <x:c r="V53" s="161"/>
      <x:c r="W53" s="161"/>
      <x:c r="X53" s="161"/>
      <x:c r="Y53" s="161"/>
      <x:c r="Z53" s="161"/>
    </x:row>
    <x:row r="54">
      <x:c r="A54" s="160"/>
      <x:c r="B54" s="160"/>
      <x:c r="C54" s="160"/>
      <x:c r="D54" s="160"/>
      <x:c r="E54" s="160"/>
      <x:c r="F54" s="160"/>
      <x:c r="G54" s="160"/>
      <x:c r="H54" s="160"/>
      <x:c r="I54" s="160"/>
      <x:c r="J54" s="160"/>
      <x:c r="K54" s="160"/>
      <x:c r="L54" s="161"/>
      <x:c r="M54" s="161"/>
      <x:c r="N54" s="161"/>
      <x:c r="O54" s="161"/>
      <x:c r="P54" s="161"/>
      <x:c r="Q54" s="161"/>
      <x:c r="R54" s="161"/>
      <x:c r="S54" s="161"/>
      <x:c r="T54" s="161"/>
      <x:c r="U54" s="161"/>
      <x:c r="V54" s="161"/>
      <x:c r="W54" s="161"/>
      <x:c r="X54" s="161"/>
      <x:c r="Y54" s="161"/>
      <x:c r="Z54" s="161"/>
    </x:row>
    <x:row r="55">
      <x:c r="A55" s="160"/>
      <x:c r="B55" s="160"/>
      <x:c r="C55" s="160"/>
      <x:c r="D55" s="160"/>
      <x:c r="E55" s="160"/>
      <x:c r="F55" s="160"/>
      <x:c r="G55" s="160"/>
      <x:c r="H55" s="160"/>
      <x:c r="I55" s="160"/>
      <x:c r="J55" s="160"/>
      <x:c r="K55" s="160"/>
      <x:c r="L55" s="161"/>
      <x:c r="M55" s="161"/>
      <x:c r="N55" s="161"/>
      <x:c r="O55" s="161"/>
      <x:c r="P55" s="161"/>
      <x:c r="Q55" s="161"/>
      <x:c r="R55" s="161"/>
      <x:c r="S55" s="161"/>
      <x:c r="T55" s="161"/>
      <x:c r="U55" s="161"/>
      <x:c r="V55" s="161"/>
      <x:c r="W55" s="161"/>
      <x:c r="X55" s="161"/>
      <x:c r="Y55" s="161"/>
      <x:c r="Z55" s="161"/>
    </x:row>
    <x:row r="56">
      <x:c r="A56" s="160"/>
      <x:c r="B56" s="160"/>
      <x:c r="C56" s="160"/>
      <x:c r="D56" s="160"/>
      <x:c r="E56" s="160"/>
      <x:c r="F56" s="160"/>
      <x:c r="G56" s="160"/>
      <x:c r="H56" s="160"/>
      <x:c r="I56" s="160"/>
      <x:c r="J56" s="160"/>
      <x:c r="K56" s="160"/>
      <x:c r="L56" s="161"/>
      <x:c r="M56" s="161"/>
      <x:c r="N56" s="161"/>
      <x:c r="O56" s="161"/>
      <x:c r="P56" s="161"/>
      <x:c r="Q56" s="161"/>
      <x:c r="R56" s="161"/>
      <x:c r="S56" s="161"/>
      <x:c r="T56" s="161"/>
      <x:c r="U56" s="161"/>
      <x:c r="V56" s="161"/>
      <x:c r="W56" s="161"/>
      <x:c r="X56" s="161"/>
      <x:c r="Y56" s="161"/>
      <x:c r="Z56" s="161"/>
    </x:row>
    <x:row r="57">
      <x:c r="A57" s="160"/>
      <x:c r="B57" s="160"/>
      <x:c r="C57" s="160"/>
      <x:c r="D57" s="160"/>
      <x:c r="E57" s="160"/>
      <x:c r="F57" s="160"/>
      <x:c r="G57" s="160"/>
      <x:c r="H57" s="160"/>
      <x:c r="I57" s="160"/>
      <x:c r="J57" s="160"/>
      <x:c r="K57" s="160"/>
      <x:c r="L57" s="161"/>
      <x:c r="M57" s="161"/>
      <x:c r="N57" s="161"/>
      <x:c r="O57" s="161"/>
      <x:c r="P57" s="161"/>
      <x:c r="Q57" s="161"/>
      <x:c r="R57" s="161"/>
      <x:c r="S57" s="161"/>
      <x:c r="T57" s="161"/>
      <x:c r="U57" s="161"/>
      <x:c r="V57" s="161"/>
      <x:c r="W57" s="161"/>
      <x:c r="X57" s="161"/>
      <x:c r="Y57" s="161"/>
      <x:c r="Z57" s="161"/>
    </x:row>
    <x:row r="58">
      <x:c r="A58" s="160"/>
      <x:c r="B58" s="160"/>
      <x:c r="C58" s="160"/>
      <x:c r="D58" s="160"/>
      <x:c r="E58" s="160"/>
      <x:c r="F58" s="160"/>
      <x:c r="G58" s="160"/>
      <x:c r="H58" s="160"/>
      <x:c r="I58" s="160"/>
      <x:c r="J58" s="160"/>
      <x:c r="K58" s="160"/>
      <x:c r="L58" s="161"/>
      <x:c r="M58" s="161"/>
      <x:c r="N58" s="161"/>
      <x:c r="O58" s="161"/>
      <x:c r="P58" s="161"/>
      <x:c r="Q58" s="161"/>
      <x:c r="R58" s="161"/>
      <x:c r="S58" s="161"/>
      <x:c r="T58" s="161"/>
      <x:c r="U58" s="161"/>
      <x:c r="V58" s="161"/>
      <x:c r="W58" s="161"/>
      <x:c r="X58" s="161"/>
      <x:c r="Y58" s="161"/>
      <x:c r="Z58" s="161"/>
    </x:row>
    <x:row r="59">
      <x:c r="A59" s="160"/>
      <x:c r="B59" s="160"/>
      <x:c r="C59" s="160"/>
      <x:c r="D59" s="160"/>
      <x:c r="E59" s="160"/>
      <x:c r="F59" s="160"/>
      <x:c r="G59" s="160"/>
      <x:c r="H59" s="160"/>
      <x:c r="I59" s="160"/>
      <x:c r="J59" s="160"/>
      <x:c r="K59" s="160"/>
      <x:c r="L59" s="161"/>
      <x:c r="M59" s="161"/>
      <x:c r="N59" s="161"/>
      <x:c r="O59" s="161"/>
      <x:c r="P59" s="161"/>
      <x:c r="Q59" s="161"/>
      <x:c r="R59" s="161"/>
      <x:c r="S59" s="161"/>
      <x:c r="T59" s="161"/>
      <x:c r="U59" s="161"/>
      <x:c r="V59" s="161"/>
      <x:c r="W59" s="161"/>
      <x:c r="X59" s="161"/>
      <x:c r="Y59" s="161"/>
      <x:c r="Z59" s="161"/>
    </x:row>
    <x:row r="60">
      <x:c r="A60" s="160"/>
      <x:c r="B60" s="160"/>
      <x:c r="C60" s="160"/>
      <x:c r="D60" s="160"/>
      <x:c r="E60" s="160"/>
      <x:c r="F60" s="160"/>
      <x:c r="G60" s="160"/>
      <x:c r="H60" s="160"/>
      <x:c r="I60" s="160"/>
      <x:c r="J60" s="160"/>
      <x:c r="K60" s="160"/>
      <x:c r="L60" s="161"/>
      <x:c r="M60" s="161"/>
      <x:c r="N60" s="161"/>
      <x:c r="O60" s="161"/>
      <x:c r="P60" s="161"/>
      <x:c r="Q60" s="161"/>
      <x:c r="R60" s="161"/>
      <x:c r="S60" s="161"/>
      <x:c r="T60" s="161"/>
      <x:c r="U60" s="161"/>
      <x:c r="V60" s="161"/>
      <x:c r="W60" s="161"/>
      <x:c r="X60" s="161"/>
      <x:c r="Y60" s="161"/>
      <x:c r="Z60" s="161"/>
    </x:row>
    <x:row r="61">
      <x:c r="A61" s="160"/>
      <x:c r="B61" s="160"/>
      <x:c r="C61" s="160"/>
      <x:c r="D61" s="160"/>
      <x:c r="E61" s="160"/>
      <x:c r="F61" s="160"/>
      <x:c r="G61" s="160"/>
      <x:c r="H61" s="160"/>
      <x:c r="I61" s="160"/>
      <x:c r="J61" s="160"/>
      <x:c r="K61" s="160"/>
      <x:c r="L61" s="161"/>
      <x:c r="M61" s="161"/>
      <x:c r="N61" s="161"/>
      <x:c r="O61" s="161"/>
      <x:c r="P61" s="161"/>
      <x:c r="Q61" s="161"/>
      <x:c r="R61" s="161"/>
      <x:c r="S61" s="161"/>
      <x:c r="T61" s="161"/>
      <x:c r="U61" s="161"/>
      <x:c r="V61" s="161"/>
      <x:c r="W61" s="161"/>
      <x:c r="X61" s="161"/>
      <x:c r="Y61" s="161"/>
      <x:c r="Z61" s="161"/>
    </x:row>
    <x:row r="62">
      <x:c r="A62" s="160"/>
      <x:c r="B62" s="160"/>
      <x:c r="C62" s="160"/>
      <x:c r="D62" s="160"/>
      <x:c r="E62" s="160"/>
      <x:c r="F62" s="160"/>
      <x:c r="G62" s="160"/>
      <x:c r="H62" s="160"/>
      <x:c r="I62" s="160"/>
      <x:c r="J62" s="160"/>
      <x:c r="K62" s="160"/>
      <x:c r="L62" s="161"/>
      <x:c r="M62" s="161"/>
      <x:c r="N62" s="161"/>
      <x:c r="O62" s="161"/>
      <x:c r="P62" s="161"/>
      <x:c r="Q62" s="161"/>
      <x:c r="R62" s="161"/>
      <x:c r="S62" s="161"/>
      <x:c r="T62" s="161"/>
      <x:c r="U62" s="161"/>
      <x:c r="V62" s="161"/>
      <x:c r="W62" s="161"/>
      <x:c r="X62" s="161"/>
      <x:c r="Y62" s="161"/>
      <x:c r="Z62" s="161"/>
    </x:row>
    <x:row r="63">
      <x:c r="A63" s="160"/>
      <x:c r="B63" s="160"/>
      <x:c r="C63" s="160"/>
      <x:c r="D63" s="160"/>
      <x:c r="E63" s="160"/>
      <x:c r="F63" s="160"/>
      <x:c r="G63" s="160"/>
      <x:c r="H63" s="160"/>
      <x:c r="I63" s="160"/>
      <x:c r="J63" s="160"/>
      <x:c r="K63" s="160"/>
      <x:c r="L63" s="161"/>
      <x:c r="M63" s="161"/>
      <x:c r="N63" s="161"/>
      <x:c r="O63" s="161"/>
      <x:c r="P63" s="161"/>
      <x:c r="Q63" s="161"/>
      <x:c r="R63" s="161"/>
      <x:c r="S63" s="161"/>
      <x:c r="T63" s="161"/>
      <x:c r="U63" s="161"/>
      <x:c r="V63" s="161"/>
      <x:c r="W63" s="161"/>
      <x:c r="X63" s="161"/>
      <x:c r="Y63" s="161"/>
      <x:c r="Z63" s="161"/>
    </x:row>
    <x:row r="64">
      <x:c r="A64" s="160"/>
      <x:c r="B64" s="160"/>
      <x:c r="C64" s="160"/>
      <x:c r="D64" s="160"/>
      <x:c r="E64" s="160"/>
      <x:c r="F64" s="160"/>
      <x:c r="G64" s="160"/>
      <x:c r="H64" s="160"/>
      <x:c r="I64" s="160"/>
      <x:c r="J64" s="160"/>
      <x:c r="K64" s="160"/>
      <x:c r="L64" s="161"/>
      <x:c r="M64" s="161"/>
      <x:c r="N64" s="161"/>
      <x:c r="O64" s="161"/>
      <x:c r="P64" s="161"/>
      <x:c r="Q64" s="161"/>
      <x:c r="R64" s="161"/>
      <x:c r="S64" s="161"/>
      <x:c r="T64" s="161"/>
      <x:c r="U64" s="161"/>
      <x:c r="V64" s="161"/>
      <x:c r="W64" s="161"/>
      <x:c r="X64" s="161"/>
      <x:c r="Y64" s="161"/>
      <x:c r="Z64" s="161"/>
    </x:row>
    <x:row r="65">
      <x:c r="A65" s="160"/>
      <x:c r="B65" s="160"/>
      <x:c r="C65" s="160"/>
      <x:c r="D65" s="160"/>
      <x:c r="E65" s="160"/>
      <x:c r="F65" s="160"/>
      <x:c r="G65" s="160"/>
      <x:c r="H65" s="160"/>
      <x:c r="I65" s="160"/>
      <x:c r="J65" s="160"/>
      <x:c r="K65" s="160"/>
      <x:c r="L65" s="161"/>
      <x:c r="M65" s="161"/>
      <x:c r="N65" s="161"/>
      <x:c r="O65" s="161"/>
      <x:c r="P65" s="161"/>
      <x:c r="Q65" s="161"/>
      <x:c r="R65" s="161"/>
      <x:c r="S65" s="161"/>
      <x:c r="T65" s="161"/>
      <x:c r="U65" s="161"/>
      <x:c r="V65" s="161"/>
      <x:c r="W65" s="161"/>
      <x:c r="X65" s="161"/>
      <x:c r="Y65" s="161"/>
      <x:c r="Z65" s="161"/>
    </x:row>
    <x:row r="66">
      <x:c r="A66" s="160"/>
      <x:c r="B66" s="160"/>
      <x:c r="C66" s="160"/>
      <x:c r="D66" s="160"/>
      <x:c r="E66" s="160"/>
      <x:c r="F66" s="160"/>
      <x:c r="G66" s="160"/>
      <x:c r="H66" s="160"/>
      <x:c r="I66" s="160"/>
      <x:c r="J66" s="160"/>
      <x:c r="K66" s="160"/>
      <x:c r="L66" s="161"/>
      <x:c r="M66" s="161"/>
      <x:c r="N66" s="161"/>
      <x:c r="O66" s="161"/>
      <x:c r="P66" s="161"/>
      <x:c r="Q66" s="161"/>
      <x:c r="R66" s="161"/>
      <x:c r="S66" s="161"/>
      <x:c r="T66" s="161"/>
      <x:c r="U66" s="161"/>
      <x:c r="V66" s="161"/>
      <x:c r="W66" s="161"/>
      <x:c r="X66" s="161"/>
      <x:c r="Y66" s="161"/>
      <x:c r="Z66" s="161"/>
    </x:row>
    <x:row r="67">
      <x:c r="A67" s="160"/>
      <x:c r="B67" s="160"/>
      <x:c r="C67" s="160"/>
      <x:c r="D67" s="160"/>
      <x:c r="E67" s="160"/>
      <x:c r="F67" s="160"/>
      <x:c r="G67" s="160"/>
      <x:c r="H67" s="160"/>
      <x:c r="I67" s="160"/>
      <x:c r="J67" s="160"/>
      <x:c r="K67" s="160"/>
      <x:c r="L67" s="161"/>
      <x:c r="M67" s="161"/>
      <x:c r="N67" s="161"/>
      <x:c r="O67" s="161"/>
      <x:c r="P67" s="161"/>
      <x:c r="Q67" s="161"/>
      <x:c r="R67" s="161"/>
      <x:c r="S67" s="161"/>
      <x:c r="T67" s="161"/>
      <x:c r="U67" s="161"/>
      <x:c r="V67" s="161"/>
      <x:c r="W67" s="161"/>
      <x:c r="X67" s="161"/>
      <x:c r="Y67" s="161"/>
      <x:c r="Z67" s="161"/>
    </x:row>
    <x:row r="68">
      <x:c r="A68" s="160"/>
      <x:c r="B68" s="160"/>
      <x:c r="C68" s="160"/>
      <x:c r="D68" s="160"/>
      <x:c r="E68" s="160"/>
      <x:c r="F68" s="160"/>
      <x:c r="G68" s="160"/>
      <x:c r="H68" s="160"/>
      <x:c r="I68" s="160"/>
      <x:c r="J68" s="160"/>
      <x:c r="K68" s="160"/>
      <x:c r="L68" s="161"/>
      <x:c r="M68" s="161"/>
      <x:c r="N68" s="161"/>
      <x:c r="O68" s="161"/>
      <x:c r="P68" s="161"/>
      <x:c r="Q68" s="161"/>
      <x:c r="R68" s="161"/>
      <x:c r="S68" s="161"/>
      <x:c r="T68" s="161"/>
      <x:c r="U68" s="161"/>
      <x:c r="V68" s="161"/>
      <x:c r="W68" s="161"/>
      <x:c r="X68" s="161"/>
      <x:c r="Y68" s="161"/>
      <x:c r="Z68" s="161"/>
    </x:row>
    <x:row r="69">
      <x:c r="A69" s="160"/>
      <x:c r="B69" s="160"/>
      <x:c r="C69" s="160"/>
      <x:c r="D69" s="160"/>
      <x:c r="E69" s="160"/>
      <x:c r="F69" s="160"/>
      <x:c r="G69" s="160"/>
      <x:c r="H69" s="160"/>
      <x:c r="I69" s="160"/>
      <x:c r="J69" s="160"/>
      <x:c r="K69" s="160"/>
      <x:c r="L69" s="161"/>
      <x:c r="M69" s="161"/>
      <x:c r="N69" s="161"/>
      <x:c r="O69" s="161"/>
      <x:c r="P69" s="161"/>
      <x:c r="Q69" s="161"/>
      <x:c r="R69" s="161"/>
      <x:c r="S69" s="161"/>
      <x:c r="T69" s="161"/>
      <x:c r="U69" s="161"/>
      <x:c r="V69" s="161"/>
      <x:c r="W69" s="161"/>
      <x:c r="X69" s="161"/>
      <x:c r="Y69" s="161"/>
      <x:c r="Z69" s="161"/>
    </x:row>
    <x:row r="70">
      <x:c r="A70" s="160"/>
      <x:c r="B70" s="160"/>
      <x:c r="C70" s="160"/>
      <x:c r="D70" s="160"/>
      <x:c r="E70" s="160"/>
      <x:c r="F70" s="160"/>
      <x:c r="G70" s="160"/>
      <x:c r="H70" s="160"/>
      <x:c r="I70" s="160"/>
      <x:c r="J70" s="160"/>
      <x:c r="K70" s="160"/>
      <x:c r="L70" s="161"/>
      <x:c r="M70" s="161"/>
      <x:c r="N70" s="161"/>
      <x:c r="O70" s="161"/>
      <x:c r="P70" s="161"/>
      <x:c r="Q70" s="161"/>
      <x:c r="R70" s="161"/>
      <x:c r="S70" s="161"/>
      <x:c r="T70" s="161"/>
      <x:c r="U70" s="161"/>
      <x:c r="V70" s="161"/>
      <x:c r="W70" s="161"/>
      <x:c r="X70" s="161"/>
      <x:c r="Y70" s="161"/>
      <x:c r="Z70" s="161"/>
    </x:row>
    <x:row r="71">
      <x:c r="A71" s="160"/>
      <x:c r="B71" s="160"/>
      <x:c r="C71" s="160"/>
      <x:c r="D71" s="160"/>
      <x:c r="E71" s="160"/>
      <x:c r="F71" s="160"/>
      <x:c r="G71" s="160"/>
      <x:c r="H71" s="160"/>
      <x:c r="I71" s="160"/>
      <x:c r="J71" s="160"/>
      <x:c r="K71" s="160"/>
      <x:c r="L71" s="161"/>
      <x:c r="M71" s="161"/>
      <x:c r="N71" s="161"/>
      <x:c r="O71" s="161"/>
      <x:c r="P71" s="161"/>
      <x:c r="Q71" s="161"/>
      <x:c r="R71" s="161"/>
      <x:c r="S71" s="161"/>
      <x:c r="T71" s="161"/>
      <x:c r="U71" s="161"/>
      <x:c r="V71" s="161"/>
      <x:c r="W71" s="161"/>
      <x:c r="X71" s="161"/>
      <x:c r="Y71" s="161"/>
      <x:c r="Z71" s="161"/>
    </x:row>
    <x:row r="72">
      <x:c r="A72" s="160"/>
      <x:c r="B72" s="160"/>
      <x:c r="C72" s="160"/>
      <x:c r="D72" s="160"/>
      <x:c r="E72" s="160"/>
      <x:c r="F72" s="160"/>
      <x:c r="G72" s="160"/>
      <x:c r="H72" s="160"/>
      <x:c r="I72" s="160"/>
      <x:c r="J72" s="160"/>
      <x:c r="K72" s="160"/>
      <x:c r="L72" s="161"/>
      <x:c r="M72" s="161"/>
      <x:c r="N72" s="161"/>
      <x:c r="O72" s="161"/>
      <x:c r="P72" s="161"/>
      <x:c r="Q72" s="161"/>
      <x:c r="R72" s="161"/>
      <x:c r="S72" s="161"/>
      <x:c r="T72" s="161"/>
      <x:c r="U72" s="161"/>
      <x:c r="V72" s="161"/>
      <x:c r="W72" s="161"/>
      <x:c r="X72" s="161"/>
      <x:c r="Y72" s="161"/>
      <x:c r="Z72" s="161"/>
    </x:row>
    <x:row r="73">
      <x:c r="A73" s="160"/>
      <x:c r="B73" s="160"/>
      <x:c r="C73" s="160"/>
      <x:c r="D73" s="160"/>
      <x:c r="E73" s="160"/>
      <x:c r="F73" s="160"/>
      <x:c r="G73" s="160"/>
      <x:c r="H73" s="160"/>
      <x:c r="I73" s="160"/>
      <x:c r="J73" s="160"/>
      <x:c r="K73" s="160"/>
      <x:c r="L73" s="161"/>
      <x:c r="M73" s="161"/>
      <x:c r="N73" s="161"/>
      <x:c r="O73" s="161"/>
      <x:c r="P73" s="161"/>
      <x:c r="Q73" s="161"/>
      <x:c r="R73" s="161"/>
      <x:c r="S73" s="161"/>
      <x:c r="T73" s="161"/>
      <x:c r="U73" s="161"/>
      <x:c r="V73" s="161"/>
      <x:c r="W73" s="161"/>
      <x:c r="X73" s="161"/>
      <x:c r="Y73" s="161"/>
      <x:c r="Z73" s="161"/>
    </x:row>
    <x:row r="74">
      <x:c r="A74" s="160"/>
      <x:c r="B74" s="160"/>
      <x:c r="C74" s="160"/>
      <x:c r="D74" s="160"/>
      <x:c r="E74" s="160"/>
      <x:c r="F74" s="160"/>
      <x:c r="G74" s="160"/>
      <x:c r="H74" s="160"/>
      <x:c r="I74" s="160"/>
      <x:c r="J74" s="160"/>
      <x:c r="K74" s="160"/>
      <x:c r="L74" s="161"/>
      <x:c r="M74" s="161"/>
      <x:c r="N74" s="161"/>
      <x:c r="O74" s="161"/>
      <x:c r="P74" s="161"/>
      <x:c r="Q74" s="161"/>
      <x:c r="R74" s="161"/>
      <x:c r="S74" s="161"/>
      <x:c r="T74" s="161"/>
      <x:c r="U74" s="161"/>
      <x:c r="V74" s="161"/>
      <x:c r="W74" s="161"/>
      <x:c r="X74" s="161"/>
      <x:c r="Y74" s="161"/>
      <x:c r="Z74" s="161"/>
    </x:row>
    <x:row r="75">
      <x:c r="A75" s="160"/>
      <x:c r="B75" s="160"/>
      <x:c r="C75" s="160"/>
      <x:c r="D75" s="160"/>
      <x:c r="E75" s="160"/>
      <x:c r="F75" s="160"/>
      <x:c r="G75" s="160"/>
      <x:c r="H75" s="160"/>
      <x:c r="I75" s="160"/>
      <x:c r="J75" s="160"/>
      <x:c r="K75" s="160"/>
      <x:c r="L75" s="161"/>
      <x:c r="M75" s="161"/>
      <x:c r="N75" s="161"/>
      <x:c r="O75" s="161"/>
      <x:c r="P75" s="161"/>
      <x:c r="Q75" s="161"/>
      <x:c r="R75" s="161"/>
      <x:c r="S75" s="161"/>
      <x:c r="T75" s="161"/>
      <x:c r="U75" s="161"/>
      <x:c r="V75" s="161"/>
      <x:c r="W75" s="161"/>
      <x:c r="X75" s="161"/>
      <x:c r="Y75" s="161"/>
      <x:c r="Z75" s="161"/>
    </x:row>
    <x:row r="76">
      <x:c r="A76" s="160"/>
      <x:c r="B76" s="160"/>
      <x:c r="C76" s="160"/>
      <x:c r="D76" s="160"/>
      <x:c r="E76" s="160"/>
      <x:c r="F76" s="160"/>
      <x:c r="G76" s="160"/>
      <x:c r="H76" s="160"/>
      <x:c r="I76" s="160"/>
      <x:c r="J76" s="160"/>
      <x:c r="K76" s="160"/>
      <x:c r="L76" s="161"/>
      <x:c r="M76" s="161"/>
      <x:c r="N76" s="161"/>
      <x:c r="O76" s="161"/>
      <x:c r="P76" s="161"/>
      <x:c r="Q76" s="161"/>
      <x:c r="R76" s="161"/>
      <x:c r="S76" s="161"/>
      <x:c r="T76" s="161"/>
      <x:c r="U76" s="161"/>
      <x:c r="V76" s="161"/>
      <x:c r="W76" s="161"/>
      <x:c r="X76" s="161"/>
      <x:c r="Y76" s="161"/>
      <x:c r="Z76" s="161"/>
    </x:row>
    <x:row r="77">
      <x:c r="A77" s="160"/>
      <x:c r="B77" s="160"/>
      <x:c r="C77" s="160"/>
      <x:c r="D77" s="160"/>
      <x:c r="E77" s="160"/>
      <x:c r="F77" s="160"/>
      <x:c r="G77" s="160"/>
      <x:c r="H77" s="160"/>
      <x:c r="I77" s="160"/>
      <x:c r="J77" s="160"/>
      <x:c r="K77" s="160"/>
      <x:c r="L77" s="161"/>
      <x:c r="M77" s="161"/>
      <x:c r="N77" s="161"/>
      <x:c r="O77" s="161"/>
      <x:c r="P77" s="161"/>
      <x:c r="Q77" s="161"/>
      <x:c r="R77" s="161"/>
      <x:c r="S77" s="161"/>
      <x:c r="T77" s="161"/>
      <x:c r="U77" s="161"/>
      <x:c r="V77" s="161"/>
      <x:c r="W77" s="161"/>
      <x:c r="X77" s="161"/>
      <x:c r="Y77" s="161"/>
      <x:c r="Z77" s="161"/>
    </x:row>
    <x:row r="78">
      <x:c r="A78" s="160"/>
      <x:c r="B78" s="160"/>
      <x:c r="C78" s="160"/>
      <x:c r="D78" s="160"/>
      <x:c r="E78" s="160"/>
      <x:c r="F78" s="160"/>
      <x:c r="G78" s="160"/>
      <x:c r="H78" s="160"/>
      <x:c r="I78" s="160"/>
      <x:c r="J78" s="160"/>
      <x:c r="K78" s="160"/>
      <x:c r="L78" s="161"/>
      <x:c r="M78" s="161"/>
      <x:c r="N78" s="161"/>
      <x:c r="O78" s="161"/>
      <x:c r="P78" s="161"/>
      <x:c r="Q78" s="161"/>
      <x:c r="R78" s="161"/>
      <x:c r="S78" s="161"/>
      <x:c r="T78" s="161"/>
      <x:c r="U78" s="161"/>
      <x:c r="V78" s="161"/>
      <x:c r="W78" s="161"/>
      <x:c r="X78" s="161"/>
      <x:c r="Y78" s="161"/>
      <x:c r="Z78" s="161"/>
    </x:row>
    <x:row r="79">
      <x:c r="A79" s="160"/>
      <x:c r="B79" s="160"/>
      <x:c r="C79" s="160"/>
      <x:c r="D79" s="160"/>
      <x:c r="E79" s="160"/>
      <x:c r="F79" s="160"/>
      <x:c r="G79" s="160"/>
      <x:c r="H79" s="160"/>
      <x:c r="I79" s="160"/>
      <x:c r="J79" s="160"/>
      <x:c r="K79" s="160"/>
      <x:c r="L79" s="161"/>
      <x:c r="M79" s="161"/>
      <x:c r="N79" s="161"/>
      <x:c r="O79" s="161"/>
      <x:c r="P79" s="161"/>
      <x:c r="Q79" s="161"/>
      <x:c r="R79" s="161"/>
      <x:c r="S79" s="161"/>
      <x:c r="T79" s="161"/>
      <x:c r="U79" s="161"/>
      <x:c r="V79" s="161"/>
      <x:c r="W79" s="161"/>
      <x:c r="X79" s="161"/>
      <x:c r="Y79" s="161"/>
      <x:c r="Z79" s="161"/>
    </x:row>
    <x:row r="80">
      <x:c r="A80" s="160"/>
      <x:c r="B80" s="160"/>
      <x:c r="C80" s="160"/>
      <x:c r="D80" s="160"/>
      <x:c r="E80" s="160"/>
      <x:c r="F80" s="160"/>
      <x:c r="G80" s="160"/>
      <x:c r="H80" s="160"/>
      <x:c r="I80" s="160"/>
      <x:c r="J80" s="160"/>
      <x:c r="K80" s="160"/>
      <x:c r="L80" s="161"/>
      <x:c r="M80" s="161"/>
      <x:c r="N80" s="161"/>
      <x:c r="O80" s="161"/>
      <x:c r="P80" s="161"/>
      <x:c r="Q80" s="161"/>
      <x:c r="R80" s="161"/>
      <x:c r="S80" s="161"/>
      <x:c r="T80" s="161"/>
      <x:c r="U80" s="161"/>
      <x:c r="V80" s="161"/>
      <x:c r="W80" s="161"/>
      <x:c r="X80" s="161"/>
      <x:c r="Y80" s="161"/>
      <x:c r="Z80" s="161"/>
    </x:row>
    <x:row r="81">
      <x:c r="A81" s="161"/>
      <x:c r="B81" s="161"/>
      <x:c r="C81" s="161"/>
      <x:c r="D81" s="161"/>
      <x:c r="E81" s="161"/>
      <x:c r="F81" s="161"/>
      <x:c r="G81" s="161"/>
      <x:c r="H81" s="161"/>
      <x:c r="I81" s="161"/>
      <x:c r="J81" s="161"/>
      <x:c r="K81" s="161"/>
      <x:c r="L81" s="161"/>
      <x:c r="M81" s="161"/>
      <x:c r="N81" s="161"/>
      <x:c r="O81" s="161"/>
      <x:c r="P81" s="161"/>
      <x:c r="Q81" s="161"/>
      <x:c r="R81" s="161"/>
      <x:c r="S81" s="161"/>
      <x:c r="T81" s="161"/>
      <x:c r="U81" s="161"/>
      <x:c r="V81" s="161"/>
      <x:c r="W81" s="161"/>
      <x:c r="X81" s="161"/>
      <x:c r="Y81" s="161"/>
      <x:c r="Z81" s="161"/>
    </x:row>
    <x:row r="82">
      <x:c r="A82" s="161"/>
      <x:c r="B82" s="161"/>
      <x:c r="C82" s="161"/>
      <x:c r="D82" s="161"/>
      <x:c r="E82" s="161"/>
      <x:c r="F82" s="161"/>
      <x:c r="G82" s="161"/>
      <x:c r="H82" s="161"/>
      <x:c r="I82" s="161"/>
      <x:c r="J82" s="161"/>
      <x:c r="K82" s="161"/>
      <x:c r="L82" s="161"/>
      <x:c r="M82" s="161"/>
      <x:c r="N82" s="161"/>
      <x:c r="O82" s="161"/>
      <x:c r="P82" s="161"/>
      <x:c r="Q82" s="161"/>
      <x:c r="R82" s="161"/>
      <x:c r="S82" s="161"/>
      <x:c r="T82" s="161"/>
      <x:c r="U82" s="161"/>
      <x:c r="V82" s="161"/>
      <x:c r="W82" s="161"/>
      <x:c r="X82" s="161"/>
      <x:c r="Y82" s="161"/>
      <x:c r="Z82" s="161"/>
    </x:row>
    <x:row r="83">
      <x:c r="A83" s="161"/>
      <x:c r="B83" s="161"/>
      <x:c r="C83" s="161"/>
      <x:c r="D83" s="161"/>
      <x:c r="E83" s="161"/>
      <x:c r="F83" s="161"/>
      <x:c r="G83" s="161"/>
      <x:c r="H83" s="161"/>
      <x:c r="I83" s="161"/>
      <x:c r="J83" s="161"/>
      <x:c r="K83" s="161"/>
      <x:c r="L83" s="161"/>
      <x:c r="M83" s="161"/>
      <x:c r="N83" s="161"/>
      <x:c r="O83" s="161"/>
      <x:c r="P83" s="161"/>
      <x:c r="Q83" s="161"/>
      <x:c r="R83" s="161"/>
      <x:c r="S83" s="161"/>
      <x:c r="T83" s="161"/>
      <x:c r="U83" s="161"/>
      <x:c r="V83" s="161"/>
      <x:c r="W83" s="161"/>
      <x:c r="X83" s="161"/>
      <x:c r="Y83" s="161"/>
      <x:c r="Z83" s="161"/>
    </x:row>
    <x:row r="84">
      <x:c r="A84" s="161"/>
      <x:c r="B84" s="161"/>
      <x:c r="C84" s="161"/>
      <x:c r="D84" s="161"/>
      <x:c r="E84" s="161"/>
      <x:c r="F84" s="161"/>
      <x:c r="G84" s="161"/>
      <x:c r="H84" s="161"/>
      <x:c r="I84" s="161"/>
      <x:c r="J84" s="161"/>
      <x:c r="K84" s="161"/>
      <x:c r="L84" s="161"/>
      <x:c r="M84" s="161"/>
      <x:c r="N84" s="161"/>
      <x:c r="O84" s="161"/>
      <x:c r="P84" s="161"/>
      <x:c r="Q84" s="161"/>
      <x:c r="R84" s="161"/>
      <x:c r="S84" s="161"/>
      <x:c r="T84" s="161"/>
      <x:c r="U84" s="161"/>
      <x:c r="V84" s="161"/>
      <x:c r="W84" s="161"/>
      <x:c r="X84" s="161"/>
      <x:c r="Y84" s="161"/>
      <x:c r="Z84" s="161"/>
    </x:row>
    <x:row r="85">
      <x:c r="A85" s="161"/>
      <x:c r="B85" s="161"/>
      <x:c r="C85" s="161"/>
      <x:c r="D85" s="161"/>
      <x:c r="E85" s="161"/>
      <x:c r="F85" s="161"/>
      <x:c r="G85" s="161"/>
      <x:c r="H85" s="161"/>
      <x:c r="I85" s="161"/>
      <x:c r="J85" s="161"/>
      <x:c r="K85" s="161"/>
      <x:c r="L85" s="161"/>
      <x:c r="M85" s="161"/>
      <x:c r="N85" s="161"/>
      <x:c r="O85" s="161"/>
      <x:c r="P85" s="161"/>
      <x:c r="Q85" s="161"/>
      <x:c r="R85" s="161"/>
      <x:c r="S85" s="161"/>
      <x:c r="T85" s="161"/>
      <x:c r="U85" s="161"/>
      <x:c r="V85" s="161"/>
      <x:c r="W85" s="161"/>
      <x:c r="X85" s="161"/>
      <x:c r="Y85" s="161"/>
      <x:c r="Z85" s="161"/>
    </x:row>
    <x:row r="86">
      <x:c r="A86" s="161"/>
      <x:c r="B86" s="161"/>
      <x:c r="C86" s="161"/>
      <x:c r="D86" s="161"/>
      <x:c r="E86" s="161"/>
      <x:c r="F86" s="161"/>
      <x:c r="G86" s="161"/>
      <x:c r="H86" s="161"/>
      <x:c r="I86" s="161"/>
      <x:c r="J86" s="161"/>
      <x:c r="K86" s="161"/>
      <x:c r="L86" s="161"/>
      <x:c r="M86" s="161"/>
      <x:c r="N86" s="161"/>
      <x:c r="O86" s="161"/>
      <x:c r="P86" s="161"/>
      <x:c r="Q86" s="161"/>
      <x:c r="R86" s="161"/>
      <x:c r="S86" s="161"/>
      <x:c r="T86" s="161"/>
      <x:c r="U86" s="161"/>
      <x:c r="V86" s="161"/>
      <x:c r="W86" s="161"/>
      <x:c r="X86" s="161"/>
      <x:c r="Y86" s="161"/>
      <x:c r="Z86" s="161"/>
    </x:row>
    <x:row r="87">
      <x:c r="A87" s="161"/>
      <x:c r="B87" s="161"/>
      <x:c r="C87" s="161"/>
      <x:c r="D87" s="161"/>
      <x:c r="E87" s="161"/>
      <x:c r="F87" s="161"/>
      <x:c r="G87" s="161"/>
      <x:c r="H87" s="161"/>
      <x:c r="I87" s="161"/>
      <x:c r="J87" s="161"/>
      <x:c r="K87" s="161"/>
      <x:c r="L87" s="161"/>
      <x:c r="M87" s="161"/>
      <x:c r="N87" s="161"/>
      <x:c r="O87" s="161"/>
      <x:c r="P87" s="161"/>
      <x:c r="Q87" s="161"/>
      <x:c r="R87" s="161"/>
      <x:c r="S87" s="161"/>
      <x:c r="T87" s="161"/>
      <x:c r="U87" s="161"/>
      <x:c r="V87" s="161"/>
      <x:c r="W87" s="161"/>
      <x:c r="X87" s="161"/>
      <x:c r="Y87" s="161"/>
      <x:c r="Z87" s="161"/>
    </x:row>
    <x:row r="88">
      <x:c r="A88" s="161"/>
      <x:c r="B88" s="161"/>
      <x:c r="C88" s="161"/>
      <x:c r="D88" s="161"/>
      <x:c r="E88" s="161"/>
      <x:c r="F88" s="161"/>
      <x:c r="G88" s="161"/>
      <x:c r="H88" s="161"/>
      <x:c r="I88" s="161"/>
      <x:c r="J88" s="161"/>
      <x:c r="K88" s="161"/>
      <x:c r="L88" s="161"/>
      <x:c r="M88" s="161"/>
      <x:c r="N88" s="161"/>
      <x:c r="O88" s="161"/>
      <x:c r="P88" s="161"/>
      <x:c r="Q88" s="161"/>
      <x:c r="R88" s="161"/>
      <x:c r="S88" s="161"/>
      <x:c r="T88" s="161"/>
      <x:c r="U88" s="161"/>
      <x:c r="V88" s="161"/>
      <x:c r="W88" s="161"/>
      <x:c r="X88" s="161"/>
      <x:c r="Y88" s="161"/>
      <x:c r="Z88" s="161"/>
    </x:row>
    <x:row r="89">
      <x:c r="A89" s="161"/>
      <x:c r="B89" s="161"/>
      <x:c r="C89" s="161"/>
      <x:c r="D89" s="161"/>
      <x:c r="E89" s="161"/>
      <x:c r="F89" s="161"/>
      <x:c r="G89" s="161"/>
      <x:c r="H89" s="161"/>
      <x:c r="I89" s="161"/>
      <x:c r="J89" s="161"/>
      <x:c r="K89" s="161"/>
      <x:c r="L89" s="161"/>
      <x:c r="M89" s="161"/>
      <x:c r="N89" s="161"/>
      <x:c r="O89" s="161"/>
      <x:c r="P89" s="161"/>
      <x:c r="Q89" s="161"/>
      <x:c r="R89" s="161"/>
      <x:c r="S89" s="161"/>
      <x:c r="T89" s="161"/>
      <x:c r="U89" s="161"/>
      <x:c r="V89" s="161"/>
      <x:c r="W89" s="161"/>
      <x:c r="X89" s="161"/>
      <x:c r="Y89" s="161"/>
      <x:c r="Z89" s="161"/>
    </x:row>
    <x:row r="90">
      <x:c r="A90" s="161"/>
      <x:c r="B90" s="161"/>
      <x:c r="C90" s="161"/>
      <x:c r="D90" s="161"/>
      <x:c r="E90" s="161"/>
      <x:c r="F90" s="161"/>
      <x:c r="G90" s="161"/>
      <x:c r="H90" s="161"/>
      <x:c r="I90" s="161"/>
      <x:c r="J90" s="161"/>
      <x:c r="K90" s="161"/>
      <x:c r="L90" s="161"/>
      <x:c r="M90" s="161"/>
      <x:c r="N90" s="161"/>
      <x:c r="O90" s="161"/>
      <x:c r="P90" s="161"/>
      <x:c r="Q90" s="161"/>
      <x:c r="R90" s="161"/>
      <x:c r="S90" s="161"/>
      <x:c r="T90" s="161"/>
      <x:c r="U90" s="161"/>
      <x:c r="V90" s="161"/>
      <x:c r="W90" s="161"/>
      <x:c r="X90" s="161"/>
      <x:c r="Y90" s="161"/>
      <x:c r="Z90" s="161"/>
    </x:row>
    <x:row r="91">
      <x:c r="A91" s="161"/>
      <x:c r="B91" s="161"/>
      <x:c r="C91" s="161"/>
      <x:c r="D91" s="161"/>
      <x:c r="E91" s="161"/>
      <x:c r="F91" s="161"/>
      <x:c r="G91" s="161"/>
      <x:c r="H91" s="161"/>
      <x:c r="I91" s="161"/>
      <x:c r="J91" s="161"/>
      <x:c r="K91" s="161"/>
      <x:c r="L91" s="161"/>
      <x:c r="M91" s="161"/>
      <x:c r="N91" s="161"/>
      <x:c r="O91" s="161"/>
      <x:c r="P91" s="161"/>
      <x:c r="Q91" s="161"/>
      <x:c r="R91" s="161"/>
      <x:c r="S91" s="161"/>
      <x:c r="T91" s="161"/>
      <x:c r="U91" s="161"/>
      <x:c r="V91" s="161"/>
      <x:c r="W91" s="161"/>
      <x:c r="X91" s="161"/>
      <x:c r="Y91" s="161"/>
      <x:c r="Z91" s="161"/>
    </x:row>
    <x:row r="92">
      <x:c r="A92" s="161"/>
      <x:c r="B92" s="161"/>
      <x:c r="C92" s="161"/>
      <x:c r="D92" s="161"/>
      <x:c r="E92" s="161"/>
      <x:c r="F92" s="161"/>
      <x:c r="G92" s="161"/>
      <x:c r="H92" s="161"/>
      <x:c r="I92" s="161"/>
      <x:c r="J92" s="161"/>
      <x:c r="K92" s="161"/>
      <x:c r="L92" s="161"/>
      <x:c r="M92" s="161"/>
      <x:c r="N92" s="161"/>
      <x:c r="O92" s="161"/>
      <x:c r="P92" s="161"/>
      <x:c r="Q92" s="161"/>
      <x:c r="R92" s="161"/>
      <x:c r="S92" s="161"/>
      <x:c r="T92" s="161"/>
      <x:c r="U92" s="161"/>
      <x:c r="V92" s="161"/>
      <x:c r="W92" s="161"/>
      <x:c r="X92" s="161"/>
      <x:c r="Y92" s="161"/>
      <x:c r="Z92" s="161"/>
    </x:row>
    <x:row r="93">
      <x:c r="A93" s="161"/>
      <x:c r="B93" s="161"/>
      <x:c r="C93" s="161"/>
      <x:c r="D93" s="161"/>
      <x:c r="E93" s="161"/>
      <x:c r="F93" s="161"/>
      <x:c r="G93" s="161"/>
      <x:c r="H93" s="161"/>
      <x:c r="I93" s="161"/>
      <x:c r="J93" s="161"/>
      <x:c r="K93" s="161"/>
      <x:c r="L93" s="161"/>
      <x:c r="M93" s="161"/>
      <x:c r="N93" s="161"/>
      <x:c r="O93" s="161"/>
      <x:c r="P93" s="161"/>
      <x:c r="Q93" s="161"/>
      <x:c r="R93" s="161"/>
      <x:c r="S93" s="161"/>
      <x:c r="T93" s="161"/>
      <x:c r="U93" s="161"/>
      <x:c r="V93" s="161"/>
      <x:c r="W93" s="161"/>
      <x:c r="X93" s="161"/>
      <x:c r="Y93" s="161"/>
      <x:c r="Z93" s="161"/>
    </x:row>
    <x:row r="94">
      <x:c r="A94" s="161"/>
      <x:c r="B94" s="161"/>
      <x:c r="C94" s="161"/>
      <x:c r="D94" s="161"/>
      <x:c r="E94" s="161"/>
      <x:c r="F94" s="161"/>
      <x:c r="G94" s="161"/>
      <x:c r="H94" s="161"/>
      <x:c r="I94" s="161"/>
      <x:c r="J94" s="161"/>
      <x:c r="K94" s="161"/>
      <x:c r="L94" s="161"/>
      <x:c r="M94" s="161"/>
      <x:c r="N94" s="161"/>
      <x:c r="O94" s="161"/>
      <x:c r="P94" s="161"/>
      <x:c r="Q94" s="161"/>
      <x:c r="R94" s="161"/>
      <x:c r="S94" s="161"/>
      <x:c r="T94" s="161"/>
      <x:c r="U94" s="161"/>
      <x:c r="V94" s="161"/>
      <x:c r="W94" s="161"/>
      <x:c r="X94" s="161"/>
      <x:c r="Y94" s="161"/>
      <x:c r="Z94" s="161"/>
    </x:row>
    <x:row r="95">
      <x:c r="A95" s="161"/>
      <x:c r="B95" s="161"/>
      <x:c r="C95" s="161"/>
      <x:c r="D95" s="161"/>
      <x:c r="E95" s="161"/>
      <x:c r="F95" s="161"/>
      <x:c r="G95" s="161"/>
      <x:c r="H95" s="161"/>
      <x:c r="I95" s="161"/>
      <x:c r="J95" s="161"/>
      <x:c r="K95" s="161"/>
      <x:c r="L95" s="161"/>
      <x:c r="M95" s="161"/>
      <x:c r="N95" s="161"/>
      <x:c r="O95" s="161"/>
      <x:c r="P95" s="161"/>
      <x:c r="Q95" s="161"/>
      <x:c r="R95" s="161"/>
      <x:c r="S95" s="161"/>
      <x:c r="T95" s="161"/>
      <x:c r="U95" s="161"/>
      <x:c r="V95" s="161"/>
      <x:c r="W95" s="161"/>
      <x:c r="X95" s="161"/>
      <x:c r="Y95" s="161"/>
      <x:c r="Z95" s="161"/>
    </x:row>
    <x:row r="96">
      <x:c r="A96" s="161"/>
      <x:c r="B96" s="161"/>
      <x:c r="C96" s="161"/>
      <x:c r="D96" s="161"/>
      <x:c r="E96" s="161"/>
      <x:c r="F96" s="161"/>
      <x:c r="G96" s="161"/>
      <x:c r="H96" s="161"/>
      <x:c r="I96" s="161"/>
      <x:c r="J96" s="161"/>
      <x:c r="K96" s="161"/>
      <x:c r="L96" s="161"/>
      <x:c r="M96" s="161"/>
      <x:c r="N96" s="161"/>
      <x:c r="O96" s="161"/>
      <x:c r="P96" s="161"/>
      <x:c r="Q96" s="161"/>
      <x:c r="R96" s="161"/>
      <x:c r="S96" s="161"/>
      <x:c r="T96" s="161"/>
      <x:c r="U96" s="161"/>
      <x:c r="V96" s="161"/>
      <x:c r="W96" s="161"/>
      <x:c r="X96" s="161"/>
      <x:c r="Y96" s="161"/>
      <x:c r="Z96" s="161"/>
    </x:row>
    <x:row r="97">
      <x:c r="A97" s="161"/>
      <x:c r="B97" s="161"/>
      <x:c r="C97" s="161"/>
      <x:c r="D97" s="161"/>
      <x:c r="E97" s="161"/>
      <x:c r="F97" s="161"/>
      <x:c r="G97" s="161"/>
      <x:c r="H97" s="161"/>
      <x:c r="I97" s="161"/>
      <x:c r="J97" s="161"/>
      <x:c r="K97" s="161"/>
      <x:c r="L97" s="161"/>
      <x:c r="M97" s="161"/>
      <x:c r="N97" s="161"/>
      <x:c r="O97" s="161"/>
      <x:c r="P97" s="161"/>
      <x:c r="Q97" s="161"/>
      <x:c r="R97" s="161"/>
      <x:c r="S97" s="161"/>
      <x:c r="T97" s="161"/>
      <x:c r="U97" s="161"/>
      <x:c r="V97" s="161"/>
      <x:c r="W97" s="161"/>
      <x:c r="X97" s="161"/>
      <x:c r="Y97" s="161"/>
      <x:c r="Z97" s="161"/>
    </x:row>
    <x:row r="98">
      <x:c r="A98" s="161"/>
      <x:c r="B98" s="161"/>
      <x:c r="C98" s="161"/>
      <x:c r="D98" s="161"/>
      <x:c r="E98" s="161"/>
      <x:c r="F98" s="161"/>
      <x:c r="G98" s="161"/>
      <x:c r="H98" s="161"/>
      <x:c r="I98" s="161"/>
      <x:c r="J98" s="161"/>
      <x:c r="K98" s="161"/>
      <x:c r="L98" s="161"/>
      <x:c r="M98" s="161"/>
      <x:c r="N98" s="161"/>
      <x:c r="O98" s="161"/>
      <x:c r="P98" s="161"/>
      <x:c r="Q98" s="161"/>
      <x:c r="R98" s="161"/>
      <x:c r="S98" s="161"/>
      <x:c r="T98" s="161"/>
      <x:c r="U98" s="161"/>
      <x:c r="V98" s="161"/>
      <x:c r="W98" s="161"/>
      <x:c r="X98" s="161"/>
      <x:c r="Y98" s="161"/>
      <x:c r="Z98" s="161"/>
    </x:row>
    <x:row r="99">
      <x:c r="A99" s="161"/>
      <x:c r="B99" s="161"/>
      <x:c r="C99" s="161"/>
      <x:c r="D99" s="161"/>
      <x:c r="E99" s="161"/>
      <x:c r="F99" s="161"/>
      <x:c r="G99" s="161"/>
      <x:c r="H99" s="161"/>
      <x:c r="I99" s="161"/>
      <x:c r="J99" s="161"/>
      <x:c r="K99" s="161"/>
      <x:c r="L99" s="161"/>
      <x:c r="M99" s="161"/>
      <x:c r="N99" s="161"/>
      <x:c r="O99" s="161"/>
      <x:c r="P99" s="161"/>
      <x:c r="Q99" s="161"/>
      <x:c r="R99" s="161"/>
      <x:c r="S99" s="161"/>
      <x:c r="T99" s="161"/>
      <x:c r="U99" s="161"/>
      <x:c r="V99" s="161"/>
      <x:c r="W99" s="161"/>
      <x:c r="X99" s="161"/>
      <x:c r="Y99" s="161"/>
      <x:c r="Z99" s="161"/>
    </x:row>
    <x:row r="100">
      <x:c r="A100" s="161"/>
      <x:c r="B100" s="161"/>
      <x:c r="C100" s="161"/>
      <x:c r="D100" s="161"/>
      <x:c r="E100" s="161"/>
      <x:c r="F100" s="161"/>
      <x:c r="G100" s="161"/>
      <x:c r="H100" s="161"/>
      <x:c r="I100" s="161"/>
      <x:c r="J100" s="161"/>
      <x:c r="K100" s="161"/>
      <x:c r="L100" s="161"/>
      <x:c r="M100" s="161"/>
      <x:c r="N100" s="161"/>
      <x:c r="O100" s="161"/>
      <x:c r="P100" s="161"/>
      <x:c r="Q100" s="161"/>
      <x:c r="R100" s="161"/>
      <x:c r="S100" s="161"/>
      <x:c r="T100" s="161"/>
      <x:c r="U100" s="161"/>
      <x:c r="V100" s="161"/>
      <x:c r="W100" s="161"/>
      <x:c r="X100" s="161"/>
      <x:c r="Y100" s="161"/>
      <x:c r="Z100" s="161"/>
    </x:row>
    <x:row r="101">
      <x:c r="A101" s="161"/>
      <x:c r="B101" s="161"/>
      <x:c r="C101" s="161"/>
      <x:c r="D101" s="161"/>
      <x:c r="E101" s="161"/>
      <x:c r="F101" s="161"/>
      <x:c r="G101" s="161"/>
      <x:c r="H101" s="161"/>
      <x:c r="I101" s="161"/>
      <x:c r="J101" s="161"/>
      <x:c r="K101" s="161"/>
      <x:c r="L101" s="161"/>
      <x:c r="M101" s="161"/>
      <x:c r="N101" s="161"/>
      <x:c r="O101" s="161"/>
      <x:c r="P101" s="161"/>
      <x:c r="Q101" s="161"/>
      <x:c r="R101" s="161"/>
      <x:c r="S101" s="161"/>
      <x:c r="T101" s="161"/>
      <x:c r="U101" s="161"/>
      <x:c r="V101" s="161"/>
      <x:c r="W101" s="161"/>
      <x:c r="X101" s="161"/>
      <x:c r="Y101" s="161"/>
      <x:c r="Z101" s="161"/>
    </x:row>
    <x:row r="102">
      <x:c r="A102" s="161"/>
      <x:c r="B102" s="161"/>
      <x:c r="C102" s="161"/>
      <x:c r="D102" s="161"/>
      <x:c r="E102" s="161"/>
      <x:c r="F102" s="161"/>
      <x:c r="G102" s="161"/>
      <x:c r="H102" s="161"/>
      <x:c r="I102" s="161"/>
      <x:c r="J102" s="161"/>
      <x:c r="K102" s="161"/>
      <x:c r="L102" s="161"/>
      <x:c r="M102" s="161"/>
      <x:c r="N102" s="161"/>
      <x:c r="O102" s="161"/>
      <x:c r="P102" s="161"/>
      <x:c r="Q102" s="161"/>
      <x:c r="R102" s="161"/>
      <x:c r="S102" s="161"/>
      <x:c r="T102" s="161"/>
      <x:c r="U102" s="161"/>
      <x:c r="V102" s="161"/>
      <x:c r="W102" s="161"/>
      <x:c r="X102" s="161"/>
      <x:c r="Y102" s="161"/>
      <x:c r="Z102" s="161"/>
    </x:row>
    <x:row r="103">
      <x:c r="A103" s="161"/>
      <x:c r="B103" s="161"/>
      <x:c r="C103" s="161"/>
      <x:c r="D103" s="161"/>
      <x:c r="E103" s="161"/>
      <x:c r="F103" s="161"/>
      <x:c r="G103" s="161"/>
      <x:c r="H103" s="161"/>
      <x:c r="I103" s="161"/>
      <x:c r="J103" s="161"/>
      <x:c r="K103" s="161"/>
      <x:c r="L103" s="161"/>
      <x:c r="M103" s="161"/>
      <x:c r="N103" s="161"/>
      <x:c r="O103" s="161"/>
      <x:c r="P103" s="161"/>
      <x:c r="Q103" s="161"/>
      <x:c r="R103" s="161"/>
      <x:c r="S103" s="161"/>
      <x:c r="T103" s="161"/>
      <x:c r="U103" s="161"/>
      <x:c r="V103" s="161"/>
      <x:c r="W103" s="161"/>
      <x:c r="X103" s="161"/>
      <x:c r="Y103" s="161"/>
      <x:c r="Z103" s="161"/>
    </x:row>
    <x:row r="104">
      <x:c r="A104" s="161"/>
      <x:c r="B104" s="161"/>
      <x:c r="C104" s="161"/>
      <x:c r="D104" s="161"/>
      <x:c r="E104" s="161"/>
      <x:c r="F104" s="161"/>
      <x:c r="G104" s="161"/>
      <x:c r="H104" s="161"/>
      <x:c r="I104" s="161"/>
      <x:c r="J104" s="161"/>
      <x:c r="K104" s="161"/>
      <x:c r="L104" s="161"/>
      <x:c r="M104" s="161"/>
      <x:c r="N104" s="161"/>
      <x:c r="O104" s="161"/>
      <x:c r="P104" s="161"/>
      <x:c r="Q104" s="161"/>
      <x:c r="R104" s="161"/>
      <x:c r="S104" s="161"/>
      <x:c r="T104" s="161"/>
      <x:c r="U104" s="161"/>
      <x:c r="V104" s="161"/>
      <x:c r="W104" s="161"/>
      <x:c r="X104" s="161"/>
      <x:c r="Y104" s="161"/>
      <x:c r="Z104" s="161"/>
    </x:row>
    <x:row r="105">
      <x:c r="A105" s="161"/>
      <x:c r="B105" s="161"/>
      <x:c r="C105" s="161"/>
      <x:c r="D105" s="161"/>
      <x:c r="E105" s="161"/>
      <x:c r="F105" s="161"/>
      <x:c r="G105" s="161"/>
      <x:c r="H105" s="161"/>
      <x:c r="I105" s="161"/>
      <x:c r="J105" s="161"/>
      <x:c r="K105" s="161"/>
      <x:c r="L105" s="161"/>
      <x:c r="M105" s="161"/>
      <x:c r="N105" s="161"/>
      <x:c r="O105" s="161"/>
      <x:c r="P105" s="161"/>
      <x:c r="Q105" s="161"/>
      <x:c r="R105" s="161"/>
      <x:c r="S105" s="161"/>
      <x:c r="T105" s="161"/>
      <x:c r="U105" s="161"/>
      <x:c r="V105" s="161"/>
      <x:c r="W105" s="161"/>
      <x:c r="X105" s="161"/>
      <x:c r="Y105" s="161"/>
      <x:c r="Z105" s="161"/>
    </x:row>
    <x:row r="106">
      <x:c r="A106" s="161"/>
      <x:c r="B106" s="161"/>
      <x:c r="C106" s="161"/>
      <x:c r="D106" s="161"/>
      <x:c r="E106" s="161"/>
      <x:c r="F106" s="161"/>
      <x:c r="G106" s="161"/>
      <x:c r="H106" s="161"/>
      <x:c r="I106" s="161"/>
      <x:c r="J106" s="161"/>
      <x:c r="K106" s="161"/>
      <x:c r="L106" s="161"/>
      <x:c r="M106" s="161"/>
      <x:c r="N106" s="161"/>
      <x:c r="O106" s="161"/>
      <x:c r="P106" s="161"/>
      <x:c r="Q106" s="161"/>
      <x:c r="R106" s="161"/>
      <x:c r="S106" s="161"/>
      <x:c r="T106" s="161"/>
      <x:c r="U106" s="161"/>
      <x:c r="V106" s="161"/>
      <x:c r="W106" s="161"/>
      <x:c r="X106" s="161"/>
      <x:c r="Y106" s="161"/>
      <x:c r="Z106" s="161"/>
    </x:row>
    <x:row r="107">
      <x:c r="A107" s="161"/>
      <x:c r="B107" s="161"/>
      <x:c r="C107" s="161"/>
      <x:c r="D107" s="161"/>
      <x:c r="E107" s="161"/>
      <x:c r="F107" s="161"/>
      <x:c r="G107" s="161"/>
      <x:c r="H107" s="161"/>
      <x:c r="I107" s="161"/>
      <x:c r="J107" s="161"/>
      <x:c r="K107" s="161"/>
      <x:c r="L107" s="161"/>
      <x:c r="M107" s="161"/>
      <x:c r="N107" s="161"/>
      <x:c r="O107" s="161"/>
      <x:c r="P107" s="161"/>
      <x:c r="Q107" s="161"/>
      <x:c r="R107" s="161"/>
      <x:c r="S107" s="161"/>
      <x:c r="T107" s="161"/>
      <x:c r="U107" s="161"/>
      <x:c r="V107" s="161"/>
      <x:c r="W107" s="161"/>
      <x:c r="X107" s="161"/>
      <x:c r="Y107" s="161"/>
      <x:c r="Z107" s="161"/>
    </x:row>
    <x:row r="108">
      <x:c r="A108" s="161"/>
      <x:c r="B108" s="161"/>
      <x:c r="C108" s="161"/>
      <x:c r="D108" s="161"/>
      <x:c r="E108" s="161"/>
      <x:c r="F108" s="161"/>
      <x:c r="G108" s="161"/>
      <x:c r="H108" s="161"/>
      <x:c r="I108" s="161"/>
      <x:c r="J108" s="161"/>
      <x:c r="K108" s="161"/>
      <x:c r="L108" s="161"/>
      <x:c r="M108" s="161"/>
      <x:c r="N108" s="161"/>
      <x:c r="O108" s="161"/>
      <x:c r="P108" s="161"/>
      <x:c r="Q108" s="161"/>
      <x:c r="R108" s="161"/>
      <x:c r="S108" s="161"/>
      <x:c r="T108" s="161"/>
      <x:c r="U108" s="161"/>
      <x:c r="V108" s="161"/>
      <x:c r="W108" s="161"/>
      <x:c r="X108" s="161"/>
      <x:c r="Y108" s="161"/>
      <x:c r="Z108" s="161"/>
    </x:row>
    <x:row r="109">
      <x:c r="A109" s="161"/>
      <x:c r="B109" s="161"/>
      <x:c r="C109" s="161"/>
      <x:c r="D109" s="161"/>
      <x:c r="E109" s="161"/>
      <x:c r="F109" s="161"/>
      <x:c r="G109" s="161"/>
      <x:c r="H109" s="161"/>
      <x:c r="I109" s="161"/>
      <x:c r="J109" s="161"/>
      <x:c r="K109" s="161"/>
      <x:c r="L109" s="161"/>
      <x:c r="M109" s="161"/>
      <x:c r="N109" s="161"/>
      <x:c r="O109" s="161"/>
      <x:c r="P109" s="161"/>
      <x:c r="Q109" s="161"/>
      <x:c r="R109" s="161"/>
      <x:c r="S109" s="161"/>
      <x:c r="T109" s="161"/>
      <x:c r="U109" s="161"/>
      <x:c r="V109" s="161"/>
      <x:c r="W109" s="161"/>
      <x:c r="X109" s="161"/>
      <x:c r="Y109" s="161"/>
      <x:c r="Z109" s="161"/>
    </x:row>
    <x:row r="110">
      <x:c r="A110" s="161"/>
      <x:c r="B110" s="161"/>
      <x:c r="C110" s="161"/>
      <x:c r="D110" s="161"/>
      <x:c r="E110" s="161"/>
      <x:c r="F110" s="161"/>
      <x:c r="G110" s="161"/>
      <x:c r="H110" s="161"/>
      <x:c r="I110" s="161"/>
      <x:c r="J110" s="161"/>
      <x:c r="K110" s="161"/>
      <x:c r="L110" s="161"/>
      <x:c r="M110" s="161"/>
      <x:c r="N110" s="161"/>
      <x:c r="O110" s="161"/>
      <x:c r="P110" s="161"/>
      <x:c r="Q110" s="161"/>
      <x:c r="R110" s="161"/>
      <x:c r="S110" s="161"/>
      <x:c r="T110" s="161"/>
      <x:c r="U110" s="161"/>
      <x:c r="V110" s="161"/>
      <x:c r="W110" s="161"/>
      <x:c r="X110" s="161"/>
      <x:c r="Y110" s="161"/>
      <x:c r="Z110" s="161"/>
    </x:row>
    <x:row r="111">
      <x:c r="A111" s="161"/>
      <x:c r="B111" s="161"/>
      <x:c r="C111" s="161"/>
      <x:c r="D111" s="161"/>
      <x:c r="E111" s="161"/>
      <x:c r="F111" s="161"/>
      <x:c r="G111" s="161"/>
      <x:c r="H111" s="161"/>
      <x:c r="I111" s="161"/>
      <x:c r="J111" s="161"/>
      <x:c r="K111" s="161"/>
      <x:c r="L111" s="161"/>
      <x:c r="M111" s="161"/>
      <x:c r="N111" s="161"/>
      <x:c r="O111" s="161"/>
      <x:c r="P111" s="161"/>
      <x:c r="Q111" s="161"/>
      <x:c r="R111" s="161"/>
      <x:c r="S111" s="161"/>
      <x:c r="T111" s="161"/>
      <x:c r="U111" s="161"/>
      <x:c r="V111" s="161"/>
      <x:c r="W111" s="161"/>
      <x:c r="X111" s="161"/>
      <x:c r="Y111" s="161"/>
      <x:c r="Z111" s="161"/>
    </x:row>
    <x:row r="112">
      <x:c r="A112" s="161"/>
      <x:c r="B112" s="161"/>
      <x:c r="C112" s="161"/>
      <x:c r="D112" s="161"/>
      <x:c r="E112" s="161"/>
      <x:c r="F112" s="161"/>
      <x:c r="G112" s="161"/>
      <x:c r="H112" s="161"/>
      <x:c r="I112" s="161"/>
      <x:c r="J112" s="161"/>
      <x:c r="K112" s="161"/>
      <x:c r="L112" s="161"/>
      <x:c r="M112" s="161"/>
      <x:c r="N112" s="161"/>
      <x:c r="O112" s="161"/>
      <x:c r="P112" s="161"/>
      <x:c r="Q112" s="161"/>
      <x:c r="R112" s="161"/>
      <x:c r="S112" s="161"/>
      <x:c r="T112" s="161"/>
      <x:c r="U112" s="161"/>
      <x:c r="V112" s="161"/>
      <x:c r="W112" s="161"/>
      <x:c r="X112" s="161"/>
      <x:c r="Y112" s="161"/>
      <x:c r="Z112" s="161"/>
    </x:row>
    <x:row r="113">
      <x:c r="A113" s="161"/>
      <x:c r="B113" s="161"/>
      <x:c r="C113" s="161"/>
      <x:c r="D113" s="161"/>
      <x:c r="E113" s="161"/>
      <x:c r="F113" s="161"/>
      <x:c r="G113" s="161"/>
      <x:c r="H113" s="161"/>
      <x:c r="I113" s="161"/>
      <x:c r="J113" s="161"/>
      <x:c r="K113" s="161"/>
      <x:c r="L113" s="161"/>
      <x:c r="M113" s="161"/>
      <x:c r="N113" s="161"/>
      <x:c r="O113" s="161"/>
      <x:c r="P113" s="161"/>
      <x:c r="Q113" s="161"/>
      <x:c r="R113" s="161"/>
      <x:c r="S113" s="161"/>
      <x:c r="T113" s="161"/>
      <x:c r="U113" s="161"/>
      <x:c r="V113" s="161"/>
      <x:c r="W113" s="161"/>
      <x:c r="X113" s="161"/>
      <x:c r="Y113" s="161"/>
      <x:c r="Z113" s="161"/>
    </x:row>
    <x:row r="114">
      <x:c r="A114" s="161"/>
      <x:c r="B114" s="161"/>
      <x:c r="C114" s="161"/>
      <x:c r="D114" s="161"/>
      <x:c r="E114" s="161"/>
      <x:c r="F114" s="161"/>
      <x:c r="G114" s="161"/>
      <x:c r="H114" s="161"/>
      <x:c r="I114" s="161"/>
      <x:c r="J114" s="161"/>
      <x:c r="K114" s="161"/>
      <x:c r="L114" s="161"/>
      <x:c r="M114" s="161"/>
      <x:c r="N114" s="161"/>
      <x:c r="O114" s="161"/>
      <x:c r="P114" s="161"/>
      <x:c r="Q114" s="161"/>
      <x:c r="R114" s="161"/>
      <x:c r="S114" s="161"/>
      <x:c r="T114" s="161"/>
      <x:c r="U114" s="161"/>
      <x:c r="V114" s="161"/>
      <x:c r="W114" s="161"/>
      <x:c r="X114" s="161"/>
      <x:c r="Y114" s="161"/>
      <x:c r="Z114" s="161"/>
    </x:row>
    <x:row r="115">
      <x:c r="A115" s="161"/>
      <x:c r="B115" s="161"/>
      <x:c r="C115" s="161"/>
      <x:c r="D115" s="161"/>
      <x:c r="E115" s="161"/>
      <x:c r="F115" s="161"/>
      <x:c r="G115" s="161"/>
      <x:c r="H115" s="161"/>
      <x:c r="I115" s="161"/>
      <x:c r="J115" s="161"/>
      <x:c r="K115" s="161"/>
      <x:c r="L115" s="161"/>
      <x:c r="M115" s="161"/>
      <x:c r="N115" s="161"/>
      <x:c r="O115" s="161"/>
      <x:c r="P115" s="161"/>
      <x:c r="Q115" s="161"/>
      <x:c r="R115" s="161"/>
      <x:c r="S115" s="161"/>
      <x:c r="T115" s="161"/>
      <x:c r="U115" s="161"/>
      <x:c r="V115" s="161"/>
      <x:c r="W115" s="161"/>
      <x:c r="X115" s="161"/>
      <x:c r="Y115" s="161"/>
      <x:c r="Z115" s="161"/>
    </x:row>
    <x:row r="116">
      <x:c r="A116" s="161"/>
      <x:c r="B116" s="161"/>
      <x:c r="C116" s="161"/>
      <x:c r="D116" s="161"/>
      <x:c r="E116" s="161"/>
      <x:c r="F116" s="161"/>
      <x:c r="G116" s="161"/>
      <x:c r="H116" s="161"/>
      <x:c r="I116" s="161"/>
      <x:c r="J116" s="161"/>
      <x:c r="K116" s="161"/>
      <x:c r="L116" s="161"/>
      <x:c r="M116" s="161"/>
      <x:c r="N116" s="161"/>
      <x:c r="O116" s="161"/>
      <x:c r="P116" s="161"/>
      <x:c r="Q116" s="161"/>
      <x:c r="R116" s="161"/>
      <x:c r="S116" s="161"/>
      <x:c r="T116" s="161"/>
      <x:c r="U116" s="161"/>
      <x:c r="V116" s="161"/>
      <x:c r="W116" s="161"/>
      <x:c r="X116" s="161"/>
      <x:c r="Y116" s="161"/>
      <x:c r="Z116" s="161"/>
    </x:row>
    <x:row r="117">
      <x:c r="A117" s="161"/>
      <x:c r="B117" s="161"/>
      <x:c r="C117" s="161"/>
      <x:c r="D117" s="161"/>
      <x:c r="E117" s="161"/>
      <x:c r="F117" s="161"/>
      <x:c r="G117" s="161"/>
      <x:c r="H117" s="161"/>
      <x:c r="I117" s="161"/>
      <x:c r="J117" s="161"/>
      <x:c r="K117" s="161"/>
      <x:c r="L117" s="161"/>
      <x:c r="M117" s="161"/>
      <x:c r="N117" s="161"/>
      <x:c r="O117" s="161"/>
      <x:c r="P117" s="161"/>
      <x:c r="Q117" s="161"/>
      <x:c r="R117" s="161"/>
      <x:c r="S117" s="161"/>
      <x:c r="T117" s="161"/>
      <x:c r="U117" s="161"/>
      <x:c r="V117" s="161"/>
      <x:c r="W117" s="161"/>
      <x:c r="X117" s="161"/>
      <x:c r="Y117" s="161"/>
      <x:c r="Z117" s="161"/>
    </x:row>
    <x:row r="118">
      <x:c r="A118" s="161"/>
      <x:c r="B118" s="161"/>
      <x:c r="C118" s="161"/>
      <x:c r="D118" s="161"/>
      <x:c r="E118" s="161"/>
      <x:c r="F118" s="161"/>
      <x:c r="G118" s="161"/>
      <x:c r="H118" s="161"/>
      <x:c r="I118" s="161"/>
      <x:c r="J118" s="161"/>
      <x:c r="K118" s="161"/>
      <x:c r="L118" s="161"/>
      <x:c r="M118" s="161"/>
      <x:c r="N118" s="161"/>
      <x:c r="O118" s="161"/>
      <x:c r="P118" s="161"/>
      <x:c r="Q118" s="161"/>
      <x:c r="R118" s="161"/>
      <x:c r="S118" s="161"/>
      <x:c r="T118" s="161"/>
      <x:c r="U118" s="161"/>
      <x:c r="V118" s="161"/>
      <x:c r="W118" s="161"/>
      <x:c r="X118" s="161"/>
      <x:c r="Y118" s="161"/>
      <x:c r="Z118" s="161"/>
    </x:row>
    <x:row r="119">
      <x:c r="A119" s="161"/>
      <x:c r="B119" s="161"/>
      <x:c r="C119" s="161"/>
      <x:c r="D119" s="161"/>
      <x:c r="E119" s="161"/>
      <x:c r="F119" s="161"/>
      <x:c r="G119" s="161"/>
      <x:c r="H119" s="161"/>
      <x:c r="I119" s="161"/>
      <x:c r="J119" s="161"/>
      <x:c r="K119" s="161"/>
      <x:c r="L119" s="161"/>
      <x:c r="M119" s="161"/>
      <x:c r="N119" s="161"/>
      <x:c r="O119" s="161"/>
      <x:c r="P119" s="161"/>
      <x:c r="Q119" s="161"/>
      <x:c r="R119" s="161"/>
      <x:c r="S119" s="161"/>
      <x:c r="T119" s="161"/>
      <x:c r="U119" s="161"/>
      <x:c r="V119" s="161"/>
      <x:c r="W119" s="161"/>
      <x:c r="X119" s="161"/>
      <x:c r="Y119" s="161"/>
      <x:c r="Z119" s="161"/>
    </x:row>
    <x:row r="120">
      <x:c r="A120" s="161"/>
      <x:c r="B120" s="161"/>
      <x:c r="C120" s="161"/>
      <x:c r="D120" s="161"/>
      <x:c r="E120" s="161"/>
      <x:c r="F120" s="161"/>
      <x:c r="G120" s="161"/>
      <x:c r="H120" s="161"/>
      <x:c r="I120" s="161"/>
      <x:c r="J120" s="161"/>
      <x:c r="K120" s="161"/>
      <x:c r="L120" s="161"/>
      <x:c r="M120" s="161"/>
      <x:c r="N120" s="161"/>
      <x:c r="O120" s="161"/>
      <x:c r="P120" s="161"/>
      <x:c r="Q120" s="161"/>
      <x:c r="R120" s="161"/>
      <x:c r="S120" s="161"/>
      <x:c r="T120" s="161"/>
      <x:c r="U120" s="161"/>
      <x:c r="V120" s="161"/>
      <x:c r="W120" s="161"/>
      <x:c r="X120" s="161"/>
      <x:c r="Y120" s="161"/>
      <x:c r="Z120" s="161"/>
    </x:row>
    <x:row r="121">
      <x:c r="A121" s="161"/>
      <x:c r="B121" s="161"/>
      <x:c r="C121" s="161"/>
      <x:c r="D121" s="161"/>
      <x:c r="E121" s="161"/>
      <x:c r="F121" s="161"/>
      <x:c r="G121" s="161"/>
      <x:c r="H121" s="161"/>
      <x:c r="I121" s="161"/>
      <x:c r="J121" s="161"/>
      <x:c r="K121" s="161"/>
      <x:c r="L121" s="161"/>
      <x:c r="M121" s="161"/>
      <x:c r="N121" s="161"/>
      <x:c r="O121" s="161"/>
      <x:c r="P121" s="161"/>
      <x:c r="Q121" s="161"/>
      <x:c r="R121" s="161"/>
      <x:c r="S121" s="161"/>
      <x:c r="T121" s="161"/>
      <x:c r="U121" s="161"/>
      <x:c r="V121" s="161"/>
      <x:c r="W121" s="161"/>
      <x:c r="X121" s="161"/>
      <x:c r="Y121" s="161"/>
      <x:c r="Z121" s="161"/>
    </x:row>
    <x:row r="122">
      <x:c r="A122" s="161"/>
      <x:c r="B122" s="161"/>
      <x:c r="C122" s="161"/>
      <x:c r="D122" s="161"/>
      <x:c r="E122" s="161"/>
      <x:c r="F122" s="161"/>
      <x:c r="G122" s="161"/>
      <x:c r="H122" s="161"/>
      <x:c r="I122" s="161"/>
      <x:c r="J122" s="161"/>
      <x:c r="K122" s="161"/>
      <x:c r="L122" s="161"/>
      <x:c r="M122" s="161"/>
      <x:c r="N122" s="161"/>
      <x:c r="O122" s="161"/>
      <x:c r="P122" s="161"/>
      <x:c r="Q122" s="161"/>
      <x:c r="R122" s="161"/>
      <x:c r="S122" s="161"/>
      <x:c r="T122" s="161"/>
      <x:c r="U122" s="161"/>
      <x:c r="V122" s="161"/>
      <x:c r="W122" s="161"/>
      <x:c r="X122" s="161"/>
      <x:c r="Y122" s="161"/>
      <x:c r="Z122" s="161"/>
    </x:row>
    <x:row r="123">
      <x:c r="A123" s="161"/>
      <x:c r="B123" s="161"/>
      <x:c r="C123" s="161"/>
      <x:c r="D123" s="161"/>
      <x:c r="E123" s="161"/>
      <x:c r="F123" s="161"/>
      <x:c r="G123" s="161"/>
      <x:c r="H123" s="161"/>
      <x:c r="I123" s="161"/>
      <x:c r="J123" s="161"/>
      <x:c r="K123" s="161"/>
      <x:c r="L123" s="161"/>
      <x:c r="M123" s="161"/>
      <x:c r="N123" s="161"/>
      <x:c r="O123" s="161"/>
      <x:c r="P123" s="161"/>
      <x:c r="Q123" s="161"/>
      <x:c r="R123" s="161"/>
      <x:c r="S123" s="161"/>
      <x:c r="T123" s="161"/>
      <x:c r="U123" s="161"/>
      <x:c r="V123" s="161"/>
      <x:c r="W123" s="161"/>
      <x:c r="X123" s="161"/>
      <x:c r="Y123" s="161"/>
      <x:c r="Z123" s="161"/>
    </x:row>
    <x:row r="124">
      <x:c r="A124" s="161"/>
      <x:c r="B124" s="161"/>
      <x:c r="C124" s="161"/>
      <x:c r="D124" s="161"/>
      <x:c r="E124" s="161"/>
      <x:c r="F124" s="161"/>
      <x:c r="G124" s="161"/>
      <x:c r="H124" s="161"/>
      <x:c r="I124" s="161"/>
      <x:c r="J124" s="161"/>
      <x:c r="K124" s="161"/>
      <x:c r="L124" s="161"/>
      <x:c r="M124" s="161"/>
      <x:c r="N124" s="161"/>
      <x:c r="O124" s="161"/>
      <x:c r="P124" s="161"/>
      <x:c r="Q124" s="161"/>
      <x:c r="R124" s="161"/>
      <x:c r="S124" s="161"/>
      <x:c r="T124" s="161"/>
      <x:c r="U124" s="161"/>
      <x:c r="V124" s="161"/>
      <x:c r="W124" s="161"/>
      <x:c r="X124" s="161"/>
      <x:c r="Y124" s="161"/>
      <x:c r="Z124" s="161"/>
    </x:row>
    <x:row r="125">
      <x:c r="A125" s="161"/>
      <x:c r="B125" s="161"/>
      <x:c r="C125" s="161"/>
      <x:c r="D125" s="161"/>
      <x:c r="E125" s="161"/>
      <x:c r="F125" s="161"/>
      <x:c r="G125" s="161"/>
      <x:c r="H125" s="161"/>
      <x:c r="I125" s="161"/>
      <x:c r="J125" s="161"/>
      <x:c r="K125" s="161"/>
      <x:c r="L125" s="161"/>
      <x:c r="M125" s="161"/>
      <x:c r="N125" s="161"/>
      <x:c r="O125" s="161"/>
      <x:c r="P125" s="161"/>
      <x:c r="Q125" s="161"/>
      <x:c r="R125" s="161"/>
      <x:c r="S125" s="161"/>
      <x:c r="T125" s="161"/>
      <x:c r="U125" s="161"/>
      <x:c r="V125" s="161"/>
      <x:c r="W125" s="161"/>
      <x:c r="X125" s="161"/>
      <x:c r="Y125" s="161"/>
      <x:c r="Z125" s="161"/>
    </x:row>
    <x:row r="126">
      <x:c r="A126" s="161"/>
      <x:c r="B126" s="161"/>
      <x:c r="C126" s="161"/>
      <x:c r="D126" s="161"/>
      <x:c r="E126" s="161"/>
      <x:c r="F126" s="161"/>
      <x:c r="G126" s="161"/>
      <x:c r="H126" s="161"/>
      <x:c r="I126" s="161"/>
      <x:c r="J126" s="161"/>
      <x:c r="K126" s="161"/>
      <x:c r="L126" s="161"/>
      <x:c r="M126" s="161"/>
      <x:c r="N126" s="161"/>
      <x:c r="O126" s="161"/>
      <x:c r="P126" s="161"/>
      <x:c r="Q126" s="161"/>
      <x:c r="R126" s="161"/>
      <x:c r="S126" s="161"/>
      <x:c r="T126" s="161"/>
      <x:c r="U126" s="161"/>
      <x:c r="V126" s="161"/>
      <x:c r="W126" s="161"/>
      <x:c r="X126" s="161"/>
      <x:c r="Y126" s="161"/>
      <x:c r="Z126" s="161"/>
    </x:row>
    <x:row r="127">
      <x:c r="A127" s="161"/>
      <x:c r="B127" s="161"/>
      <x:c r="C127" s="161"/>
      <x:c r="D127" s="161"/>
      <x:c r="E127" s="161"/>
      <x:c r="F127" s="161"/>
      <x:c r="G127" s="161"/>
      <x:c r="H127" s="161"/>
      <x:c r="I127" s="161"/>
      <x:c r="J127" s="161"/>
      <x:c r="K127" s="161"/>
      <x:c r="L127" s="161"/>
      <x:c r="M127" s="161"/>
      <x:c r="N127" s="161"/>
      <x:c r="O127" s="161"/>
      <x:c r="P127" s="161"/>
      <x:c r="Q127" s="161"/>
      <x:c r="R127" s="161"/>
      <x:c r="S127" s="161"/>
      <x:c r="T127" s="161"/>
      <x:c r="U127" s="161"/>
      <x:c r="V127" s="161"/>
      <x:c r="W127" s="161"/>
      <x:c r="X127" s="161"/>
      <x:c r="Y127" s="161"/>
      <x:c r="Z127" s="161"/>
    </x:row>
    <x:row r="128">
      <x:c r="A128" s="161"/>
      <x:c r="B128" s="161"/>
      <x:c r="C128" s="161"/>
      <x:c r="D128" s="161"/>
      <x:c r="E128" s="161"/>
      <x:c r="F128" s="161"/>
      <x:c r="G128" s="161"/>
      <x:c r="H128" s="161"/>
      <x:c r="I128" s="161"/>
      <x:c r="J128" s="161"/>
      <x:c r="K128" s="161"/>
      <x:c r="L128" s="161"/>
      <x:c r="M128" s="161"/>
      <x:c r="N128" s="161"/>
      <x:c r="O128" s="161"/>
      <x:c r="P128" s="161"/>
      <x:c r="Q128" s="161"/>
      <x:c r="R128" s="161"/>
      <x:c r="S128" s="161"/>
      <x:c r="T128" s="161"/>
      <x:c r="U128" s="161"/>
      <x:c r="V128" s="161"/>
      <x:c r="W128" s="161"/>
      <x:c r="X128" s="161"/>
      <x:c r="Y128" s="161"/>
      <x:c r="Z128" s="161"/>
    </x:row>
    <x:row r="129">
      <x:c r="A129" s="161"/>
      <x:c r="B129" s="161"/>
      <x:c r="C129" s="161"/>
      <x:c r="D129" s="161"/>
      <x:c r="E129" s="161"/>
      <x:c r="F129" s="161"/>
      <x:c r="G129" s="161"/>
      <x:c r="H129" s="161"/>
      <x:c r="I129" s="161"/>
      <x:c r="J129" s="161"/>
      <x:c r="K129" s="161"/>
      <x:c r="L129" s="161"/>
      <x:c r="M129" s="161"/>
      <x:c r="N129" s="161"/>
      <x:c r="O129" s="161"/>
      <x:c r="P129" s="161"/>
      <x:c r="Q129" s="161"/>
      <x:c r="R129" s="161"/>
      <x:c r="S129" s="161"/>
      <x:c r="T129" s="161"/>
      <x:c r="U129" s="161"/>
      <x:c r="V129" s="161"/>
      <x:c r="W129" s="161"/>
      <x:c r="X129" s="161"/>
      <x:c r="Y129" s="161"/>
      <x:c r="Z129" s="161"/>
    </x:row>
    <x:row r="130">
      <x:c r="A130" s="161"/>
      <x:c r="B130" s="161"/>
      <x:c r="C130" s="161"/>
      <x:c r="D130" s="161"/>
      <x:c r="E130" s="161"/>
      <x:c r="F130" s="161"/>
      <x:c r="G130" s="161"/>
      <x:c r="H130" s="161"/>
      <x:c r="I130" s="161"/>
      <x:c r="J130" s="161"/>
      <x:c r="K130" s="161"/>
      <x:c r="L130" s="161"/>
      <x:c r="M130" s="161"/>
      <x:c r="N130" s="161"/>
      <x:c r="O130" s="161"/>
      <x:c r="P130" s="161"/>
      <x:c r="Q130" s="161"/>
      <x:c r="R130" s="161"/>
      <x:c r="S130" s="161"/>
      <x:c r="T130" s="161"/>
      <x:c r="U130" s="161"/>
      <x:c r="V130" s="161"/>
      <x:c r="W130" s="161"/>
      <x:c r="X130" s="161"/>
      <x:c r="Y130" s="161"/>
      <x:c r="Z130" s="161"/>
    </x:row>
    <x:row r="131">
      <x:c r="A131" s="161"/>
      <x:c r="B131" s="161"/>
      <x:c r="C131" s="161"/>
      <x:c r="D131" s="161"/>
      <x:c r="E131" s="161"/>
      <x:c r="F131" s="161"/>
      <x:c r="G131" s="161"/>
      <x:c r="H131" s="161"/>
      <x:c r="I131" s="161"/>
      <x:c r="J131" s="161"/>
      <x:c r="K131" s="161"/>
      <x:c r="L131" s="161"/>
      <x:c r="M131" s="161"/>
      <x:c r="N131" s="161"/>
      <x:c r="O131" s="161"/>
      <x:c r="P131" s="161"/>
      <x:c r="Q131" s="161"/>
      <x:c r="R131" s="161"/>
      <x:c r="S131" s="161"/>
      <x:c r="T131" s="161"/>
      <x:c r="U131" s="161"/>
      <x:c r="V131" s="161"/>
      <x:c r="W131" s="161"/>
      <x:c r="X131" s="161"/>
      <x:c r="Y131" s="161"/>
      <x:c r="Z131" s="161"/>
    </x:row>
    <x:row r="132">
      <x:c r="A132" s="161"/>
      <x:c r="B132" s="161"/>
      <x:c r="C132" s="161"/>
      <x:c r="D132" s="161"/>
      <x:c r="E132" s="161"/>
      <x:c r="F132" s="161"/>
      <x:c r="G132" s="161"/>
      <x:c r="H132" s="161"/>
      <x:c r="I132" s="161"/>
      <x:c r="J132" s="161"/>
      <x:c r="K132" s="161"/>
      <x:c r="L132" s="161"/>
      <x:c r="M132" s="161"/>
      <x:c r="N132" s="161"/>
      <x:c r="O132" s="161"/>
      <x:c r="P132" s="161"/>
      <x:c r="Q132" s="161"/>
      <x:c r="R132" s="161"/>
      <x:c r="S132" s="161"/>
      <x:c r="T132" s="161"/>
      <x:c r="U132" s="161"/>
      <x:c r="V132" s="161"/>
      <x:c r="W132" s="161"/>
      <x:c r="X132" s="161"/>
      <x:c r="Y132" s="161"/>
      <x:c r="Z132" s="161"/>
    </x:row>
    <x:row r="133">
      <x:c r="A133" s="161"/>
      <x:c r="B133" s="161"/>
      <x:c r="C133" s="161"/>
      <x:c r="D133" s="161"/>
      <x:c r="E133" s="161"/>
      <x:c r="F133" s="161"/>
      <x:c r="G133" s="161"/>
      <x:c r="H133" s="161"/>
      <x:c r="I133" s="161"/>
      <x:c r="J133" s="161"/>
      <x:c r="K133" s="161"/>
      <x:c r="L133" s="161"/>
      <x:c r="M133" s="161"/>
      <x:c r="N133" s="161"/>
      <x:c r="O133" s="161"/>
      <x:c r="P133" s="161"/>
      <x:c r="Q133" s="161"/>
      <x:c r="R133" s="161"/>
      <x:c r="S133" s="161"/>
      <x:c r="T133" s="161"/>
      <x:c r="U133" s="161"/>
      <x:c r="V133" s="161"/>
      <x:c r="W133" s="161"/>
      <x:c r="X133" s="161"/>
      <x:c r="Y133" s="161"/>
      <x:c r="Z133" s="161"/>
    </x:row>
    <x:row r="134">
      <x:c r="A134" s="161"/>
      <x:c r="B134" s="161"/>
      <x:c r="C134" s="161"/>
      <x:c r="D134" s="161"/>
      <x:c r="E134" s="161"/>
      <x:c r="F134" s="161"/>
      <x:c r="G134" s="161"/>
      <x:c r="H134" s="161"/>
      <x:c r="I134" s="161"/>
      <x:c r="J134" s="161"/>
      <x:c r="K134" s="161"/>
      <x:c r="L134" s="161"/>
      <x:c r="M134" s="161"/>
      <x:c r="N134" s="161"/>
      <x:c r="O134" s="161"/>
      <x:c r="P134" s="161"/>
      <x:c r="Q134" s="161"/>
      <x:c r="R134" s="161"/>
      <x:c r="S134" s="161"/>
      <x:c r="T134" s="161"/>
      <x:c r="U134" s="161"/>
      <x:c r="V134" s="161"/>
      <x:c r="W134" s="161"/>
      <x:c r="X134" s="161"/>
      <x:c r="Y134" s="161"/>
      <x:c r="Z134" s="161"/>
    </x:row>
    <x:row r="135">
      <x:c r="A135" s="161"/>
      <x:c r="B135" s="161"/>
      <x:c r="C135" s="161"/>
      <x:c r="D135" s="161"/>
      <x:c r="E135" s="161"/>
      <x:c r="F135" s="161"/>
      <x:c r="G135" s="161"/>
      <x:c r="H135" s="161"/>
      <x:c r="I135" s="161"/>
      <x:c r="J135" s="161"/>
      <x:c r="K135" s="161"/>
      <x:c r="L135" s="161"/>
      <x:c r="M135" s="161"/>
      <x:c r="N135" s="161"/>
      <x:c r="O135" s="161"/>
      <x:c r="P135" s="161"/>
      <x:c r="Q135" s="161"/>
      <x:c r="R135" s="161"/>
      <x:c r="S135" s="161"/>
      <x:c r="T135" s="161"/>
      <x:c r="U135" s="161"/>
      <x:c r="V135" s="161"/>
      <x:c r="W135" s="161"/>
      <x:c r="X135" s="161"/>
      <x:c r="Y135" s="161"/>
      <x:c r="Z135" s="161"/>
    </x:row>
    <x:row r="136">
      <x:c r="A136" s="161"/>
      <x:c r="B136" s="161"/>
      <x:c r="C136" s="161"/>
      <x:c r="D136" s="161"/>
      <x:c r="E136" s="161"/>
      <x:c r="F136" s="161"/>
      <x:c r="G136" s="161"/>
      <x:c r="H136" s="161"/>
      <x:c r="I136" s="161"/>
      <x:c r="J136" s="161"/>
      <x:c r="K136" s="161"/>
      <x:c r="L136" s="161"/>
      <x:c r="M136" s="161"/>
      <x:c r="N136" s="161"/>
      <x:c r="O136" s="161"/>
      <x:c r="P136" s="161"/>
      <x:c r="Q136" s="161"/>
      <x:c r="R136" s="161"/>
      <x:c r="S136" s="161"/>
      <x:c r="T136" s="161"/>
      <x:c r="U136" s="161"/>
      <x:c r="V136" s="161"/>
      <x:c r="W136" s="161"/>
      <x:c r="X136" s="161"/>
      <x:c r="Y136" s="161"/>
      <x:c r="Z136" s="161"/>
    </x:row>
    <x:row r="137">
      <x:c r="A137" s="161"/>
      <x:c r="B137" s="161"/>
      <x:c r="C137" s="161"/>
      <x:c r="D137" s="161"/>
      <x:c r="E137" s="161"/>
      <x:c r="F137" s="161"/>
      <x:c r="G137" s="161"/>
      <x:c r="H137" s="161"/>
      <x:c r="I137" s="161"/>
      <x:c r="J137" s="161"/>
      <x:c r="K137" s="161"/>
      <x:c r="L137" s="161"/>
      <x:c r="M137" s="161"/>
      <x:c r="N137" s="161"/>
      <x:c r="O137" s="161"/>
      <x:c r="P137" s="161"/>
      <x:c r="Q137" s="161"/>
      <x:c r="R137" s="161"/>
      <x:c r="S137" s="161"/>
      <x:c r="T137" s="161"/>
      <x:c r="U137" s="161"/>
      <x:c r="V137" s="161"/>
      <x:c r="W137" s="161"/>
      <x:c r="X137" s="161"/>
      <x:c r="Y137" s="161"/>
      <x:c r="Z137" s="161"/>
    </x:row>
    <x:row r="138">
      <x:c r="A138" s="161"/>
      <x:c r="B138" s="161"/>
      <x:c r="C138" s="161"/>
      <x:c r="D138" s="161"/>
      <x:c r="E138" s="161"/>
      <x:c r="F138" s="161"/>
      <x:c r="G138" s="161"/>
      <x:c r="H138" s="161"/>
      <x:c r="I138" s="161"/>
      <x:c r="J138" s="161"/>
      <x:c r="K138" s="161"/>
      <x:c r="L138" s="161"/>
      <x:c r="M138" s="161"/>
      <x:c r="N138" s="161"/>
      <x:c r="O138" s="161"/>
      <x:c r="P138" s="161"/>
      <x:c r="Q138" s="161"/>
      <x:c r="R138" s="161"/>
      <x:c r="S138" s="161"/>
      <x:c r="T138" s="161"/>
      <x:c r="U138" s="161"/>
      <x:c r="V138" s="161"/>
      <x:c r="W138" s="161"/>
      <x:c r="X138" s="161"/>
      <x:c r="Y138" s="161"/>
      <x:c r="Z138" s="161"/>
    </x:row>
    <x:row r="139">
      <x:c r="A139" s="161"/>
      <x:c r="B139" s="161"/>
      <x:c r="C139" s="161"/>
      <x:c r="D139" s="161"/>
      <x:c r="E139" s="161"/>
      <x:c r="F139" s="161"/>
      <x:c r="G139" s="161"/>
      <x:c r="H139" s="161"/>
      <x:c r="I139" s="161"/>
      <x:c r="J139" s="161"/>
      <x:c r="K139" s="161"/>
      <x:c r="L139" s="161"/>
      <x:c r="M139" s="161"/>
      <x:c r="N139" s="161"/>
      <x:c r="O139" s="161"/>
      <x:c r="P139" s="161"/>
      <x:c r="Q139" s="161"/>
      <x:c r="R139" s="161"/>
      <x:c r="S139" s="161"/>
      <x:c r="T139" s="161"/>
      <x:c r="U139" s="161"/>
      <x:c r="V139" s="161"/>
      <x:c r="W139" s="161"/>
      <x:c r="X139" s="161"/>
      <x:c r="Y139" s="161"/>
      <x:c r="Z139" s="161"/>
    </x:row>
    <x:row r="140">
      <x:c r="A140" s="161"/>
      <x:c r="B140" s="161"/>
      <x:c r="C140" s="161"/>
      <x:c r="D140" s="161"/>
      <x:c r="E140" s="161"/>
      <x:c r="F140" s="161"/>
      <x:c r="G140" s="161"/>
      <x:c r="H140" s="161"/>
      <x:c r="I140" s="161"/>
      <x:c r="J140" s="161"/>
      <x:c r="K140" s="161"/>
      <x:c r="L140" s="161"/>
      <x:c r="M140" s="161"/>
      <x:c r="N140" s="161"/>
      <x:c r="O140" s="161"/>
      <x:c r="P140" s="161"/>
      <x:c r="Q140" s="161"/>
      <x:c r="R140" s="161"/>
      <x:c r="S140" s="161"/>
      <x:c r="T140" s="161"/>
      <x:c r="U140" s="161"/>
      <x:c r="V140" s="161"/>
      <x:c r="W140" s="161"/>
      <x:c r="X140" s="161"/>
      <x:c r="Y140" s="161"/>
      <x:c r="Z140" s="161"/>
    </x:row>
    <x:row r="141">
      <x:c r="A141" s="161"/>
      <x:c r="B141" s="161"/>
      <x:c r="C141" s="161"/>
      <x:c r="D141" s="161"/>
      <x:c r="E141" s="161"/>
      <x:c r="F141" s="161"/>
      <x:c r="G141" s="161"/>
      <x:c r="H141" s="161"/>
      <x:c r="I141" s="161"/>
      <x:c r="J141" s="161"/>
      <x:c r="K141" s="161"/>
      <x:c r="L141" s="161"/>
      <x:c r="M141" s="161"/>
      <x:c r="N141" s="161"/>
      <x:c r="O141" s="161"/>
      <x:c r="P141" s="161"/>
      <x:c r="Q141" s="161"/>
      <x:c r="R141" s="161"/>
      <x:c r="S141" s="161"/>
      <x:c r="T141" s="161"/>
      <x:c r="U141" s="161"/>
      <x:c r="V141" s="161"/>
      <x:c r="W141" s="161"/>
      <x:c r="X141" s="161"/>
      <x:c r="Y141" s="161"/>
      <x:c r="Z141" s="161"/>
    </x:row>
    <x:row r="142">
      <x:c r="A142" s="161"/>
      <x:c r="B142" s="161"/>
      <x:c r="C142" s="161"/>
      <x:c r="D142" s="161"/>
      <x:c r="E142" s="161"/>
      <x:c r="F142" s="161"/>
      <x:c r="G142" s="161"/>
      <x:c r="H142" s="161"/>
      <x:c r="I142" s="161"/>
      <x:c r="J142" s="161"/>
      <x:c r="K142" s="161"/>
      <x:c r="L142" s="161"/>
      <x:c r="M142" s="161"/>
      <x:c r="N142" s="161"/>
      <x:c r="O142" s="161"/>
      <x:c r="P142" s="161"/>
      <x:c r="Q142" s="161"/>
      <x:c r="R142" s="161"/>
      <x:c r="S142" s="161"/>
      <x:c r="T142" s="161"/>
      <x:c r="U142" s="161"/>
      <x:c r="V142" s="161"/>
      <x:c r="W142" s="161"/>
      <x:c r="X142" s="161"/>
      <x:c r="Y142" s="161"/>
      <x:c r="Z142" s="161"/>
    </x:row>
    <x:row r="143">
      <x:c r="A143" s="161"/>
      <x:c r="B143" s="161"/>
      <x:c r="C143" s="161"/>
      <x:c r="D143" s="161"/>
      <x:c r="E143" s="161"/>
      <x:c r="F143" s="161"/>
      <x:c r="G143" s="161"/>
      <x:c r="H143" s="161"/>
      <x:c r="I143" s="161"/>
      <x:c r="J143" s="161"/>
      <x:c r="K143" s="161"/>
      <x:c r="L143" s="161"/>
      <x:c r="M143" s="161"/>
      <x:c r="N143" s="161"/>
      <x:c r="O143" s="161"/>
      <x:c r="P143" s="161"/>
      <x:c r="Q143" s="161"/>
      <x:c r="R143" s="161"/>
      <x:c r="S143" s="161"/>
      <x:c r="T143" s="161"/>
      <x:c r="U143" s="161"/>
      <x:c r="V143" s="161"/>
      <x:c r="W143" s="161"/>
      <x:c r="X143" s="161"/>
      <x:c r="Y143" s="161"/>
      <x:c r="Z143" s="161"/>
    </x:row>
    <x:row r="144">
      <x:c r="A144" s="161"/>
      <x:c r="B144" s="161"/>
      <x:c r="C144" s="161"/>
      <x:c r="D144" s="161"/>
      <x:c r="E144" s="161"/>
      <x:c r="F144" s="161"/>
      <x:c r="G144" s="161"/>
      <x:c r="H144" s="161"/>
      <x:c r="I144" s="161"/>
      <x:c r="J144" s="161"/>
      <x:c r="K144" s="161"/>
      <x:c r="L144" s="161"/>
      <x:c r="M144" s="161"/>
      <x:c r="N144" s="161"/>
      <x:c r="O144" s="161"/>
      <x:c r="P144" s="161"/>
      <x:c r="Q144" s="161"/>
      <x:c r="R144" s="161"/>
      <x:c r="S144" s="161"/>
      <x:c r="T144" s="161"/>
      <x:c r="U144" s="161"/>
      <x:c r="V144" s="161"/>
      <x:c r="W144" s="161"/>
      <x:c r="X144" s="161"/>
      <x:c r="Y144" s="161"/>
      <x:c r="Z144" s="161"/>
    </x:row>
    <x:row r="145">
      <x:c r="A145" s="161"/>
      <x:c r="B145" s="161"/>
      <x:c r="C145" s="161"/>
      <x:c r="D145" s="161"/>
      <x:c r="E145" s="161"/>
      <x:c r="F145" s="161"/>
      <x:c r="G145" s="161"/>
      <x:c r="H145" s="161"/>
      <x:c r="I145" s="161"/>
      <x:c r="J145" s="161"/>
      <x:c r="K145" s="161"/>
      <x:c r="L145" s="161"/>
      <x:c r="M145" s="161"/>
      <x:c r="N145" s="161"/>
      <x:c r="O145" s="161"/>
      <x:c r="P145" s="161"/>
      <x:c r="Q145" s="161"/>
      <x:c r="R145" s="161"/>
      <x:c r="S145" s="161"/>
      <x:c r="T145" s="161"/>
      <x:c r="U145" s="161"/>
      <x:c r="V145" s="161"/>
      <x:c r="W145" s="161"/>
      <x:c r="X145" s="161"/>
      <x:c r="Y145" s="161"/>
      <x:c r="Z145" s="161"/>
    </x:row>
    <x:row r="146">
      <x:c r="A146" s="161"/>
      <x:c r="B146" s="161"/>
      <x:c r="C146" s="161"/>
      <x:c r="D146" s="161"/>
      <x:c r="E146" s="161"/>
      <x:c r="F146" s="161"/>
      <x:c r="G146" s="161"/>
      <x:c r="H146" s="161"/>
      <x:c r="I146" s="161"/>
      <x:c r="J146" s="161"/>
      <x:c r="K146" s="161"/>
      <x:c r="L146" s="161"/>
      <x:c r="M146" s="161"/>
      <x:c r="N146" s="161"/>
      <x:c r="O146" s="161"/>
      <x:c r="P146" s="161"/>
      <x:c r="Q146" s="161"/>
      <x:c r="R146" s="161"/>
      <x:c r="S146" s="161"/>
      <x:c r="T146" s="161"/>
      <x:c r="U146" s="161"/>
      <x:c r="V146" s="161"/>
      <x:c r="W146" s="161"/>
      <x:c r="X146" s="161"/>
      <x:c r="Y146" s="161"/>
      <x:c r="Z146" s="161"/>
    </x:row>
    <x:row r="147">
      <x:c r="A147" s="161"/>
      <x:c r="B147" s="161"/>
      <x:c r="C147" s="161"/>
      <x:c r="D147" s="161"/>
      <x:c r="E147" s="161"/>
      <x:c r="F147" s="161"/>
      <x:c r="G147" s="161"/>
      <x:c r="H147" s="161"/>
      <x:c r="I147" s="161"/>
      <x:c r="J147" s="161"/>
      <x:c r="K147" s="161"/>
      <x:c r="L147" s="161"/>
      <x:c r="M147" s="161"/>
      <x:c r="N147" s="161"/>
      <x:c r="O147" s="161"/>
      <x:c r="P147" s="161"/>
      <x:c r="Q147" s="161"/>
      <x:c r="R147" s="161"/>
      <x:c r="S147" s="161"/>
      <x:c r="T147" s="161"/>
      <x:c r="U147" s="161"/>
      <x:c r="V147" s="161"/>
      <x:c r="W147" s="161"/>
      <x:c r="X147" s="161"/>
      <x:c r="Y147" s="161"/>
      <x:c r="Z147" s="161"/>
    </x:row>
    <x:row r="148">
      <x:c r="A148" s="161"/>
      <x:c r="B148" s="161"/>
      <x:c r="C148" s="161"/>
      <x:c r="D148" s="161"/>
      <x:c r="E148" s="161"/>
      <x:c r="F148" s="161"/>
      <x:c r="G148" s="161"/>
      <x:c r="H148" s="161"/>
      <x:c r="I148" s="161"/>
      <x:c r="J148" s="161"/>
      <x:c r="K148" s="161"/>
      <x:c r="L148" s="161"/>
      <x:c r="M148" s="161"/>
      <x:c r="N148" s="161"/>
      <x:c r="O148" s="161"/>
      <x:c r="P148" s="161"/>
      <x:c r="Q148" s="161"/>
      <x:c r="R148" s="161"/>
      <x:c r="S148" s="161"/>
      <x:c r="T148" s="161"/>
      <x:c r="U148" s="161"/>
      <x:c r="V148" s="161"/>
      <x:c r="W148" s="161"/>
      <x:c r="X148" s="161"/>
      <x:c r="Y148" s="161"/>
      <x:c r="Z148" s="161"/>
    </x:row>
    <x:row r="149">
      <x:c r="A149" s="161"/>
      <x:c r="B149" s="161"/>
      <x:c r="C149" s="161"/>
      <x:c r="D149" s="161"/>
      <x:c r="E149" s="161"/>
      <x:c r="F149" s="161"/>
      <x:c r="G149" s="161"/>
      <x:c r="H149" s="161"/>
      <x:c r="I149" s="161"/>
      <x:c r="J149" s="161"/>
      <x:c r="K149" s="161"/>
      <x:c r="L149" s="161"/>
      <x:c r="M149" s="161"/>
      <x:c r="N149" s="161"/>
      <x:c r="O149" s="161"/>
      <x:c r="P149" s="161"/>
      <x:c r="Q149" s="161"/>
      <x:c r="R149" s="161"/>
      <x:c r="S149" s="161"/>
      <x:c r="T149" s="161"/>
      <x:c r="U149" s="161"/>
      <x:c r="V149" s="161"/>
      <x:c r="W149" s="161"/>
      <x:c r="X149" s="161"/>
      <x:c r="Y149" s="161"/>
      <x:c r="Z149" s="161"/>
    </x:row>
    <x:row r="150">
      <x:c r="A150" s="161"/>
      <x:c r="B150" s="161"/>
      <x:c r="C150" s="161"/>
      <x:c r="D150" s="161"/>
      <x:c r="E150" s="161"/>
      <x:c r="F150" s="161"/>
      <x:c r="G150" s="161"/>
      <x:c r="H150" s="161"/>
      <x:c r="I150" s="161"/>
      <x:c r="J150" s="161"/>
      <x:c r="K150" s="161"/>
      <x:c r="L150" s="161"/>
      <x:c r="M150" s="161"/>
      <x:c r="N150" s="161"/>
      <x:c r="O150" s="161"/>
      <x:c r="P150" s="161"/>
      <x:c r="Q150" s="161"/>
      <x:c r="R150" s="161"/>
      <x:c r="S150" s="161"/>
      <x:c r="T150" s="161"/>
      <x:c r="U150" s="161"/>
      <x:c r="V150" s="161"/>
      <x:c r="W150" s="161"/>
      <x:c r="X150" s="161"/>
      <x:c r="Y150" s="161"/>
      <x:c r="Z150" s="161"/>
    </x:row>
    <x:row r="151">
      <x:c r="A151" s="161"/>
      <x:c r="B151" s="161"/>
      <x:c r="C151" s="161"/>
      <x:c r="D151" s="161"/>
      <x:c r="E151" s="161"/>
      <x:c r="F151" s="161"/>
      <x:c r="G151" s="161"/>
      <x:c r="H151" s="161"/>
      <x:c r="I151" s="161"/>
      <x:c r="J151" s="161"/>
      <x:c r="K151" s="161"/>
      <x:c r="L151" s="161"/>
      <x:c r="M151" s="161"/>
      <x:c r="N151" s="161"/>
      <x:c r="O151" s="161"/>
      <x:c r="P151" s="161"/>
      <x:c r="Q151" s="161"/>
      <x:c r="R151" s="161"/>
      <x:c r="S151" s="161"/>
      <x:c r="T151" s="161"/>
      <x:c r="U151" s="161"/>
      <x:c r="V151" s="161"/>
      <x:c r="W151" s="161"/>
      <x:c r="X151" s="161"/>
      <x:c r="Y151" s="161"/>
      <x:c r="Z151" s="161"/>
    </x:row>
    <x:row r="152">
      <x:c r="A152" s="161"/>
      <x:c r="B152" s="161"/>
      <x:c r="C152" s="161"/>
      <x:c r="D152" s="161"/>
      <x:c r="E152" s="161"/>
      <x:c r="F152" s="161"/>
      <x:c r="G152" s="161"/>
      <x:c r="H152" s="161"/>
      <x:c r="I152" s="161"/>
      <x:c r="J152" s="161"/>
      <x:c r="K152" s="161"/>
      <x:c r="L152" s="161"/>
      <x:c r="M152" s="161"/>
      <x:c r="N152" s="161"/>
      <x:c r="O152" s="161"/>
      <x:c r="P152" s="161"/>
      <x:c r="Q152" s="161"/>
      <x:c r="R152" s="161"/>
      <x:c r="S152" s="161"/>
      <x:c r="T152" s="161"/>
      <x:c r="U152" s="161"/>
      <x:c r="V152" s="161"/>
      <x:c r="W152" s="161"/>
      <x:c r="X152" s="161"/>
      <x:c r="Y152" s="161"/>
      <x:c r="Z152" s="161"/>
    </x:row>
    <x:row r="153">
      <x:c r="A153" s="161"/>
      <x:c r="B153" s="161"/>
      <x:c r="C153" s="161"/>
      <x:c r="D153" s="161"/>
      <x:c r="E153" s="161"/>
      <x:c r="F153" s="161"/>
      <x:c r="G153" s="161"/>
      <x:c r="H153" s="161"/>
      <x:c r="I153" s="161"/>
      <x:c r="J153" s="161"/>
      <x:c r="K153" s="161"/>
      <x:c r="L153" s="161"/>
      <x:c r="M153" s="161"/>
      <x:c r="N153" s="161"/>
      <x:c r="O153" s="161"/>
      <x:c r="P153" s="161"/>
      <x:c r="Q153" s="161"/>
      <x:c r="R153" s="161"/>
      <x:c r="S153" s="161"/>
      <x:c r="T153" s="161"/>
      <x:c r="U153" s="161"/>
      <x:c r="V153" s="161"/>
      <x:c r="W153" s="161"/>
      <x:c r="X153" s="161"/>
      <x:c r="Y153" s="161"/>
      <x:c r="Z153" s="161"/>
    </x:row>
    <x:row r="154">
      <x:c r="A154" s="161"/>
      <x:c r="B154" s="161"/>
      <x:c r="C154" s="161"/>
      <x:c r="D154" s="161"/>
      <x:c r="E154" s="161"/>
      <x:c r="F154" s="161"/>
      <x:c r="G154" s="161"/>
      <x:c r="H154" s="161"/>
      <x:c r="I154" s="161"/>
      <x:c r="J154" s="161"/>
      <x:c r="K154" s="161"/>
      <x:c r="L154" s="161"/>
      <x:c r="M154" s="161"/>
      <x:c r="N154" s="161"/>
      <x:c r="O154" s="161"/>
      <x:c r="P154" s="161"/>
      <x:c r="Q154" s="161"/>
      <x:c r="R154" s="161"/>
      <x:c r="S154" s="161"/>
      <x:c r="T154" s="161"/>
      <x:c r="U154" s="161"/>
      <x:c r="V154" s="161"/>
      <x:c r="W154" s="161"/>
      <x:c r="X154" s="161"/>
      <x:c r="Y154" s="161"/>
      <x:c r="Z154" s="161"/>
    </x:row>
    <x:row r="155">
      <x:c r="A155" s="161"/>
      <x:c r="B155" s="161"/>
      <x:c r="C155" s="161"/>
      <x:c r="D155" s="161"/>
      <x:c r="E155" s="161"/>
      <x:c r="F155" s="161"/>
      <x:c r="G155" s="161"/>
      <x:c r="H155" s="161"/>
      <x:c r="I155" s="161"/>
      <x:c r="J155" s="161"/>
      <x:c r="K155" s="161"/>
      <x:c r="L155" s="161"/>
      <x:c r="M155" s="161"/>
      <x:c r="N155" s="161"/>
      <x:c r="O155" s="161"/>
      <x:c r="P155" s="161"/>
      <x:c r="Q155" s="161"/>
      <x:c r="R155" s="161"/>
      <x:c r="S155" s="161"/>
      <x:c r="T155" s="161"/>
      <x:c r="U155" s="161"/>
      <x:c r="V155" s="161"/>
      <x:c r="W155" s="161"/>
      <x:c r="X155" s="161"/>
      <x:c r="Y155" s="161"/>
      <x:c r="Z155" s="161"/>
    </x:row>
    <x:row r="156">
      <x:c r="A156" s="161"/>
      <x:c r="B156" s="161"/>
      <x:c r="C156" s="161"/>
      <x:c r="D156" s="161"/>
      <x:c r="E156" s="161"/>
      <x:c r="F156" s="161"/>
      <x:c r="G156" s="161"/>
      <x:c r="H156" s="161"/>
      <x:c r="I156" s="161"/>
      <x:c r="J156" s="161"/>
      <x:c r="K156" s="161"/>
      <x:c r="L156" s="161"/>
      <x:c r="M156" s="161"/>
      <x:c r="N156" s="161"/>
      <x:c r="O156" s="161"/>
      <x:c r="P156" s="161"/>
      <x:c r="Q156" s="161"/>
      <x:c r="R156" s="161"/>
      <x:c r="S156" s="161"/>
      <x:c r="T156" s="161"/>
      <x:c r="U156" s="161"/>
      <x:c r="V156" s="161"/>
      <x:c r="W156" s="161"/>
      <x:c r="X156" s="161"/>
      <x:c r="Y156" s="161"/>
      <x:c r="Z156" s="161"/>
    </x:row>
    <x:row r="157">
      <x:c r="A157" s="161"/>
      <x:c r="B157" s="161"/>
      <x:c r="C157" s="161"/>
      <x:c r="D157" s="161"/>
      <x:c r="E157" s="161"/>
      <x:c r="F157" s="161"/>
      <x:c r="G157" s="161"/>
      <x:c r="H157" s="161"/>
      <x:c r="I157" s="161"/>
      <x:c r="J157" s="161"/>
      <x:c r="K157" s="161"/>
      <x:c r="L157" s="161"/>
      <x:c r="M157" s="161"/>
      <x:c r="N157" s="161"/>
      <x:c r="O157" s="161"/>
      <x:c r="P157" s="161"/>
      <x:c r="Q157" s="161"/>
      <x:c r="R157" s="161"/>
      <x:c r="S157" s="161"/>
      <x:c r="T157" s="161"/>
      <x:c r="U157" s="161"/>
      <x:c r="V157" s="161"/>
      <x:c r="W157" s="161"/>
      <x:c r="X157" s="161"/>
      <x:c r="Y157" s="161"/>
      <x:c r="Z157" s="161"/>
    </x:row>
    <x:row r="158">
      <x:c r="A158" s="161"/>
      <x:c r="B158" s="161"/>
      <x:c r="C158" s="161"/>
      <x:c r="D158" s="161"/>
      <x:c r="E158" s="161"/>
      <x:c r="F158" s="161"/>
      <x:c r="G158" s="161"/>
      <x:c r="H158" s="161"/>
      <x:c r="I158" s="161"/>
      <x:c r="J158" s="161"/>
      <x:c r="K158" s="161"/>
      <x:c r="L158" s="161"/>
      <x:c r="M158" s="161"/>
      <x:c r="N158" s="161"/>
      <x:c r="O158" s="161"/>
      <x:c r="P158" s="161"/>
      <x:c r="Q158" s="161"/>
      <x:c r="R158" s="161"/>
      <x:c r="S158" s="161"/>
      <x:c r="T158" s="161"/>
      <x:c r="U158" s="161"/>
      <x:c r="V158" s="161"/>
      <x:c r="W158" s="161"/>
      <x:c r="X158" s="161"/>
      <x:c r="Y158" s="161"/>
      <x:c r="Z158" s="161"/>
    </x:row>
    <x:row r="159">
      <x:c r="A159" s="161"/>
      <x:c r="B159" s="161"/>
      <x:c r="C159" s="161"/>
      <x:c r="D159" s="161"/>
      <x:c r="E159" s="161"/>
      <x:c r="F159" s="161"/>
      <x:c r="G159" s="161"/>
      <x:c r="H159" s="161"/>
      <x:c r="I159" s="161"/>
      <x:c r="J159" s="161"/>
      <x:c r="K159" s="161"/>
      <x:c r="L159" s="161"/>
      <x:c r="M159" s="161"/>
      <x:c r="N159" s="161"/>
      <x:c r="O159" s="161"/>
      <x:c r="P159" s="161"/>
      <x:c r="Q159" s="161"/>
      <x:c r="R159" s="161"/>
      <x:c r="S159" s="161"/>
      <x:c r="T159" s="161"/>
      <x:c r="U159" s="161"/>
      <x:c r="V159" s="161"/>
      <x:c r="W159" s="161"/>
      <x:c r="X159" s="161"/>
      <x:c r="Y159" s="161"/>
      <x:c r="Z159" s="161"/>
    </x:row>
    <x:row r="160">
      <x:c r="A160" s="161"/>
      <x:c r="B160" s="161"/>
      <x:c r="C160" s="161"/>
      <x:c r="D160" s="161"/>
      <x:c r="E160" s="161"/>
      <x:c r="F160" s="161"/>
      <x:c r="G160" s="161"/>
      <x:c r="H160" s="161"/>
      <x:c r="I160" s="161"/>
      <x:c r="J160" s="161"/>
      <x:c r="K160" s="161"/>
      <x:c r="L160" s="161"/>
      <x:c r="M160" s="161"/>
      <x:c r="N160" s="161"/>
      <x:c r="O160" s="161"/>
      <x:c r="P160" s="161"/>
      <x:c r="Q160" s="161"/>
      <x:c r="R160" s="161"/>
      <x:c r="S160" s="161"/>
      <x:c r="T160" s="161"/>
      <x:c r="U160" s="161"/>
      <x:c r="V160" s="161"/>
      <x:c r="W160" s="161"/>
      <x:c r="X160" s="161"/>
      <x:c r="Y160" s="161"/>
      <x:c r="Z160" s="161"/>
    </x:row>
    <x:row r="161">
      <x:c r="A161" s="161"/>
      <x:c r="B161" s="161"/>
      <x:c r="C161" s="161"/>
      <x:c r="D161" s="161"/>
      <x:c r="E161" s="161"/>
      <x:c r="F161" s="161"/>
      <x:c r="G161" s="161"/>
      <x:c r="H161" s="161"/>
      <x:c r="I161" s="161"/>
      <x:c r="J161" s="161"/>
      <x:c r="K161" s="161"/>
      <x:c r="L161" s="161"/>
      <x:c r="M161" s="161"/>
      <x:c r="N161" s="161"/>
      <x:c r="O161" s="161"/>
      <x:c r="P161" s="161"/>
      <x:c r="Q161" s="161"/>
      <x:c r="R161" s="161"/>
      <x:c r="S161" s="161"/>
      <x:c r="T161" s="161"/>
      <x:c r="U161" s="161"/>
      <x:c r="V161" s="161"/>
      <x:c r="W161" s="161"/>
      <x:c r="X161" s="161"/>
      <x:c r="Y161" s="161"/>
      <x:c r="Z161" s="161"/>
    </x:row>
    <x:row r="162">
      <x:c r="A162" s="161"/>
      <x:c r="B162" s="161"/>
      <x:c r="C162" s="161"/>
      <x:c r="D162" s="161"/>
      <x:c r="E162" s="161"/>
      <x:c r="F162" s="161"/>
      <x:c r="G162" s="161"/>
      <x:c r="H162" s="161"/>
      <x:c r="I162" s="161"/>
      <x:c r="J162" s="161"/>
      <x:c r="K162" s="161"/>
      <x:c r="L162" s="161"/>
      <x:c r="M162" s="161"/>
      <x:c r="N162" s="161"/>
      <x:c r="O162" s="161"/>
      <x:c r="P162" s="161"/>
      <x:c r="Q162" s="161"/>
      <x:c r="R162" s="161"/>
      <x:c r="S162" s="161"/>
      <x:c r="T162" s="161"/>
      <x:c r="U162" s="161"/>
      <x:c r="V162" s="161"/>
      <x:c r="W162" s="161"/>
      <x:c r="X162" s="161"/>
      <x:c r="Y162" s="161"/>
      <x:c r="Z162" s="161"/>
    </x:row>
    <x:row r="163">
      <x:c r="A163" s="161"/>
      <x:c r="B163" s="161"/>
      <x:c r="C163" s="161"/>
      <x:c r="D163" s="161"/>
      <x:c r="E163" s="161"/>
      <x:c r="F163" s="161"/>
      <x:c r="G163" s="161"/>
      <x:c r="H163" s="161"/>
      <x:c r="I163" s="161"/>
      <x:c r="J163" s="161"/>
      <x:c r="K163" s="161"/>
      <x:c r="L163" s="161"/>
      <x:c r="M163" s="161"/>
      <x:c r="N163" s="161"/>
      <x:c r="O163" s="161"/>
      <x:c r="P163" s="161"/>
      <x:c r="Q163" s="161"/>
      <x:c r="R163" s="161"/>
      <x:c r="S163" s="161"/>
      <x:c r="T163" s="161"/>
      <x:c r="U163" s="161"/>
      <x:c r="V163" s="161"/>
      <x:c r="W163" s="161"/>
      <x:c r="X163" s="161"/>
      <x:c r="Y163" s="161"/>
      <x:c r="Z163" s="161"/>
    </x:row>
    <x:row r="164">
      <x:c r="A164" s="161"/>
      <x:c r="B164" s="161"/>
      <x:c r="C164" s="161"/>
      <x:c r="D164" s="161"/>
      <x:c r="E164" s="161"/>
      <x:c r="F164" s="161"/>
      <x:c r="G164" s="161"/>
      <x:c r="H164" s="161"/>
      <x:c r="I164" s="161"/>
      <x:c r="J164" s="161"/>
      <x:c r="K164" s="161"/>
      <x:c r="L164" s="161"/>
      <x:c r="M164" s="161"/>
      <x:c r="N164" s="161"/>
      <x:c r="O164" s="161"/>
      <x:c r="P164" s="161"/>
      <x:c r="Q164" s="161"/>
      <x:c r="R164" s="161"/>
      <x:c r="S164" s="161"/>
      <x:c r="T164" s="161"/>
      <x:c r="U164" s="161"/>
      <x:c r="V164" s="161"/>
      <x:c r="W164" s="161"/>
      <x:c r="X164" s="161"/>
      <x:c r="Y164" s="161"/>
      <x:c r="Z164" s="161"/>
    </x:row>
    <x:row r="165">
      <x:c r="A165" s="161"/>
      <x:c r="B165" s="161"/>
      <x:c r="C165" s="161"/>
      <x:c r="D165" s="161"/>
      <x:c r="E165" s="161"/>
      <x:c r="F165" s="161"/>
      <x:c r="G165" s="161"/>
      <x:c r="H165" s="161"/>
      <x:c r="I165" s="161"/>
      <x:c r="J165" s="161"/>
      <x:c r="K165" s="161"/>
      <x:c r="L165" s="161"/>
      <x:c r="M165" s="161"/>
      <x:c r="N165" s="161"/>
      <x:c r="O165" s="161"/>
      <x:c r="P165" s="161"/>
      <x:c r="Q165" s="161"/>
      <x:c r="R165" s="161"/>
      <x:c r="S165" s="161"/>
      <x:c r="T165" s="161"/>
      <x:c r="U165" s="161"/>
      <x:c r="V165" s="161"/>
      <x:c r="W165" s="161"/>
      <x:c r="X165" s="161"/>
      <x:c r="Y165" s="161"/>
      <x:c r="Z165" s="161"/>
    </x:row>
    <x:row r="166">
      <x:c r="A166" s="161"/>
      <x:c r="B166" s="161"/>
      <x:c r="C166" s="161"/>
      <x:c r="D166" s="161"/>
      <x:c r="E166" s="161"/>
      <x:c r="F166" s="161"/>
      <x:c r="G166" s="161"/>
      <x:c r="H166" s="161"/>
      <x:c r="I166" s="161"/>
      <x:c r="J166" s="161"/>
      <x:c r="K166" s="161"/>
      <x:c r="L166" s="161"/>
      <x:c r="M166" s="161"/>
      <x:c r="N166" s="161"/>
      <x:c r="O166" s="161"/>
      <x:c r="P166" s="161"/>
      <x:c r="Q166" s="161"/>
      <x:c r="R166" s="161"/>
      <x:c r="S166" s="161"/>
      <x:c r="T166" s="161"/>
      <x:c r="U166" s="161"/>
      <x:c r="V166" s="161"/>
      <x:c r="W166" s="161"/>
      <x:c r="X166" s="161"/>
      <x:c r="Y166" s="161"/>
      <x:c r="Z166" s="161"/>
    </x:row>
    <x:row r="167">
      <x:c r="A167" s="161"/>
      <x:c r="B167" s="161"/>
      <x:c r="C167" s="161"/>
      <x:c r="D167" s="161"/>
      <x:c r="E167" s="161"/>
      <x:c r="F167" s="161"/>
      <x:c r="G167" s="161"/>
      <x:c r="H167" s="161"/>
      <x:c r="I167" s="161"/>
      <x:c r="J167" s="161"/>
      <x:c r="K167" s="161"/>
      <x:c r="L167" s="161"/>
      <x:c r="M167" s="161"/>
      <x:c r="N167" s="161"/>
      <x:c r="O167" s="161"/>
      <x:c r="P167" s="161"/>
      <x:c r="Q167" s="161"/>
      <x:c r="R167" s="161"/>
      <x:c r="S167" s="161"/>
      <x:c r="T167" s="161"/>
      <x:c r="U167" s="161"/>
      <x:c r="V167" s="161"/>
      <x:c r="W167" s="161"/>
      <x:c r="X167" s="161"/>
      <x:c r="Y167" s="161"/>
      <x:c r="Z167" s="161"/>
    </x:row>
    <x:row r="168">
      <x:c r="A168" s="161"/>
      <x:c r="B168" s="161"/>
      <x:c r="C168" s="161"/>
      <x:c r="D168" s="161"/>
      <x:c r="E168" s="161"/>
      <x:c r="F168" s="161"/>
      <x:c r="G168" s="161"/>
      <x:c r="H168" s="161"/>
      <x:c r="I168" s="161"/>
      <x:c r="J168" s="161"/>
      <x:c r="K168" s="161"/>
      <x:c r="L168" s="161"/>
      <x:c r="M168" s="161"/>
      <x:c r="N168" s="161"/>
      <x:c r="O168" s="161"/>
      <x:c r="P168" s="161"/>
      <x:c r="Q168" s="161"/>
      <x:c r="R168" s="161"/>
      <x:c r="S168" s="161"/>
      <x:c r="T168" s="161"/>
      <x:c r="U168" s="161"/>
      <x:c r="V168" s="161"/>
      <x:c r="W168" s="161"/>
      <x:c r="X168" s="161"/>
      <x:c r="Y168" s="161"/>
      <x:c r="Z168" s="161"/>
    </x:row>
    <x:row r="169">
      <x:c r="A169" s="161"/>
      <x:c r="B169" s="161"/>
      <x:c r="C169" s="161"/>
      <x:c r="D169" s="161"/>
      <x:c r="E169" s="161"/>
      <x:c r="F169" s="161"/>
      <x:c r="G169" s="161"/>
      <x:c r="H169" s="161"/>
      <x:c r="I169" s="161"/>
      <x:c r="J169" s="161"/>
      <x:c r="K169" s="161"/>
      <x:c r="L169" s="161"/>
      <x:c r="M169" s="161"/>
      <x:c r="N169" s="161"/>
      <x:c r="O169" s="161"/>
      <x:c r="P169" s="161"/>
      <x:c r="Q169" s="161"/>
      <x:c r="R169" s="161"/>
      <x:c r="S169" s="161"/>
      <x:c r="T169" s="161"/>
      <x:c r="U169" s="161"/>
      <x:c r="V169" s="161"/>
      <x:c r="W169" s="161"/>
      <x:c r="X169" s="161"/>
      <x:c r="Y169" s="161"/>
      <x:c r="Z169" s="161"/>
    </x:row>
    <x:row r="170">
      <x:c r="A170" s="161"/>
      <x:c r="B170" s="161"/>
      <x:c r="C170" s="161"/>
      <x:c r="D170" s="161"/>
      <x:c r="E170" s="161"/>
      <x:c r="F170" s="161"/>
      <x:c r="G170" s="161"/>
      <x:c r="H170" s="161"/>
      <x:c r="I170" s="161"/>
      <x:c r="J170" s="161"/>
      <x:c r="K170" s="161"/>
      <x:c r="L170" s="161"/>
      <x:c r="M170" s="161"/>
      <x:c r="N170" s="161"/>
      <x:c r="O170" s="161"/>
      <x:c r="P170" s="161"/>
      <x:c r="Q170" s="161"/>
      <x:c r="R170" s="161"/>
      <x:c r="S170" s="161"/>
      <x:c r="T170" s="161"/>
      <x:c r="U170" s="161"/>
      <x:c r="V170" s="161"/>
      <x:c r="W170" s="161"/>
      <x:c r="X170" s="161"/>
      <x:c r="Y170" s="161"/>
      <x:c r="Z170" s="161"/>
    </x:row>
    <x:row r="171">
      <x:c r="A171" s="161"/>
      <x:c r="B171" s="161"/>
      <x:c r="C171" s="161"/>
      <x:c r="D171" s="161"/>
      <x:c r="E171" s="161"/>
      <x:c r="F171" s="161"/>
      <x:c r="G171" s="161"/>
      <x:c r="H171" s="161"/>
      <x:c r="I171" s="161"/>
      <x:c r="J171" s="161"/>
      <x:c r="K171" s="161"/>
      <x:c r="L171" s="161"/>
      <x:c r="M171" s="161"/>
      <x:c r="N171" s="161"/>
      <x:c r="O171" s="161"/>
      <x:c r="P171" s="161"/>
      <x:c r="Q171" s="161"/>
      <x:c r="R171" s="161"/>
      <x:c r="S171" s="161"/>
      <x:c r="T171" s="161"/>
      <x:c r="U171" s="161"/>
      <x:c r="V171" s="161"/>
      <x:c r="W171" s="161"/>
      <x:c r="X171" s="161"/>
      <x:c r="Y171" s="161"/>
      <x:c r="Z171" s="161"/>
    </x:row>
    <x:row r="172">
      <x:c r="A172" s="161"/>
      <x:c r="B172" s="161"/>
      <x:c r="C172" s="161"/>
      <x:c r="D172" s="161"/>
      <x:c r="E172" s="161"/>
      <x:c r="F172" s="161"/>
      <x:c r="G172" s="161"/>
      <x:c r="H172" s="161"/>
      <x:c r="I172" s="161"/>
      <x:c r="J172" s="161"/>
      <x:c r="K172" s="161"/>
      <x:c r="L172" s="161"/>
      <x:c r="M172" s="161"/>
      <x:c r="N172" s="161"/>
      <x:c r="O172" s="161"/>
      <x:c r="P172" s="161"/>
      <x:c r="Q172" s="161"/>
      <x:c r="R172" s="161"/>
      <x:c r="S172" s="161"/>
      <x:c r="T172" s="161"/>
      <x:c r="U172" s="161"/>
      <x:c r="V172" s="161"/>
      <x:c r="W172" s="161"/>
      <x:c r="X172" s="161"/>
      <x:c r="Y172" s="161"/>
      <x:c r="Z172" s="161"/>
    </x:row>
    <x:row r="173">
      <x:c r="A173" s="161"/>
      <x:c r="B173" s="161"/>
      <x:c r="C173" s="161"/>
      <x:c r="D173" s="161"/>
      <x:c r="E173" s="161"/>
      <x:c r="F173" s="161"/>
      <x:c r="G173" s="161"/>
      <x:c r="H173" s="161"/>
      <x:c r="I173" s="161"/>
      <x:c r="J173" s="161"/>
      <x:c r="K173" s="161"/>
      <x:c r="L173" s="161"/>
      <x:c r="M173" s="161"/>
      <x:c r="N173" s="161"/>
      <x:c r="O173" s="161"/>
      <x:c r="P173" s="161"/>
      <x:c r="Q173" s="161"/>
      <x:c r="R173" s="161"/>
      <x:c r="S173" s="161"/>
      <x:c r="T173" s="161"/>
      <x:c r="U173" s="161"/>
      <x:c r="V173" s="161"/>
      <x:c r="W173" s="161"/>
      <x:c r="X173" s="161"/>
      <x:c r="Y173" s="161"/>
      <x:c r="Z173" s="161"/>
    </x:row>
    <x:row r="174">
      <x:c r="A174" s="161"/>
      <x:c r="B174" s="161"/>
      <x:c r="C174" s="161"/>
      <x:c r="D174" s="161"/>
      <x:c r="E174" s="161"/>
      <x:c r="F174" s="161"/>
      <x:c r="G174" s="161"/>
      <x:c r="H174" s="161"/>
      <x:c r="I174" s="161"/>
      <x:c r="J174" s="161"/>
      <x:c r="K174" s="161"/>
      <x:c r="L174" s="161"/>
      <x:c r="M174" s="161"/>
      <x:c r="N174" s="161"/>
      <x:c r="O174" s="161"/>
      <x:c r="P174" s="161"/>
      <x:c r="Q174" s="161"/>
      <x:c r="R174" s="161"/>
      <x:c r="S174" s="161"/>
      <x:c r="T174" s="161"/>
      <x:c r="U174" s="161"/>
      <x:c r="V174" s="161"/>
      <x:c r="W174" s="161"/>
      <x:c r="X174" s="161"/>
      <x:c r="Y174" s="161"/>
      <x:c r="Z174" s="161"/>
    </x:row>
    <x:row r="175">
      <x:c r="A175" s="161"/>
      <x:c r="B175" s="161"/>
      <x:c r="C175" s="161"/>
      <x:c r="D175" s="161"/>
      <x:c r="E175" s="161"/>
      <x:c r="F175" s="161"/>
      <x:c r="G175" s="161"/>
      <x:c r="H175" s="161"/>
      <x:c r="I175" s="161"/>
      <x:c r="J175" s="161"/>
      <x:c r="K175" s="161"/>
      <x:c r="L175" s="161"/>
      <x:c r="M175" s="161"/>
      <x:c r="N175" s="161"/>
      <x:c r="O175" s="161"/>
      <x:c r="P175" s="161"/>
      <x:c r="Q175" s="161"/>
      <x:c r="R175" s="161"/>
      <x:c r="S175" s="161"/>
      <x:c r="T175" s="161"/>
      <x:c r="U175" s="161"/>
      <x:c r="V175" s="161"/>
      <x:c r="W175" s="161"/>
      <x:c r="X175" s="161"/>
      <x:c r="Y175" s="161"/>
      <x:c r="Z175" s="161"/>
    </x:row>
    <x:row r="176">
      <x:c r="A176" s="161"/>
      <x:c r="B176" s="161"/>
      <x:c r="C176" s="161"/>
      <x:c r="D176" s="161"/>
      <x:c r="E176" s="161"/>
      <x:c r="F176" s="161"/>
      <x:c r="G176" s="161"/>
      <x:c r="H176" s="161"/>
      <x:c r="I176" s="161"/>
      <x:c r="J176" s="161"/>
      <x:c r="K176" s="161"/>
      <x:c r="L176" s="161"/>
      <x:c r="M176" s="161"/>
      <x:c r="N176" s="161"/>
      <x:c r="O176" s="161"/>
      <x:c r="P176" s="161"/>
      <x:c r="Q176" s="161"/>
      <x:c r="R176" s="161"/>
      <x:c r="S176" s="161"/>
      <x:c r="T176" s="161"/>
      <x:c r="U176" s="161"/>
      <x:c r="V176" s="161"/>
      <x:c r="W176" s="161"/>
      <x:c r="X176" s="161"/>
      <x:c r="Y176" s="161"/>
      <x:c r="Z176" s="161"/>
    </x:row>
    <x:row r="177">
      <x:c r="A177" s="161"/>
      <x:c r="B177" s="161"/>
      <x:c r="C177" s="161"/>
      <x:c r="D177" s="161"/>
      <x:c r="E177" s="161"/>
      <x:c r="F177" s="161"/>
      <x:c r="G177" s="161"/>
      <x:c r="H177" s="161"/>
      <x:c r="I177" s="161"/>
      <x:c r="J177" s="161"/>
      <x:c r="K177" s="161"/>
      <x:c r="L177" s="161"/>
      <x:c r="M177" s="161"/>
      <x:c r="N177" s="161"/>
      <x:c r="O177" s="161"/>
      <x:c r="P177" s="161"/>
      <x:c r="Q177" s="161"/>
      <x:c r="R177" s="161"/>
      <x:c r="S177" s="161"/>
      <x:c r="T177" s="161"/>
      <x:c r="U177" s="161"/>
      <x:c r="V177" s="161"/>
      <x:c r="W177" s="161"/>
      <x:c r="X177" s="161"/>
      <x:c r="Y177" s="161"/>
      <x:c r="Z177" s="161"/>
    </x:row>
    <x:row r="178">
      <x:c r="A178" s="161"/>
      <x:c r="B178" s="161"/>
      <x:c r="C178" s="161"/>
      <x:c r="D178" s="161"/>
      <x:c r="E178" s="161"/>
      <x:c r="F178" s="161"/>
      <x:c r="G178" s="161"/>
      <x:c r="H178" s="161"/>
      <x:c r="I178" s="161"/>
      <x:c r="J178" s="161"/>
      <x:c r="K178" s="161"/>
      <x:c r="L178" s="161"/>
      <x:c r="M178" s="161"/>
      <x:c r="N178" s="161"/>
      <x:c r="O178" s="161"/>
      <x:c r="P178" s="161"/>
      <x:c r="Q178" s="161"/>
      <x:c r="R178" s="161"/>
      <x:c r="S178" s="161"/>
      <x:c r="T178" s="161"/>
      <x:c r="U178" s="161"/>
      <x:c r="V178" s="161"/>
      <x:c r="W178" s="161"/>
      <x:c r="X178" s="161"/>
      <x:c r="Y178" s="161"/>
      <x:c r="Z178" s="161"/>
    </x:row>
    <x:row r="179">
      <x:c r="A179" s="161"/>
      <x:c r="B179" s="161"/>
      <x:c r="C179" s="161"/>
      <x:c r="D179" s="161"/>
      <x:c r="E179" s="161"/>
      <x:c r="F179" s="161"/>
      <x:c r="G179" s="161"/>
      <x:c r="H179" s="161"/>
      <x:c r="I179" s="161"/>
      <x:c r="J179" s="161"/>
      <x:c r="K179" s="161"/>
      <x:c r="L179" s="161"/>
      <x:c r="M179" s="161"/>
      <x:c r="N179" s="161"/>
      <x:c r="O179" s="161"/>
      <x:c r="P179" s="161"/>
      <x:c r="Q179" s="161"/>
      <x:c r="R179" s="161"/>
      <x:c r="S179" s="161"/>
      <x:c r="T179" s="161"/>
      <x:c r="U179" s="161"/>
      <x:c r="V179" s="161"/>
      <x:c r="W179" s="161"/>
      <x:c r="X179" s="161"/>
      <x:c r="Y179" s="161"/>
      <x:c r="Z179" s="161"/>
    </x:row>
    <x:row r="180">
      <x:c r="A180" s="161"/>
      <x:c r="B180" s="161"/>
      <x:c r="C180" s="161"/>
      <x:c r="D180" s="161"/>
      <x:c r="E180" s="161"/>
      <x:c r="F180" s="161"/>
      <x:c r="G180" s="161"/>
      <x:c r="H180" s="161"/>
      <x:c r="I180" s="161"/>
      <x:c r="J180" s="161"/>
      <x:c r="K180" s="161"/>
      <x:c r="L180" s="161"/>
      <x:c r="M180" s="161"/>
      <x:c r="N180" s="161"/>
      <x:c r="O180" s="161"/>
      <x:c r="P180" s="161"/>
      <x:c r="Q180" s="161"/>
      <x:c r="R180" s="161"/>
      <x:c r="S180" s="161"/>
      <x:c r="T180" s="161"/>
      <x:c r="U180" s="161"/>
      <x:c r="V180" s="161"/>
      <x:c r="W180" s="161"/>
      <x:c r="X180" s="161"/>
      <x:c r="Y180" s="161"/>
      <x:c r="Z180" s="161"/>
    </x:row>
    <x:row r="181">
      <x:c r="A181" s="161"/>
      <x:c r="B181" s="161"/>
      <x:c r="C181" s="161"/>
      <x:c r="D181" s="161"/>
      <x:c r="E181" s="161"/>
      <x:c r="F181" s="161"/>
      <x:c r="G181" s="161"/>
      <x:c r="H181" s="161"/>
      <x:c r="I181" s="161"/>
      <x:c r="J181" s="161"/>
      <x:c r="K181" s="161"/>
      <x:c r="L181" s="161"/>
      <x:c r="M181" s="161"/>
      <x:c r="N181" s="161"/>
      <x:c r="O181" s="161"/>
      <x:c r="P181" s="161"/>
      <x:c r="Q181" s="161"/>
      <x:c r="R181" s="161"/>
      <x:c r="S181" s="161"/>
      <x:c r="T181" s="161"/>
      <x:c r="U181" s="161"/>
      <x:c r="V181" s="161"/>
      <x:c r="W181" s="161"/>
      <x:c r="X181" s="161"/>
      <x:c r="Y181" s="161"/>
      <x:c r="Z181" s="161"/>
    </x:row>
    <x:row r="182">
      <x:c r="A182" s="161"/>
      <x:c r="B182" s="161"/>
      <x:c r="C182" s="161"/>
      <x:c r="D182" s="161"/>
      <x:c r="E182" s="161"/>
      <x:c r="F182" s="161"/>
      <x:c r="G182" s="161"/>
      <x:c r="H182" s="161"/>
      <x:c r="I182" s="161"/>
      <x:c r="J182" s="161"/>
      <x:c r="K182" s="161"/>
      <x:c r="L182" s="161"/>
      <x:c r="M182" s="161"/>
      <x:c r="N182" s="161"/>
      <x:c r="O182" s="161"/>
      <x:c r="P182" s="161"/>
      <x:c r="Q182" s="161"/>
      <x:c r="R182" s="161"/>
      <x:c r="S182" s="161"/>
      <x:c r="T182" s="161"/>
      <x:c r="U182" s="161"/>
      <x:c r="V182" s="161"/>
      <x:c r="W182" s="161"/>
      <x:c r="X182" s="161"/>
      <x:c r="Y182" s="161"/>
      <x:c r="Z182" s="161"/>
    </x:row>
    <x:row r="183">
      <x:c r="A183" s="161"/>
      <x:c r="B183" s="161"/>
      <x:c r="C183" s="161"/>
      <x:c r="D183" s="161"/>
      <x:c r="E183" s="161"/>
      <x:c r="F183" s="161"/>
      <x:c r="G183" s="161"/>
      <x:c r="H183" s="161"/>
      <x:c r="I183" s="161"/>
      <x:c r="J183" s="161"/>
      <x:c r="K183" s="161"/>
      <x:c r="L183" s="161"/>
      <x:c r="M183" s="161"/>
      <x:c r="N183" s="161"/>
      <x:c r="O183" s="161"/>
      <x:c r="P183" s="161"/>
      <x:c r="Q183" s="161"/>
      <x:c r="R183" s="161"/>
      <x:c r="S183" s="161"/>
      <x:c r="T183" s="161"/>
      <x:c r="U183" s="161"/>
      <x:c r="V183" s="161"/>
      <x:c r="W183" s="161"/>
      <x:c r="X183" s="161"/>
      <x:c r="Y183" s="161"/>
      <x:c r="Z183" s="161"/>
    </x:row>
    <x:row r="184">
      <x:c r="A184" s="161"/>
      <x:c r="B184" s="161"/>
      <x:c r="C184" s="161"/>
      <x:c r="D184" s="161"/>
      <x:c r="E184" s="161"/>
      <x:c r="F184" s="161"/>
      <x:c r="G184" s="161"/>
      <x:c r="H184" s="161"/>
      <x:c r="I184" s="161"/>
      <x:c r="J184" s="161"/>
      <x:c r="K184" s="161"/>
      <x:c r="L184" s="161"/>
      <x:c r="M184" s="161"/>
      <x:c r="N184" s="161"/>
      <x:c r="O184" s="161"/>
      <x:c r="P184" s="161"/>
      <x:c r="Q184" s="161"/>
      <x:c r="R184" s="161"/>
      <x:c r="S184" s="161"/>
      <x:c r="T184" s="161"/>
      <x:c r="U184" s="161"/>
      <x:c r="V184" s="161"/>
      <x:c r="W184" s="161"/>
      <x:c r="X184" s="161"/>
      <x:c r="Y184" s="161"/>
      <x:c r="Z184" s="161"/>
    </x:row>
    <x:row r="185">
      <x:c r="A185" s="161"/>
      <x:c r="B185" s="161"/>
      <x:c r="C185" s="161"/>
      <x:c r="D185" s="161"/>
      <x:c r="E185" s="161"/>
      <x:c r="F185" s="161"/>
      <x:c r="G185" s="161"/>
      <x:c r="H185" s="161"/>
      <x:c r="I185" s="161"/>
      <x:c r="J185" s="161"/>
      <x:c r="K185" s="161"/>
      <x:c r="L185" s="161"/>
      <x:c r="M185" s="161"/>
      <x:c r="N185" s="161"/>
      <x:c r="O185" s="161"/>
      <x:c r="P185" s="161"/>
      <x:c r="Q185" s="161"/>
      <x:c r="R185" s="161"/>
      <x:c r="S185" s="161"/>
      <x:c r="T185" s="161"/>
      <x:c r="U185" s="161"/>
      <x:c r="V185" s="161"/>
      <x:c r="W185" s="161"/>
      <x:c r="X185" s="161"/>
      <x:c r="Y185" s="161"/>
      <x:c r="Z185" s="161"/>
    </x:row>
    <x:row r="186">
      <x:c r="A186" s="161"/>
      <x:c r="B186" s="161"/>
      <x:c r="C186" s="161"/>
      <x:c r="D186" s="161"/>
      <x:c r="E186" s="161"/>
      <x:c r="F186" s="161"/>
      <x:c r="G186" s="161"/>
      <x:c r="H186" s="161"/>
      <x:c r="I186" s="161"/>
      <x:c r="J186" s="161"/>
      <x:c r="K186" s="161"/>
      <x:c r="L186" s="161"/>
      <x:c r="M186" s="161"/>
      <x:c r="N186" s="161"/>
      <x:c r="O186" s="161"/>
      <x:c r="P186" s="161"/>
      <x:c r="Q186" s="161"/>
      <x:c r="R186" s="161"/>
      <x:c r="S186" s="161"/>
      <x:c r="T186" s="161"/>
      <x:c r="U186" s="161"/>
      <x:c r="V186" s="161"/>
      <x:c r="W186" s="161"/>
      <x:c r="X186" s="161"/>
      <x:c r="Y186" s="161"/>
      <x:c r="Z186" s="161"/>
    </x:row>
    <x:row r="187">
      <x:c r="A187" s="161"/>
      <x:c r="B187" s="161"/>
      <x:c r="C187" s="161"/>
      <x:c r="D187" s="161"/>
      <x:c r="E187" s="161"/>
      <x:c r="F187" s="161"/>
      <x:c r="G187" s="161"/>
      <x:c r="H187" s="161"/>
      <x:c r="I187" s="161"/>
      <x:c r="J187" s="161"/>
      <x:c r="K187" s="161"/>
      <x:c r="L187" s="161"/>
      <x:c r="M187" s="161"/>
      <x:c r="N187" s="161"/>
      <x:c r="O187" s="161"/>
      <x:c r="P187" s="161"/>
      <x:c r="Q187" s="161"/>
      <x:c r="R187" s="161"/>
      <x:c r="S187" s="161"/>
      <x:c r="T187" s="161"/>
      <x:c r="U187" s="161"/>
      <x:c r="V187" s="161"/>
      <x:c r="W187" s="161"/>
      <x:c r="X187" s="161"/>
      <x:c r="Y187" s="161"/>
      <x:c r="Z187" s="161"/>
    </x:row>
    <x:row r="188">
      <x:c r="A188" s="161"/>
      <x:c r="B188" s="161"/>
      <x:c r="C188" s="161"/>
      <x:c r="D188" s="161"/>
      <x:c r="E188" s="161"/>
      <x:c r="F188" s="161"/>
      <x:c r="G188" s="161"/>
      <x:c r="H188" s="161"/>
      <x:c r="I188" s="161"/>
      <x:c r="J188" s="161"/>
      <x:c r="K188" s="161"/>
      <x:c r="L188" s="161"/>
      <x:c r="M188" s="161"/>
      <x:c r="N188" s="161"/>
      <x:c r="O188" s="161"/>
      <x:c r="P188" s="161"/>
      <x:c r="Q188" s="161"/>
      <x:c r="R188" s="161"/>
      <x:c r="S188" s="161"/>
      <x:c r="T188" s="161"/>
      <x:c r="U188" s="161"/>
      <x:c r="V188" s="161"/>
      <x:c r="W188" s="161"/>
      <x:c r="X188" s="161"/>
      <x:c r="Y188" s="161"/>
      <x:c r="Z188" s="161"/>
    </x:row>
    <x:row r="189">
      <x:c r="A189" s="161"/>
      <x:c r="B189" s="161"/>
      <x:c r="C189" s="161"/>
      <x:c r="D189" s="161"/>
      <x:c r="E189" s="161"/>
      <x:c r="F189" s="161"/>
      <x:c r="G189" s="161"/>
      <x:c r="H189" s="161"/>
      <x:c r="I189" s="161"/>
      <x:c r="J189" s="161"/>
      <x:c r="K189" s="161"/>
      <x:c r="L189" s="161"/>
      <x:c r="M189" s="161"/>
      <x:c r="N189" s="161"/>
      <x:c r="O189" s="161"/>
      <x:c r="P189" s="161"/>
      <x:c r="Q189" s="161"/>
      <x:c r="R189" s="161"/>
      <x:c r="S189" s="161"/>
      <x:c r="T189" s="161"/>
      <x:c r="U189" s="161"/>
      <x:c r="V189" s="161"/>
      <x:c r="W189" s="161"/>
      <x:c r="X189" s="161"/>
      <x:c r="Y189" s="161"/>
      <x:c r="Z189" s="161"/>
    </x:row>
    <x:row r="190">
      <x:c r="A190" s="161"/>
      <x:c r="B190" s="161"/>
      <x:c r="C190" s="161"/>
      <x:c r="D190" s="161"/>
      <x:c r="E190" s="161"/>
      <x:c r="F190" s="161"/>
      <x:c r="G190" s="161"/>
      <x:c r="H190" s="161"/>
      <x:c r="I190" s="161"/>
      <x:c r="J190" s="161"/>
      <x:c r="K190" s="161"/>
      <x:c r="L190" s="161"/>
      <x:c r="M190" s="161"/>
      <x:c r="N190" s="161"/>
      <x:c r="O190" s="161"/>
      <x:c r="P190" s="161"/>
      <x:c r="Q190" s="161"/>
      <x:c r="R190" s="161"/>
      <x:c r="S190" s="161"/>
      <x:c r="T190" s="161"/>
      <x:c r="U190" s="161"/>
      <x:c r="V190" s="161"/>
      <x:c r="W190" s="161"/>
      <x:c r="X190" s="161"/>
      <x:c r="Y190" s="161"/>
      <x:c r="Z190" s="161"/>
    </x:row>
    <x:row r="191">
      <x:c r="A191" s="161"/>
      <x:c r="B191" s="161"/>
      <x:c r="C191" s="161"/>
      <x:c r="D191" s="161"/>
      <x:c r="E191" s="161"/>
      <x:c r="F191" s="161"/>
      <x:c r="G191" s="161"/>
      <x:c r="H191" s="161"/>
      <x:c r="I191" s="161"/>
      <x:c r="J191" s="161"/>
      <x:c r="K191" s="161"/>
      <x:c r="L191" s="161"/>
      <x:c r="M191" s="161"/>
      <x:c r="N191" s="161"/>
      <x:c r="O191" s="161"/>
      <x:c r="P191" s="161"/>
      <x:c r="Q191" s="161"/>
      <x:c r="R191" s="161"/>
      <x:c r="S191" s="161"/>
      <x:c r="T191" s="161"/>
      <x:c r="U191" s="161"/>
      <x:c r="V191" s="161"/>
      <x:c r="W191" s="161"/>
      <x:c r="X191" s="161"/>
      <x:c r="Y191" s="161"/>
      <x:c r="Z191" s="161"/>
    </x:row>
    <x:row r="192">
      <x:c r="A192" s="161"/>
      <x:c r="B192" s="161"/>
      <x:c r="C192" s="161"/>
      <x:c r="D192" s="161"/>
      <x:c r="E192" s="161"/>
      <x:c r="F192" s="161"/>
      <x:c r="G192" s="161"/>
      <x:c r="H192" s="161"/>
      <x:c r="I192" s="161"/>
      <x:c r="J192" s="161"/>
      <x:c r="K192" s="161"/>
      <x:c r="L192" s="161"/>
      <x:c r="M192" s="161"/>
      <x:c r="N192" s="161"/>
      <x:c r="O192" s="161"/>
      <x:c r="P192" s="161"/>
      <x:c r="Q192" s="161"/>
      <x:c r="R192" s="161"/>
      <x:c r="S192" s="161"/>
      <x:c r="T192" s="161"/>
      <x:c r="U192" s="161"/>
      <x:c r="V192" s="161"/>
      <x:c r="W192" s="161"/>
      <x:c r="X192" s="161"/>
      <x:c r="Y192" s="161"/>
      <x:c r="Z192" s="161"/>
    </x:row>
    <x:row r="193">
      <x:c r="A193" s="161"/>
      <x:c r="B193" s="161"/>
      <x:c r="C193" s="161"/>
      <x:c r="D193" s="161"/>
      <x:c r="E193" s="161"/>
      <x:c r="F193" s="161"/>
      <x:c r="G193" s="161"/>
      <x:c r="H193" s="161"/>
      <x:c r="I193" s="161"/>
      <x:c r="J193" s="161"/>
      <x:c r="K193" s="161"/>
      <x:c r="L193" s="161"/>
      <x:c r="M193" s="161"/>
      <x:c r="N193" s="161"/>
      <x:c r="O193" s="161"/>
      <x:c r="P193" s="161"/>
      <x:c r="Q193" s="161"/>
      <x:c r="R193" s="161"/>
      <x:c r="S193" s="161"/>
      <x:c r="T193" s="161"/>
      <x:c r="U193" s="161"/>
      <x:c r="V193" s="161"/>
      <x:c r="W193" s="161"/>
      <x:c r="X193" s="161"/>
      <x:c r="Y193" s="161"/>
      <x:c r="Z193" s="161"/>
    </x:row>
    <x:row r="194">
      <x:c r="A194" s="161"/>
      <x:c r="B194" s="161"/>
      <x:c r="C194" s="161"/>
      <x:c r="D194" s="161"/>
      <x:c r="E194" s="161"/>
      <x:c r="F194" s="161"/>
      <x:c r="G194" s="161"/>
      <x:c r="H194" s="161"/>
      <x:c r="I194" s="161"/>
      <x:c r="J194" s="161"/>
      <x:c r="K194" s="161"/>
      <x:c r="L194" s="161"/>
      <x:c r="M194" s="161"/>
      <x:c r="N194" s="161"/>
      <x:c r="O194" s="161"/>
      <x:c r="P194" s="161"/>
      <x:c r="Q194" s="161"/>
      <x:c r="R194" s="161"/>
      <x:c r="S194" s="161"/>
      <x:c r="T194" s="161"/>
      <x:c r="U194" s="161"/>
      <x:c r="V194" s="161"/>
      <x:c r="W194" s="161"/>
      <x:c r="X194" s="161"/>
      <x:c r="Y194" s="161"/>
      <x:c r="Z194" s="161"/>
    </x:row>
    <x:row r="195">
      <x:c r="A195" s="161"/>
      <x:c r="B195" s="161"/>
      <x:c r="C195" s="161"/>
      <x:c r="D195" s="161"/>
      <x:c r="E195" s="161"/>
      <x:c r="F195" s="161"/>
      <x:c r="G195" s="161"/>
      <x:c r="H195" s="161"/>
      <x:c r="I195" s="161"/>
      <x:c r="J195" s="161"/>
      <x:c r="K195" s="161"/>
      <x:c r="L195" s="161"/>
      <x:c r="M195" s="161"/>
      <x:c r="N195" s="161"/>
      <x:c r="O195" s="161"/>
      <x:c r="P195" s="161"/>
      <x:c r="Q195" s="161"/>
      <x:c r="R195" s="161"/>
      <x:c r="S195" s="161"/>
      <x:c r="T195" s="161"/>
      <x:c r="U195" s="161"/>
      <x:c r="V195" s="161"/>
      <x:c r="W195" s="161"/>
      <x:c r="X195" s="161"/>
      <x:c r="Y195" s="161"/>
      <x:c r="Z195" s="161"/>
    </x:row>
    <x:row r="196">
      <x:c r="A196" s="161"/>
      <x:c r="B196" s="161"/>
      <x:c r="C196" s="161"/>
      <x:c r="D196" s="161"/>
      <x:c r="E196" s="161"/>
      <x:c r="F196" s="161"/>
      <x:c r="G196" s="161"/>
      <x:c r="H196" s="161"/>
      <x:c r="I196" s="161"/>
      <x:c r="J196" s="161"/>
      <x:c r="K196" s="161"/>
      <x:c r="L196" s="161"/>
      <x:c r="M196" s="161"/>
      <x:c r="N196" s="161"/>
      <x:c r="O196" s="161"/>
      <x:c r="P196" s="161"/>
      <x:c r="Q196" s="161"/>
      <x:c r="R196" s="161"/>
      <x:c r="S196" s="161"/>
      <x:c r="T196" s="161"/>
      <x:c r="U196" s="161"/>
      <x:c r="V196" s="161"/>
      <x:c r="W196" s="161"/>
      <x:c r="X196" s="161"/>
      <x:c r="Y196" s="161"/>
      <x:c r="Z196" s="161"/>
    </x:row>
    <x:row r="197">
      <x:c r="A197" s="161"/>
      <x:c r="B197" s="161"/>
      <x:c r="C197" s="161"/>
      <x:c r="D197" s="161"/>
      <x:c r="E197" s="161"/>
      <x:c r="F197" s="161"/>
      <x:c r="G197" s="161"/>
      <x:c r="H197" s="161"/>
      <x:c r="I197" s="161"/>
      <x:c r="J197" s="161"/>
      <x:c r="K197" s="161"/>
      <x:c r="L197" s="161"/>
      <x:c r="M197" s="161"/>
      <x:c r="N197" s="161"/>
      <x:c r="O197" s="161"/>
      <x:c r="P197" s="161"/>
      <x:c r="Q197" s="161"/>
      <x:c r="R197" s="161"/>
      <x:c r="S197" s="161"/>
      <x:c r="T197" s="161"/>
      <x:c r="U197" s="161"/>
      <x:c r="V197" s="161"/>
      <x:c r="W197" s="161"/>
      <x:c r="X197" s="161"/>
      <x:c r="Y197" s="161"/>
      <x:c r="Z197" s="161"/>
    </x:row>
    <x:row r="198">
      <x:c r="A198" s="161"/>
      <x:c r="B198" s="161"/>
      <x:c r="C198" s="161"/>
      <x:c r="D198" s="161"/>
      <x:c r="E198" s="161"/>
      <x:c r="F198" s="161"/>
      <x:c r="G198" s="161"/>
      <x:c r="H198" s="161"/>
      <x:c r="I198" s="161"/>
      <x:c r="J198" s="161"/>
      <x:c r="K198" s="161"/>
      <x:c r="L198" s="161"/>
      <x:c r="M198" s="161"/>
      <x:c r="N198" s="161"/>
      <x:c r="O198" s="161"/>
      <x:c r="P198" s="161"/>
      <x:c r="Q198" s="161"/>
      <x:c r="R198" s="161"/>
      <x:c r="S198" s="161"/>
      <x:c r="T198" s="161"/>
      <x:c r="U198" s="161"/>
      <x:c r="V198" s="161"/>
      <x:c r="W198" s="161"/>
      <x:c r="X198" s="161"/>
      <x:c r="Y198" s="161"/>
      <x:c r="Z198" s="161"/>
    </x:row>
    <x:row r="199">
      <x:c r="A199" s="161"/>
      <x:c r="B199" s="161"/>
      <x:c r="C199" s="161"/>
      <x:c r="D199" s="161"/>
      <x:c r="E199" s="161"/>
      <x:c r="F199" s="161"/>
      <x:c r="G199" s="161"/>
      <x:c r="H199" s="161"/>
      <x:c r="I199" s="161"/>
      <x:c r="J199" s="161"/>
      <x:c r="K199" s="161"/>
      <x:c r="L199" s="161"/>
      <x:c r="M199" s="161"/>
      <x:c r="N199" s="161"/>
      <x:c r="O199" s="161"/>
      <x:c r="P199" s="161"/>
      <x:c r="Q199" s="161"/>
      <x:c r="R199" s="161"/>
      <x:c r="S199" s="161"/>
      <x:c r="T199" s="161"/>
      <x:c r="U199" s="161"/>
      <x:c r="V199" s="161"/>
      <x:c r="W199" s="161"/>
      <x:c r="X199" s="161"/>
      <x:c r="Y199" s="161"/>
      <x:c r="Z199" s="161"/>
    </x:row>
    <x:row r="200">
      <x:c r="A200" s="161"/>
      <x:c r="B200" s="161"/>
      <x:c r="C200" s="161"/>
      <x:c r="D200" s="161"/>
      <x:c r="E200" s="161"/>
      <x:c r="F200" s="161"/>
      <x:c r="G200" s="161"/>
      <x:c r="H200" s="161"/>
      <x:c r="I200" s="161"/>
      <x:c r="J200" s="161"/>
      <x:c r="K200" s="161"/>
      <x:c r="L200" s="161"/>
      <x:c r="M200" s="161"/>
      <x:c r="N200" s="161"/>
      <x:c r="O200" s="161"/>
      <x:c r="P200" s="161"/>
      <x:c r="Q200" s="161"/>
      <x:c r="R200" s="161"/>
      <x:c r="S200" s="161"/>
      <x:c r="T200" s="161"/>
      <x:c r="U200" s="161"/>
      <x:c r="V200" s="161"/>
      <x:c r="W200" s="161"/>
      <x:c r="X200" s="161"/>
      <x:c r="Y200" s="161"/>
      <x:c r="Z200" s="161"/>
    </x:row>
    <x:row r="201">
      <x:c r="A201" s="161"/>
      <x:c r="B201" s="161"/>
      <x:c r="C201" s="161"/>
      <x:c r="D201" s="161"/>
      <x:c r="E201" s="161"/>
      <x:c r="F201" s="161"/>
      <x:c r="G201" s="161"/>
      <x:c r="H201" s="161"/>
      <x:c r="I201" s="161"/>
      <x:c r="J201" s="161"/>
      <x:c r="K201" s="161"/>
      <x:c r="L201" s="161"/>
      <x:c r="M201" s="161"/>
      <x:c r="N201" s="161"/>
      <x:c r="O201" s="161"/>
      <x:c r="P201" s="161"/>
      <x:c r="Q201" s="161"/>
      <x:c r="R201" s="161"/>
      <x:c r="S201" s="161"/>
      <x:c r="T201" s="161"/>
      <x:c r="U201" s="161"/>
      <x:c r="V201" s="161"/>
      <x:c r="W201" s="161"/>
      <x:c r="X201" s="161"/>
      <x:c r="Y201" s="161"/>
      <x:c r="Z201" s="161"/>
    </x:row>
    <x:row r="202">
      <x:c r="A202" s="161"/>
      <x:c r="B202" s="161"/>
      <x:c r="C202" s="161"/>
      <x:c r="D202" s="161"/>
      <x:c r="E202" s="161"/>
      <x:c r="F202" s="161"/>
      <x:c r="G202" s="161"/>
      <x:c r="H202" s="161"/>
      <x:c r="I202" s="161"/>
      <x:c r="J202" s="161"/>
      <x:c r="K202" s="161"/>
      <x:c r="L202" s="161"/>
      <x:c r="M202" s="161"/>
      <x:c r="N202" s="161"/>
      <x:c r="O202" s="161"/>
      <x:c r="P202" s="161"/>
      <x:c r="Q202" s="161"/>
      <x:c r="R202" s="161"/>
      <x:c r="S202" s="161"/>
      <x:c r="T202" s="161"/>
      <x:c r="U202" s="161"/>
      <x:c r="V202" s="161"/>
      <x:c r="W202" s="161"/>
      <x:c r="X202" s="161"/>
      <x:c r="Y202" s="161"/>
      <x:c r="Z202" s="161"/>
    </x:row>
    <x:row r="203">
      <x:c r="A203" s="161"/>
      <x:c r="B203" s="161"/>
      <x:c r="C203" s="161"/>
      <x:c r="D203" s="161"/>
      <x:c r="E203" s="161"/>
      <x:c r="F203" s="161"/>
      <x:c r="G203" s="161"/>
      <x:c r="H203" s="161"/>
      <x:c r="I203" s="161"/>
      <x:c r="J203" s="161"/>
      <x:c r="K203" s="161"/>
      <x:c r="L203" s="161"/>
      <x:c r="M203" s="161"/>
      <x:c r="N203" s="161"/>
      <x:c r="O203" s="161"/>
      <x:c r="P203" s="161"/>
      <x:c r="Q203" s="161"/>
      <x:c r="R203" s="161"/>
      <x:c r="S203" s="161"/>
      <x:c r="T203" s="161"/>
      <x:c r="U203" s="161"/>
      <x:c r="V203" s="161"/>
      <x:c r="W203" s="161"/>
      <x:c r="X203" s="161"/>
      <x:c r="Y203" s="161"/>
      <x:c r="Z203" s="161"/>
    </x:row>
    <x:row r="204">
      <x:c r="A204" s="161"/>
      <x:c r="B204" s="161"/>
      <x:c r="C204" s="161"/>
      <x:c r="D204" s="161"/>
      <x:c r="E204" s="161"/>
      <x:c r="F204" s="161"/>
      <x:c r="G204" s="161"/>
      <x:c r="H204" s="161"/>
      <x:c r="I204" s="161"/>
      <x:c r="J204" s="161"/>
      <x:c r="K204" s="161"/>
      <x:c r="L204" s="161"/>
      <x:c r="M204" s="161"/>
      <x:c r="N204" s="161"/>
      <x:c r="O204" s="161"/>
      <x:c r="P204" s="161"/>
      <x:c r="Q204" s="161"/>
      <x:c r="R204" s="161"/>
      <x:c r="S204" s="161"/>
      <x:c r="T204" s="161"/>
      <x:c r="U204" s="161"/>
      <x:c r="V204" s="161"/>
      <x:c r="W204" s="161"/>
      <x:c r="X204" s="161"/>
      <x:c r="Y204" s="161"/>
      <x:c r="Z204" s="161"/>
    </x:row>
    <x:row r="205">
      <x:c r="A205" s="161"/>
      <x:c r="B205" s="161"/>
      <x:c r="C205" s="161"/>
      <x:c r="D205" s="161"/>
      <x:c r="E205" s="161"/>
      <x:c r="F205" s="161"/>
      <x:c r="G205" s="161"/>
      <x:c r="H205" s="161"/>
      <x:c r="I205" s="161"/>
      <x:c r="J205" s="161"/>
      <x:c r="K205" s="161"/>
      <x:c r="L205" s="161"/>
      <x:c r="M205" s="161"/>
      <x:c r="N205" s="161"/>
      <x:c r="O205" s="161"/>
      <x:c r="P205" s="161"/>
      <x:c r="Q205" s="161"/>
      <x:c r="R205" s="161"/>
      <x:c r="S205" s="161"/>
      <x:c r="T205" s="161"/>
      <x:c r="U205" s="161"/>
      <x:c r="V205" s="161"/>
      <x:c r="W205" s="161"/>
      <x:c r="X205" s="161"/>
      <x:c r="Y205" s="161"/>
      <x:c r="Z205" s="161"/>
    </x:row>
    <x:row r="206">
      <x:c r="A206" s="161"/>
      <x:c r="B206" s="161"/>
      <x:c r="C206" s="161"/>
      <x:c r="D206" s="161"/>
      <x:c r="E206" s="161"/>
      <x:c r="F206" s="161"/>
      <x:c r="G206" s="161"/>
      <x:c r="H206" s="161"/>
      <x:c r="I206" s="161"/>
      <x:c r="J206" s="161"/>
      <x:c r="K206" s="161"/>
      <x:c r="L206" s="161"/>
      <x:c r="M206" s="161"/>
      <x:c r="N206" s="161"/>
      <x:c r="O206" s="161"/>
      <x:c r="P206" s="161"/>
      <x:c r="Q206" s="161"/>
      <x:c r="R206" s="161"/>
      <x:c r="S206" s="161"/>
      <x:c r="T206" s="161"/>
      <x:c r="U206" s="161"/>
      <x:c r="V206" s="161"/>
      <x:c r="W206" s="161"/>
      <x:c r="X206" s="161"/>
      <x:c r="Y206" s="161"/>
      <x:c r="Z206" s="161"/>
    </x:row>
    <x:row r="207">
      <x:c r="A207" s="161"/>
      <x:c r="B207" s="161"/>
      <x:c r="C207" s="161"/>
      <x:c r="D207" s="161"/>
      <x:c r="E207" s="161"/>
      <x:c r="F207" s="161"/>
      <x:c r="G207" s="161"/>
      <x:c r="H207" s="161"/>
      <x:c r="I207" s="161"/>
      <x:c r="J207" s="161"/>
      <x:c r="K207" s="161"/>
      <x:c r="L207" s="161"/>
      <x:c r="M207" s="161"/>
      <x:c r="N207" s="161"/>
      <x:c r="O207" s="161"/>
      <x:c r="P207" s="161"/>
      <x:c r="Q207" s="161"/>
      <x:c r="R207" s="161"/>
      <x:c r="S207" s="161"/>
      <x:c r="T207" s="161"/>
      <x:c r="U207" s="161"/>
      <x:c r="V207" s="161"/>
      <x:c r="W207" s="161"/>
      <x:c r="X207" s="161"/>
      <x:c r="Y207" s="161"/>
      <x:c r="Z207" s="161"/>
    </x:row>
    <x:row r="208">
      <x:c r="A208" s="161"/>
      <x:c r="B208" s="161"/>
      <x:c r="C208" s="161"/>
      <x:c r="D208" s="161"/>
      <x:c r="E208" s="161"/>
      <x:c r="F208" s="161"/>
      <x:c r="G208" s="161"/>
      <x:c r="H208" s="161"/>
      <x:c r="I208" s="161"/>
      <x:c r="J208" s="161"/>
      <x:c r="K208" s="161"/>
      <x:c r="L208" s="161"/>
      <x:c r="M208" s="161"/>
      <x:c r="N208" s="161"/>
      <x:c r="O208" s="161"/>
      <x:c r="P208" s="161"/>
      <x:c r="Q208" s="161"/>
      <x:c r="R208" s="161"/>
      <x:c r="S208" s="161"/>
      <x:c r="T208" s="161"/>
      <x:c r="U208" s="161"/>
      <x:c r="V208" s="161"/>
      <x:c r="W208" s="161"/>
      <x:c r="X208" s="161"/>
      <x:c r="Y208" s="161"/>
      <x:c r="Z208" s="161"/>
    </x:row>
    <x:row r="209">
      <x:c r="A209" s="161"/>
      <x:c r="B209" s="161"/>
      <x:c r="C209" s="161"/>
      <x:c r="D209" s="161"/>
      <x:c r="E209" s="161"/>
      <x:c r="F209" s="161"/>
      <x:c r="G209" s="161"/>
      <x:c r="H209" s="161"/>
      <x:c r="I209" s="161"/>
      <x:c r="J209" s="161"/>
      <x:c r="K209" s="161"/>
      <x:c r="L209" s="161"/>
      <x:c r="M209" s="161"/>
      <x:c r="N209" s="161"/>
      <x:c r="O209" s="161"/>
      <x:c r="P209" s="161"/>
      <x:c r="Q209" s="161"/>
      <x:c r="R209" s="161"/>
      <x:c r="S209" s="161"/>
      <x:c r="T209" s="161"/>
      <x:c r="U209" s="161"/>
      <x:c r="V209" s="161"/>
      <x:c r="W209" s="161"/>
      <x:c r="X209" s="161"/>
      <x:c r="Y209" s="161"/>
      <x:c r="Z209" s="161"/>
    </x:row>
    <x:row r="210">
      <x:c r="A210" s="161"/>
      <x:c r="B210" s="161"/>
      <x:c r="C210" s="161"/>
      <x:c r="D210" s="161"/>
      <x:c r="E210" s="161"/>
      <x:c r="F210" s="161"/>
      <x:c r="G210" s="161"/>
      <x:c r="H210" s="161"/>
      <x:c r="I210" s="161"/>
      <x:c r="J210" s="161"/>
      <x:c r="K210" s="161"/>
      <x:c r="L210" s="161"/>
      <x:c r="M210" s="161"/>
      <x:c r="N210" s="161"/>
      <x:c r="O210" s="161"/>
      <x:c r="P210" s="161"/>
      <x:c r="Q210" s="161"/>
      <x:c r="R210" s="161"/>
      <x:c r="S210" s="161"/>
      <x:c r="T210" s="161"/>
      <x:c r="U210" s="161"/>
      <x:c r="V210" s="161"/>
      <x:c r="W210" s="161"/>
      <x:c r="X210" s="161"/>
      <x:c r="Y210" s="161"/>
      <x:c r="Z210" s="161"/>
    </x:row>
    <x:row r="211">
      <x:c r="A211" s="161"/>
      <x:c r="B211" s="161"/>
      <x:c r="C211" s="161"/>
      <x:c r="D211" s="161"/>
      <x:c r="E211" s="161"/>
      <x:c r="F211" s="161"/>
      <x:c r="G211" s="161"/>
      <x:c r="H211" s="161"/>
      <x:c r="I211" s="161"/>
      <x:c r="J211" s="161"/>
      <x:c r="K211" s="161"/>
      <x:c r="L211" s="161"/>
      <x:c r="M211" s="161"/>
      <x:c r="N211" s="161"/>
      <x:c r="O211" s="161"/>
      <x:c r="P211" s="161"/>
      <x:c r="Q211" s="161"/>
      <x:c r="R211" s="161"/>
      <x:c r="S211" s="161"/>
      <x:c r="T211" s="161"/>
      <x:c r="U211" s="161"/>
      <x:c r="V211" s="161"/>
      <x:c r="W211" s="161"/>
      <x:c r="X211" s="161"/>
      <x:c r="Y211" s="161"/>
      <x:c r="Z211" s="161"/>
    </x:row>
    <x:row r="212">
      <x:c r="A212" s="161"/>
      <x:c r="B212" s="161"/>
      <x:c r="C212" s="161"/>
      <x:c r="D212" s="161"/>
      <x:c r="E212" s="161"/>
      <x:c r="F212" s="161"/>
      <x:c r="G212" s="161"/>
      <x:c r="H212" s="161"/>
      <x:c r="I212" s="161"/>
      <x:c r="J212" s="161"/>
      <x:c r="K212" s="161"/>
      <x:c r="L212" s="161"/>
      <x:c r="M212" s="161"/>
      <x:c r="N212" s="161"/>
      <x:c r="O212" s="161"/>
      <x:c r="P212" s="161"/>
      <x:c r="Q212" s="161"/>
      <x:c r="R212" s="161"/>
      <x:c r="S212" s="161"/>
      <x:c r="T212" s="161"/>
      <x:c r="U212" s="161"/>
      <x:c r="V212" s="161"/>
      <x:c r="W212" s="161"/>
      <x:c r="X212" s="161"/>
      <x:c r="Y212" s="161"/>
      <x:c r="Z212" s="161"/>
    </x:row>
    <x:row r="213">
      <x:c r="A213" s="161"/>
      <x:c r="B213" s="161"/>
      <x:c r="C213" s="161"/>
      <x:c r="D213" s="161"/>
      <x:c r="E213" s="161"/>
      <x:c r="F213" s="161"/>
      <x:c r="G213" s="161"/>
      <x:c r="H213" s="161"/>
      <x:c r="I213" s="161"/>
      <x:c r="J213" s="161"/>
      <x:c r="K213" s="161"/>
      <x:c r="L213" s="161"/>
      <x:c r="M213" s="161"/>
      <x:c r="N213" s="161"/>
      <x:c r="O213" s="161"/>
      <x:c r="P213" s="161"/>
      <x:c r="Q213" s="161"/>
      <x:c r="R213" s="161"/>
      <x:c r="S213" s="161"/>
      <x:c r="T213" s="161"/>
      <x:c r="U213" s="161"/>
      <x:c r="V213" s="161"/>
      <x:c r="W213" s="161"/>
      <x:c r="X213" s="161"/>
      <x:c r="Y213" s="161"/>
      <x:c r="Z213" s="161"/>
    </x:row>
    <x:row r="214">
      <x:c r="A214" s="161"/>
      <x:c r="B214" s="161"/>
      <x:c r="C214" s="161"/>
      <x:c r="D214" s="161"/>
      <x:c r="E214" s="161"/>
      <x:c r="F214" s="161"/>
      <x:c r="G214" s="161"/>
      <x:c r="H214" s="161"/>
      <x:c r="I214" s="161"/>
      <x:c r="J214" s="161"/>
      <x:c r="K214" s="161"/>
      <x:c r="L214" s="161"/>
      <x:c r="M214" s="161"/>
      <x:c r="N214" s="161"/>
      <x:c r="O214" s="161"/>
      <x:c r="P214" s="161"/>
      <x:c r="Q214" s="161"/>
      <x:c r="R214" s="161"/>
      <x:c r="S214" s="161"/>
      <x:c r="T214" s="161"/>
      <x:c r="U214" s="161"/>
      <x:c r="V214" s="161"/>
      <x:c r="W214" s="161"/>
      <x:c r="X214" s="161"/>
      <x:c r="Y214" s="161"/>
      <x:c r="Z214" s="161"/>
    </x:row>
    <x:row r="215">
      <x:c r="A215" s="161"/>
      <x:c r="B215" s="161"/>
      <x:c r="C215" s="161"/>
      <x:c r="D215" s="161"/>
      <x:c r="E215" s="161"/>
      <x:c r="F215" s="161"/>
      <x:c r="G215" s="161"/>
      <x:c r="H215" s="161"/>
      <x:c r="I215" s="161"/>
      <x:c r="J215" s="161"/>
      <x:c r="K215" s="161"/>
      <x:c r="L215" s="161"/>
      <x:c r="M215" s="161"/>
      <x:c r="N215" s="161"/>
      <x:c r="O215" s="161"/>
      <x:c r="P215" s="161"/>
      <x:c r="Q215" s="161"/>
      <x:c r="R215" s="161"/>
      <x:c r="S215" s="161"/>
      <x:c r="T215" s="161"/>
      <x:c r="U215" s="161"/>
      <x:c r="V215" s="161"/>
      <x:c r="W215" s="161"/>
      <x:c r="X215" s="161"/>
      <x:c r="Y215" s="161"/>
      <x:c r="Z215" s="161"/>
    </x:row>
    <x:row r="216">
      <x:c r="A216" s="161"/>
      <x:c r="B216" s="161"/>
      <x:c r="C216" s="161"/>
      <x:c r="D216" s="161"/>
      <x:c r="E216" s="161"/>
      <x:c r="F216" s="161"/>
      <x:c r="G216" s="161"/>
      <x:c r="H216" s="161"/>
      <x:c r="I216" s="161"/>
      <x:c r="J216" s="161"/>
      <x:c r="K216" s="161"/>
      <x:c r="L216" s="161"/>
      <x:c r="M216" s="161"/>
      <x:c r="N216" s="161"/>
      <x:c r="O216" s="161"/>
      <x:c r="P216" s="161"/>
      <x:c r="Q216" s="161"/>
      <x:c r="R216" s="161"/>
      <x:c r="S216" s="161"/>
      <x:c r="T216" s="161"/>
      <x:c r="U216" s="161"/>
      <x:c r="V216" s="161"/>
      <x:c r="W216" s="161"/>
      <x:c r="X216" s="161"/>
      <x:c r="Y216" s="161"/>
      <x:c r="Z216" s="161"/>
    </x:row>
    <x:row r="217">
      <x:c r="A217" s="161"/>
      <x:c r="B217" s="161"/>
      <x:c r="C217" s="161"/>
      <x:c r="D217" s="161"/>
      <x:c r="E217" s="161"/>
      <x:c r="F217" s="161"/>
      <x:c r="G217" s="161"/>
      <x:c r="H217" s="161"/>
      <x:c r="I217" s="161"/>
      <x:c r="J217" s="161"/>
      <x:c r="K217" s="161"/>
      <x:c r="L217" s="161"/>
      <x:c r="M217" s="161"/>
      <x:c r="N217" s="161"/>
      <x:c r="O217" s="161"/>
      <x:c r="P217" s="161"/>
      <x:c r="Q217" s="161"/>
      <x:c r="R217" s="161"/>
      <x:c r="S217" s="161"/>
      <x:c r="T217" s="161"/>
      <x:c r="U217" s="161"/>
      <x:c r="V217" s="161"/>
      <x:c r="W217" s="161"/>
      <x:c r="X217" s="161"/>
      <x:c r="Y217" s="161"/>
      <x:c r="Z217" s="161"/>
    </x:row>
    <x:row r="218">
      <x:c r="A218" s="161"/>
      <x:c r="B218" s="161"/>
      <x:c r="C218" s="161"/>
      <x:c r="D218" s="161"/>
      <x:c r="E218" s="161"/>
      <x:c r="F218" s="161"/>
      <x:c r="G218" s="161"/>
      <x:c r="H218" s="161"/>
      <x:c r="I218" s="161"/>
      <x:c r="J218" s="161"/>
      <x:c r="K218" s="161"/>
      <x:c r="L218" s="161"/>
      <x:c r="M218" s="161"/>
      <x:c r="N218" s="161"/>
      <x:c r="O218" s="161"/>
      <x:c r="P218" s="161"/>
      <x:c r="Q218" s="161"/>
      <x:c r="R218" s="161"/>
      <x:c r="S218" s="161"/>
      <x:c r="T218" s="161"/>
      <x:c r="U218" s="161"/>
      <x:c r="V218" s="161"/>
      <x:c r="W218" s="161"/>
      <x:c r="X218" s="161"/>
      <x:c r="Y218" s="161"/>
      <x:c r="Z218" s="161"/>
    </x:row>
    <x:row r="219">
      <x:c r="A219" s="161"/>
      <x:c r="B219" s="161"/>
      <x:c r="C219" s="161"/>
      <x:c r="D219" s="161"/>
      <x:c r="E219" s="161"/>
      <x:c r="F219" s="161"/>
      <x:c r="G219" s="161"/>
      <x:c r="H219" s="161"/>
      <x:c r="I219" s="161"/>
      <x:c r="J219" s="161"/>
      <x:c r="K219" s="161"/>
      <x:c r="L219" s="161"/>
      <x:c r="M219" s="161"/>
      <x:c r="N219" s="161"/>
      <x:c r="O219" s="161"/>
      <x:c r="P219" s="161"/>
      <x:c r="Q219" s="161"/>
      <x:c r="R219" s="161"/>
      <x:c r="S219" s="161"/>
      <x:c r="T219" s="161"/>
      <x:c r="U219" s="161"/>
      <x:c r="V219" s="161"/>
      <x:c r="W219" s="161"/>
      <x:c r="X219" s="161"/>
      <x:c r="Y219" s="161"/>
      <x:c r="Z219" s="161"/>
    </x:row>
    <x:row r="220">
      <x:c r="A220" s="161"/>
      <x:c r="B220" s="161"/>
      <x:c r="C220" s="161"/>
      <x:c r="D220" s="161"/>
      <x:c r="E220" s="161"/>
      <x:c r="F220" s="161"/>
      <x:c r="G220" s="161"/>
      <x:c r="H220" s="161"/>
      <x:c r="I220" s="161"/>
      <x:c r="J220" s="161"/>
      <x:c r="K220" s="161"/>
      <x:c r="L220" s="161"/>
      <x:c r="M220" s="161"/>
      <x:c r="N220" s="161"/>
      <x:c r="O220" s="161"/>
      <x:c r="P220" s="161"/>
      <x:c r="Q220" s="161"/>
      <x:c r="R220" s="161"/>
      <x:c r="S220" s="161"/>
      <x:c r="T220" s="161"/>
      <x:c r="U220" s="161"/>
      <x:c r="V220" s="161"/>
      <x:c r="W220" s="161"/>
      <x:c r="X220" s="161"/>
      <x:c r="Y220" s="161"/>
      <x:c r="Z220" s="161"/>
    </x:row>
    <x:row r="221">
      <x:c r="A221" s="161"/>
      <x:c r="B221" s="161"/>
      <x:c r="C221" s="161"/>
      <x:c r="D221" s="161"/>
      <x:c r="E221" s="161"/>
      <x:c r="F221" s="161"/>
      <x:c r="G221" s="161"/>
      <x:c r="H221" s="161"/>
      <x:c r="I221" s="161"/>
      <x:c r="J221" s="161"/>
      <x:c r="K221" s="161"/>
      <x:c r="L221" s="161"/>
      <x:c r="M221" s="161"/>
      <x:c r="N221" s="161"/>
      <x:c r="O221" s="161"/>
      <x:c r="P221" s="161"/>
      <x:c r="Q221" s="161"/>
      <x:c r="R221" s="161"/>
      <x:c r="S221" s="161"/>
      <x:c r="T221" s="161"/>
      <x:c r="U221" s="161"/>
      <x:c r="V221" s="161"/>
      <x:c r="W221" s="161"/>
      <x:c r="X221" s="161"/>
      <x:c r="Y221" s="161"/>
      <x:c r="Z221" s="161"/>
    </x:row>
    <x:row r="222">
      <x:c r="A222" s="161"/>
      <x:c r="B222" s="161"/>
      <x:c r="C222" s="161"/>
      <x:c r="D222" s="161"/>
      <x:c r="E222" s="161"/>
      <x:c r="F222" s="161"/>
      <x:c r="G222" s="161"/>
      <x:c r="H222" s="161"/>
      <x:c r="I222" s="161"/>
      <x:c r="J222" s="161"/>
      <x:c r="K222" s="161"/>
      <x:c r="L222" s="161"/>
      <x:c r="M222" s="161"/>
      <x:c r="N222" s="161"/>
      <x:c r="O222" s="161"/>
      <x:c r="P222" s="161"/>
      <x:c r="Q222" s="161"/>
      <x:c r="R222" s="161"/>
      <x:c r="S222" s="161"/>
      <x:c r="T222" s="161"/>
      <x:c r="U222" s="161"/>
      <x:c r="V222" s="161"/>
      <x:c r="W222" s="161"/>
      <x:c r="X222" s="161"/>
      <x:c r="Y222" s="161"/>
      <x:c r="Z222" s="161"/>
    </x:row>
    <x:row r="223">
      <x:c r="A223" s="161"/>
      <x:c r="B223" s="161"/>
      <x:c r="C223" s="161"/>
      <x:c r="D223" s="161"/>
      <x:c r="E223" s="161"/>
      <x:c r="F223" s="161"/>
      <x:c r="G223" s="161"/>
      <x:c r="H223" s="161"/>
      <x:c r="I223" s="161"/>
      <x:c r="J223" s="161"/>
      <x:c r="K223" s="161"/>
      <x:c r="L223" s="161"/>
      <x:c r="M223" s="161"/>
      <x:c r="N223" s="161"/>
      <x:c r="O223" s="161"/>
      <x:c r="P223" s="161"/>
      <x:c r="Q223" s="161"/>
      <x:c r="R223" s="161"/>
      <x:c r="S223" s="161"/>
      <x:c r="T223" s="161"/>
      <x:c r="U223" s="161"/>
      <x:c r="V223" s="161"/>
      <x:c r="W223" s="161"/>
      <x:c r="X223" s="161"/>
      <x:c r="Y223" s="161"/>
      <x:c r="Z223" s="161"/>
    </x:row>
    <x:row r="224">
      <x:c r="A224" s="161"/>
      <x:c r="B224" s="161"/>
      <x:c r="C224" s="161"/>
      <x:c r="D224" s="161"/>
      <x:c r="E224" s="161"/>
      <x:c r="F224" s="161"/>
      <x:c r="G224" s="161"/>
      <x:c r="H224" s="161"/>
      <x:c r="I224" s="161"/>
      <x:c r="J224" s="161"/>
      <x:c r="K224" s="161"/>
      <x:c r="L224" s="161"/>
      <x:c r="M224" s="161"/>
      <x:c r="N224" s="161"/>
      <x:c r="O224" s="161"/>
      <x:c r="P224" s="161"/>
      <x:c r="Q224" s="161"/>
      <x:c r="R224" s="161"/>
      <x:c r="S224" s="161"/>
      <x:c r="T224" s="161"/>
      <x:c r="U224" s="161"/>
      <x:c r="V224" s="161"/>
      <x:c r="W224" s="161"/>
      <x:c r="X224" s="161"/>
      <x:c r="Y224" s="161"/>
      <x:c r="Z224" s="161"/>
    </x:row>
    <x:row r="225">
      <x:c r="A225" s="161"/>
      <x:c r="B225" s="161"/>
      <x:c r="C225" s="161"/>
      <x:c r="D225" s="161"/>
      <x:c r="E225" s="161"/>
      <x:c r="F225" s="161"/>
      <x:c r="G225" s="161"/>
      <x:c r="H225" s="161"/>
      <x:c r="I225" s="161"/>
      <x:c r="J225" s="161"/>
      <x:c r="K225" s="161"/>
      <x:c r="L225" s="161"/>
      <x:c r="M225" s="161"/>
      <x:c r="N225" s="161"/>
      <x:c r="O225" s="161"/>
      <x:c r="P225" s="161"/>
      <x:c r="Q225" s="161"/>
      <x:c r="R225" s="161"/>
      <x:c r="S225" s="161"/>
      <x:c r="T225" s="161"/>
      <x:c r="U225" s="161"/>
      <x:c r="V225" s="161"/>
      <x:c r="W225" s="161"/>
      <x:c r="X225" s="161"/>
      <x:c r="Y225" s="161"/>
      <x:c r="Z225" s="161"/>
    </x:row>
    <x:row r="226">
      <x:c r="A226" s="161"/>
      <x:c r="B226" s="161"/>
      <x:c r="C226" s="161"/>
      <x:c r="D226" s="161"/>
      <x:c r="E226" s="161"/>
      <x:c r="F226" s="161"/>
      <x:c r="G226" s="161"/>
      <x:c r="H226" s="161"/>
      <x:c r="I226" s="161"/>
      <x:c r="J226" s="161"/>
      <x:c r="K226" s="161"/>
      <x:c r="L226" s="161"/>
      <x:c r="M226" s="161"/>
      <x:c r="N226" s="161"/>
      <x:c r="O226" s="161"/>
      <x:c r="P226" s="161"/>
      <x:c r="Q226" s="161"/>
      <x:c r="R226" s="161"/>
      <x:c r="S226" s="161"/>
      <x:c r="T226" s="161"/>
      <x:c r="U226" s="161"/>
      <x:c r="V226" s="161"/>
      <x:c r="W226" s="161"/>
      <x:c r="X226" s="161"/>
      <x:c r="Y226" s="161"/>
      <x:c r="Z226" s="161"/>
    </x:row>
    <x:row r="227">
      <x:c r="A227" s="161"/>
      <x:c r="B227" s="161"/>
      <x:c r="C227" s="161"/>
      <x:c r="D227" s="161"/>
      <x:c r="E227" s="161"/>
      <x:c r="F227" s="161"/>
      <x:c r="G227" s="161"/>
      <x:c r="H227" s="161"/>
      <x:c r="I227" s="161"/>
      <x:c r="J227" s="161"/>
      <x:c r="K227" s="161"/>
      <x:c r="L227" s="161"/>
      <x:c r="M227" s="161"/>
      <x:c r="N227" s="161"/>
      <x:c r="O227" s="161"/>
      <x:c r="P227" s="161"/>
      <x:c r="Q227" s="161"/>
      <x:c r="R227" s="161"/>
      <x:c r="S227" s="161"/>
      <x:c r="T227" s="161"/>
      <x:c r="U227" s="161"/>
      <x:c r="V227" s="161"/>
      <x:c r="W227" s="161"/>
      <x:c r="X227" s="161"/>
      <x:c r="Y227" s="161"/>
      <x:c r="Z227" s="161"/>
    </x:row>
    <x:row r="228">
      <x:c r="A228" s="161"/>
      <x:c r="B228" s="161"/>
      <x:c r="C228" s="161"/>
      <x:c r="D228" s="161"/>
      <x:c r="E228" s="161"/>
      <x:c r="F228" s="161"/>
      <x:c r="G228" s="161"/>
      <x:c r="H228" s="161"/>
      <x:c r="I228" s="161"/>
      <x:c r="J228" s="161"/>
      <x:c r="K228" s="161"/>
      <x:c r="L228" s="161"/>
      <x:c r="M228" s="161"/>
      <x:c r="N228" s="161"/>
      <x:c r="O228" s="161"/>
      <x:c r="P228" s="161"/>
      <x:c r="Q228" s="161"/>
      <x:c r="R228" s="161"/>
      <x:c r="S228" s="161"/>
      <x:c r="T228" s="161"/>
      <x:c r="U228" s="161"/>
      <x:c r="V228" s="161"/>
      <x:c r="W228" s="161"/>
      <x:c r="X228" s="161"/>
      <x:c r="Y228" s="161"/>
      <x:c r="Z228" s="161"/>
    </x:row>
    <x:row r="229">
      <x:c r="A229" s="161"/>
      <x:c r="B229" s="161"/>
      <x:c r="C229" s="161"/>
      <x:c r="D229" s="161"/>
      <x:c r="E229" s="161"/>
      <x:c r="F229" s="161"/>
      <x:c r="G229" s="161"/>
      <x:c r="H229" s="161"/>
      <x:c r="I229" s="161"/>
      <x:c r="J229" s="161"/>
      <x:c r="K229" s="161"/>
      <x:c r="L229" s="161"/>
      <x:c r="M229" s="161"/>
      <x:c r="N229" s="161"/>
      <x:c r="O229" s="161"/>
      <x:c r="P229" s="161"/>
      <x:c r="Q229" s="161"/>
      <x:c r="R229" s="161"/>
      <x:c r="S229" s="161"/>
      <x:c r="T229" s="161"/>
      <x:c r="U229" s="161"/>
      <x:c r="V229" s="161"/>
      <x:c r="W229" s="161"/>
      <x:c r="X229" s="161"/>
      <x:c r="Y229" s="161"/>
      <x:c r="Z229" s="161"/>
    </x:row>
    <x:row r="230">
      <x:c r="A230" s="161"/>
      <x:c r="B230" s="161"/>
      <x:c r="C230" s="161"/>
      <x:c r="D230" s="161"/>
      <x:c r="E230" s="161"/>
      <x:c r="F230" s="161"/>
      <x:c r="G230" s="161"/>
      <x:c r="H230" s="161"/>
      <x:c r="I230" s="161"/>
      <x:c r="J230" s="161"/>
      <x:c r="K230" s="161"/>
      <x:c r="L230" s="161"/>
      <x:c r="M230" s="161"/>
      <x:c r="N230" s="161"/>
      <x:c r="O230" s="161"/>
      <x:c r="P230" s="161"/>
      <x:c r="Q230" s="161"/>
      <x:c r="R230" s="161"/>
      <x:c r="S230" s="161"/>
      <x:c r="T230" s="161"/>
      <x:c r="U230" s="161"/>
      <x:c r="V230" s="161"/>
      <x:c r="W230" s="161"/>
      <x:c r="X230" s="161"/>
      <x:c r="Y230" s="161"/>
      <x:c r="Z230" s="161"/>
    </x:row>
    <x:row r="231">
      <x:c r="A231" s="161"/>
      <x:c r="B231" s="161"/>
      <x:c r="C231" s="161"/>
      <x:c r="D231" s="161"/>
      <x:c r="E231" s="161"/>
      <x:c r="F231" s="161"/>
      <x:c r="G231" s="161"/>
      <x:c r="H231" s="161"/>
      <x:c r="I231" s="161"/>
      <x:c r="J231" s="161"/>
      <x:c r="K231" s="161"/>
      <x:c r="L231" s="161"/>
      <x:c r="M231" s="161"/>
      <x:c r="N231" s="161"/>
      <x:c r="O231" s="161"/>
      <x:c r="P231" s="161"/>
      <x:c r="Q231" s="161"/>
      <x:c r="R231" s="161"/>
      <x:c r="S231" s="161"/>
      <x:c r="T231" s="161"/>
      <x:c r="U231" s="161"/>
      <x:c r="V231" s="161"/>
      <x:c r="W231" s="161"/>
      <x:c r="X231" s="161"/>
      <x:c r="Y231" s="161"/>
      <x:c r="Z231" s="161"/>
    </x:row>
    <x:row r="232">
      <x:c r="A232" s="161"/>
      <x:c r="B232" s="161"/>
      <x:c r="C232" s="161"/>
      <x:c r="D232" s="161"/>
      <x:c r="E232" s="161"/>
      <x:c r="F232" s="161"/>
      <x:c r="G232" s="161"/>
      <x:c r="H232" s="161"/>
      <x:c r="I232" s="161"/>
      <x:c r="J232" s="161"/>
      <x:c r="K232" s="161"/>
      <x:c r="L232" s="161"/>
      <x:c r="M232" s="161"/>
      <x:c r="N232" s="161"/>
      <x:c r="O232" s="161"/>
      <x:c r="P232" s="161"/>
      <x:c r="Q232" s="161"/>
      <x:c r="R232" s="161"/>
      <x:c r="S232" s="161"/>
      <x:c r="T232" s="161"/>
      <x:c r="U232" s="161"/>
      <x:c r="V232" s="161"/>
      <x:c r="W232" s="161"/>
      <x:c r="X232" s="161"/>
      <x:c r="Y232" s="161"/>
      <x:c r="Z232" s="161"/>
    </x:row>
    <x:row r="233">
      <x:c r="A233" s="161"/>
      <x:c r="B233" s="161"/>
      <x:c r="C233" s="161"/>
      <x:c r="D233" s="161"/>
      <x:c r="E233" s="161"/>
      <x:c r="F233" s="161"/>
      <x:c r="G233" s="161"/>
      <x:c r="H233" s="161"/>
      <x:c r="I233" s="161"/>
      <x:c r="J233" s="161"/>
      <x:c r="K233" s="161"/>
      <x:c r="L233" s="161"/>
      <x:c r="M233" s="161"/>
      <x:c r="N233" s="161"/>
      <x:c r="O233" s="161"/>
      <x:c r="P233" s="161"/>
      <x:c r="Q233" s="161"/>
      <x:c r="R233" s="161"/>
      <x:c r="S233" s="161"/>
      <x:c r="T233" s="161"/>
      <x:c r="U233" s="161"/>
      <x:c r="V233" s="161"/>
      <x:c r="W233" s="161"/>
      <x:c r="X233" s="161"/>
      <x:c r="Y233" s="161"/>
      <x:c r="Z233" s="161"/>
    </x:row>
    <x:row r="234">
      <x:c r="A234" s="161"/>
      <x:c r="B234" s="161"/>
      <x:c r="C234" s="161"/>
      <x:c r="D234" s="161"/>
      <x:c r="E234" s="161"/>
      <x:c r="F234" s="161"/>
      <x:c r="G234" s="161"/>
      <x:c r="H234" s="161"/>
      <x:c r="I234" s="161"/>
      <x:c r="J234" s="161"/>
      <x:c r="K234" s="161"/>
      <x:c r="L234" s="161"/>
      <x:c r="M234" s="161"/>
      <x:c r="N234" s="161"/>
      <x:c r="O234" s="161"/>
      <x:c r="P234" s="161"/>
      <x:c r="Q234" s="161"/>
      <x:c r="R234" s="161"/>
      <x:c r="S234" s="161"/>
      <x:c r="T234" s="161"/>
      <x:c r="U234" s="161"/>
      <x:c r="V234" s="161"/>
      <x:c r="W234" s="161"/>
      <x:c r="X234" s="161"/>
      <x:c r="Y234" s="161"/>
      <x:c r="Z234" s="161"/>
    </x:row>
    <x:row r="235">
      <x:c r="A235" s="161"/>
      <x:c r="B235" s="161"/>
      <x:c r="C235" s="161"/>
      <x:c r="D235" s="161"/>
      <x:c r="E235" s="161"/>
      <x:c r="F235" s="161"/>
      <x:c r="G235" s="161"/>
      <x:c r="H235" s="161"/>
      <x:c r="I235" s="161"/>
      <x:c r="J235" s="161"/>
      <x:c r="K235" s="161"/>
      <x:c r="L235" s="161"/>
      <x:c r="M235" s="161"/>
      <x:c r="N235" s="161"/>
      <x:c r="O235" s="161"/>
      <x:c r="P235" s="161"/>
      <x:c r="Q235" s="161"/>
      <x:c r="R235" s="161"/>
      <x:c r="S235" s="161"/>
      <x:c r="T235" s="161"/>
      <x:c r="U235" s="161"/>
      <x:c r="V235" s="161"/>
      <x:c r="W235" s="161"/>
      <x:c r="X235" s="161"/>
      <x:c r="Y235" s="161"/>
      <x:c r="Z235" s="161"/>
    </x:row>
    <x:row r="236">
      <x:c r="A236" s="161"/>
      <x:c r="B236" s="161"/>
      <x:c r="C236" s="161"/>
      <x:c r="D236" s="161"/>
      <x:c r="E236" s="161"/>
      <x:c r="F236" s="161"/>
      <x:c r="G236" s="161"/>
      <x:c r="H236" s="161"/>
      <x:c r="I236" s="161"/>
      <x:c r="J236" s="161"/>
      <x:c r="K236" s="161"/>
      <x:c r="L236" s="161"/>
      <x:c r="M236" s="161"/>
      <x:c r="N236" s="161"/>
      <x:c r="O236" s="161"/>
      <x:c r="P236" s="161"/>
      <x:c r="Q236" s="161"/>
      <x:c r="R236" s="161"/>
      <x:c r="S236" s="161"/>
      <x:c r="T236" s="161"/>
      <x:c r="U236" s="161"/>
      <x:c r="V236" s="161"/>
      <x:c r="W236" s="161"/>
      <x:c r="X236" s="161"/>
      <x:c r="Y236" s="161"/>
      <x:c r="Z236" s="161"/>
    </x:row>
    <x:row r="237">
      <x:c r="A237" s="161"/>
      <x:c r="B237" s="161"/>
      <x:c r="C237" s="161"/>
      <x:c r="D237" s="161"/>
      <x:c r="E237" s="161"/>
      <x:c r="F237" s="161"/>
      <x:c r="G237" s="161"/>
      <x:c r="H237" s="161"/>
      <x:c r="I237" s="161"/>
      <x:c r="J237" s="161"/>
      <x:c r="K237" s="161"/>
      <x:c r="L237" s="161"/>
      <x:c r="M237" s="161"/>
      <x:c r="N237" s="161"/>
      <x:c r="O237" s="161"/>
      <x:c r="P237" s="161"/>
      <x:c r="Q237" s="161"/>
      <x:c r="R237" s="161"/>
      <x:c r="S237" s="161"/>
      <x:c r="T237" s="161"/>
      <x:c r="U237" s="161"/>
      <x:c r="V237" s="161"/>
      <x:c r="W237" s="161"/>
      <x:c r="X237" s="161"/>
      <x:c r="Y237" s="161"/>
      <x:c r="Z237" s="161"/>
    </x:row>
    <x:row r="238">
      <x:c r="A238" s="161"/>
      <x:c r="B238" s="161"/>
      <x:c r="C238" s="161"/>
      <x:c r="D238" s="161"/>
      <x:c r="E238" s="161"/>
      <x:c r="F238" s="161"/>
      <x:c r="G238" s="161"/>
      <x:c r="H238" s="161"/>
      <x:c r="I238" s="161"/>
      <x:c r="J238" s="161"/>
      <x:c r="K238" s="161"/>
      <x:c r="L238" s="161"/>
      <x:c r="M238" s="161"/>
      <x:c r="N238" s="161"/>
      <x:c r="O238" s="161"/>
      <x:c r="P238" s="161"/>
      <x:c r="Q238" s="161"/>
      <x:c r="R238" s="161"/>
      <x:c r="S238" s="161"/>
      <x:c r="T238" s="161"/>
      <x:c r="U238" s="161"/>
      <x:c r="V238" s="161"/>
      <x:c r="W238" s="161"/>
      <x:c r="X238" s="161"/>
      <x:c r="Y238" s="161"/>
      <x:c r="Z238" s="161"/>
    </x:row>
    <x:row r="239">
      <x:c r="A239" s="161"/>
      <x:c r="B239" s="161"/>
      <x:c r="C239" s="161"/>
      <x:c r="D239" s="161"/>
      <x:c r="E239" s="161"/>
      <x:c r="F239" s="161"/>
      <x:c r="G239" s="161"/>
      <x:c r="H239" s="161"/>
      <x:c r="I239" s="161"/>
      <x:c r="J239" s="161"/>
      <x:c r="K239" s="161"/>
      <x:c r="L239" s="161"/>
      <x:c r="M239" s="161"/>
      <x:c r="N239" s="161"/>
      <x:c r="O239" s="161"/>
      <x:c r="P239" s="161"/>
      <x:c r="Q239" s="161"/>
      <x:c r="R239" s="161"/>
      <x:c r="S239" s="161"/>
      <x:c r="T239" s="161"/>
      <x:c r="U239" s="161"/>
      <x:c r="V239" s="161"/>
      <x:c r="W239" s="161"/>
      <x:c r="X239" s="161"/>
      <x:c r="Y239" s="161"/>
      <x:c r="Z239" s="161"/>
    </x:row>
    <x:row r="240">
      <x:c r="A240" s="161"/>
      <x:c r="B240" s="161"/>
      <x:c r="C240" s="161"/>
      <x:c r="D240" s="161"/>
      <x:c r="E240" s="161"/>
      <x:c r="F240" s="161"/>
      <x:c r="G240" s="161"/>
      <x:c r="H240" s="161"/>
      <x:c r="I240" s="161"/>
      <x:c r="J240" s="161"/>
      <x:c r="K240" s="161"/>
      <x:c r="L240" s="161"/>
      <x:c r="M240" s="161"/>
      <x:c r="N240" s="161"/>
      <x:c r="O240" s="161"/>
      <x:c r="P240" s="161"/>
      <x:c r="Q240" s="161"/>
      <x:c r="R240" s="161"/>
      <x:c r="S240" s="161"/>
      <x:c r="T240" s="161"/>
      <x:c r="U240" s="161"/>
      <x:c r="V240" s="161"/>
      <x:c r="W240" s="161"/>
      <x:c r="X240" s="161"/>
      <x:c r="Y240" s="161"/>
      <x:c r="Z240" s="161"/>
    </x:row>
    <x:row r="241">
      <x:c r="A241" s="161"/>
      <x:c r="B241" s="161"/>
      <x:c r="C241" s="161"/>
      <x:c r="D241" s="161"/>
      <x:c r="E241" s="161"/>
      <x:c r="F241" s="161"/>
      <x:c r="G241" s="161"/>
      <x:c r="H241" s="161"/>
      <x:c r="I241" s="161"/>
      <x:c r="J241" s="161"/>
      <x:c r="K241" s="161"/>
      <x:c r="L241" s="161"/>
      <x:c r="M241" s="161"/>
      <x:c r="N241" s="161"/>
      <x:c r="O241" s="161"/>
      <x:c r="P241" s="161"/>
      <x:c r="Q241" s="161"/>
      <x:c r="R241" s="161"/>
      <x:c r="S241" s="161"/>
      <x:c r="T241" s="161"/>
      <x:c r="U241" s="161"/>
      <x:c r="V241" s="161"/>
      <x:c r="W241" s="161"/>
      <x:c r="X241" s="161"/>
      <x:c r="Y241" s="161"/>
      <x:c r="Z241" s="161"/>
    </x:row>
    <x:row r="242">
      <x:c r="A242" s="161"/>
      <x:c r="B242" s="161"/>
      <x:c r="C242" s="161"/>
      <x:c r="D242" s="161"/>
      <x:c r="E242" s="161"/>
      <x:c r="F242" s="161"/>
      <x:c r="G242" s="161"/>
      <x:c r="H242" s="161"/>
      <x:c r="I242" s="161"/>
      <x:c r="J242" s="161"/>
      <x:c r="K242" s="161"/>
      <x:c r="L242" s="161"/>
      <x:c r="M242" s="161"/>
      <x:c r="N242" s="161"/>
      <x:c r="O242" s="161"/>
      <x:c r="P242" s="161"/>
      <x:c r="Q242" s="161"/>
      <x:c r="R242" s="161"/>
      <x:c r="S242" s="161"/>
      <x:c r="T242" s="161"/>
      <x:c r="U242" s="161"/>
      <x:c r="V242" s="161"/>
      <x:c r="W242" s="161"/>
      <x:c r="X242" s="161"/>
      <x:c r="Y242" s="161"/>
      <x:c r="Z242" s="161"/>
    </x:row>
    <x:row r="243">
      <x:c r="A243" s="161"/>
      <x:c r="B243" s="161"/>
      <x:c r="C243" s="161"/>
      <x:c r="D243" s="161"/>
      <x:c r="E243" s="161"/>
      <x:c r="F243" s="161"/>
      <x:c r="G243" s="161"/>
      <x:c r="H243" s="161"/>
      <x:c r="I243" s="161"/>
      <x:c r="J243" s="161"/>
      <x:c r="K243" s="161"/>
      <x:c r="L243" s="161"/>
      <x:c r="M243" s="161"/>
      <x:c r="N243" s="161"/>
      <x:c r="O243" s="161"/>
      <x:c r="P243" s="161"/>
      <x:c r="Q243" s="161"/>
      <x:c r="R243" s="161"/>
      <x:c r="S243" s="161"/>
      <x:c r="T243" s="161"/>
      <x:c r="U243" s="161"/>
      <x:c r="V243" s="161"/>
      <x:c r="W243" s="161"/>
      <x:c r="X243" s="161"/>
      <x:c r="Y243" s="161"/>
      <x:c r="Z243" s="161"/>
    </x:row>
    <x:row r="244">
      <x:c r="A244" s="161"/>
      <x:c r="B244" s="161"/>
      <x:c r="C244" s="161"/>
      <x:c r="D244" s="161"/>
      <x:c r="E244" s="161"/>
      <x:c r="F244" s="161"/>
      <x:c r="G244" s="161"/>
      <x:c r="H244" s="161"/>
      <x:c r="I244" s="161"/>
      <x:c r="J244" s="161"/>
      <x:c r="K244" s="161"/>
      <x:c r="L244" s="161"/>
      <x:c r="M244" s="161"/>
      <x:c r="N244" s="161"/>
      <x:c r="O244" s="161"/>
      <x:c r="P244" s="161"/>
      <x:c r="Q244" s="161"/>
      <x:c r="R244" s="161"/>
      <x:c r="S244" s="161"/>
      <x:c r="T244" s="161"/>
      <x:c r="U244" s="161"/>
      <x:c r="V244" s="161"/>
      <x:c r="W244" s="161"/>
      <x:c r="X244" s="161"/>
      <x:c r="Y244" s="161"/>
      <x:c r="Z244" s="161"/>
    </x:row>
    <x:row r="245">
      <x:c r="A245" s="161"/>
      <x:c r="B245" s="161"/>
      <x:c r="C245" s="161"/>
      <x:c r="D245" s="161"/>
      <x:c r="E245" s="161"/>
      <x:c r="F245" s="161"/>
      <x:c r="G245" s="161"/>
      <x:c r="H245" s="161"/>
      <x:c r="I245" s="161"/>
      <x:c r="J245" s="161"/>
      <x:c r="K245" s="161"/>
      <x:c r="L245" s="161"/>
      <x:c r="M245" s="161"/>
      <x:c r="N245" s="161"/>
      <x:c r="O245" s="161"/>
      <x:c r="P245" s="161"/>
      <x:c r="Q245" s="161"/>
      <x:c r="R245" s="161"/>
      <x:c r="S245" s="161"/>
      <x:c r="T245" s="161"/>
      <x:c r="U245" s="161"/>
      <x:c r="V245" s="161"/>
      <x:c r="W245" s="161"/>
      <x:c r="X245" s="161"/>
      <x:c r="Y245" s="161"/>
      <x:c r="Z245" s="161"/>
    </x:row>
    <x:row r="246">
      <x:c r="A246" s="161"/>
      <x:c r="B246" s="161"/>
      <x:c r="C246" s="161"/>
      <x:c r="D246" s="161"/>
      <x:c r="E246" s="161"/>
      <x:c r="F246" s="161"/>
      <x:c r="G246" s="161"/>
      <x:c r="H246" s="161"/>
      <x:c r="I246" s="161"/>
      <x:c r="J246" s="161"/>
      <x:c r="K246" s="161"/>
      <x:c r="L246" s="161"/>
      <x:c r="M246" s="161"/>
      <x:c r="N246" s="161"/>
      <x:c r="O246" s="161"/>
      <x:c r="P246" s="161"/>
      <x:c r="Q246" s="161"/>
      <x:c r="R246" s="161"/>
      <x:c r="S246" s="161"/>
      <x:c r="T246" s="161"/>
      <x:c r="U246" s="161"/>
      <x:c r="V246" s="161"/>
      <x:c r="W246" s="161"/>
      <x:c r="X246" s="161"/>
      <x:c r="Y246" s="161"/>
      <x:c r="Z246" s="161"/>
    </x:row>
    <x:row r="247">
      <x:c r="A247" s="161"/>
      <x:c r="B247" s="161"/>
      <x:c r="C247" s="161"/>
      <x:c r="D247" s="161"/>
      <x:c r="E247" s="161"/>
      <x:c r="F247" s="161"/>
      <x:c r="G247" s="161"/>
      <x:c r="H247" s="161"/>
      <x:c r="I247" s="161"/>
      <x:c r="J247" s="161"/>
      <x:c r="K247" s="161"/>
      <x:c r="L247" s="161"/>
      <x:c r="M247" s="161"/>
      <x:c r="N247" s="161"/>
      <x:c r="O247" s="161"/>
      <x:c r="P247" s="161"/>
      <x:c r="Q247" s="161"/>
      <x:c r="R247" s="161"/>
      <x:c r="S247" s="161"/>
      <x:c r="T247" s="161"/>
      <x:c r="U247" s="161"/>
      <x:c r="V247" s="161"/>
      <x:c r="W247" s="161"/>
      <x:c r="X247" s="161"/>
      <x:c r="Y247" s="161"/>
      <x:c r="Z247" s="161"/>
    </x:row>
    <x:row r="248">
      <x:c r="A248" s="161"/>
      <x:c r="B248" s="161"/>
      <x:c r="C248" s="161"/>
      <x:c r="D248" s="161"/>
      <x:c r="E248" s="161"/>
      <x:c r="F248" s="161"/>
      <x:c r="G248" s="161"/>
      <x:c r="H248" s="161"/>
      <x:c r="I248" s="161"/>
      <x:c r="J248" s="161"/>
      <x:c r="K248" s="161"/>
      <x:c r="L248" s="161"/>
      <x:c r="M248" s="161"/>
      <x:c r="N248" s="161"/>
      <x:c r="O248" s="161"/>
      <x:c r="P248" s="161"/>
      <x:c r="Q248" s="161"/>
      <x:c r="R248" s="161"/>
      <x:c r="S248" s="161"/>
      <x:c r="T248" s="161"/>
      <x:c r="U248" s="161"/>
      <x:c r="V248" s="161"/>
      <x:c r="W248" s="161"/>
      <x:c r="X248" s="161"/>
      <x:c r="Y248" s="161"/>
      <x:c r="Z248" s="161"/>
    </x:row>
    <x:row r="249">
      <x:c r="A249" s="161"/>
      <x:c r="B249" s="161"/>
      <x:c r="C249" s="161"/>
      <x:c r="D249" s="161"/>
      <x:c r="E249" s="161"/>
      <x:c r="F249" s="161"/>
      <x:c r="G249" s="161"/>
      <x:c r="H249" s="161"/>
      <x:c r="I249" s="161"/>
      <x:c r="J249" s="161"/>
      <x:c r="K249" s="161"/>
      <x:c r="L249" s="161"/>
      <x:c r="M249" s="161"/>
      <x:c r="N249" s="161"/>
      <x:c r="O249" s="161"/>
      <x:c r="P249" s="161"/>
      <x:c r="Q249" s="161"/>
      <x:c r="R249" s="161"/>
      <x:c r="S249" s="161"/>
      <x:c r="T249" s="161"/>
      <x:c r="U249" s="161"/>
      <x:c r="V249" s="161"/>
      <x:c r="W249" s="161"/>
      <x:c r="X249" s="161"/>
      <x:c r="Y249" s="161"/>
      <x:c r="Z249" s="161"/>
    </x:row>
    <x:row r="250">
      <x:c r="A250" s="161"/>
      <x:c r="B250" s="161"/>
      <x:c r="C250" s="161"/>
      <x:c r="D250" s="161"/>
      <x:c r="E250" s="161"/>
      <x:c r="F250" s="161"/>
      <x:c r="G250" s="161"/>
      <x:c r="H250" s="161"/>
      <x:c r="I250" s="161"/>
      <x:c r="J250" s="161"/>
      <x:c r="K250" s="161"/>
      <x:c r="L250" s="161"/>
      <x:c r="M250" s="161"/>
      <x:c r="N250" s="161"/>
      <x:c r="O250" s="161"/>
      <x:c r="P250" s="161"/>
      <x:c r="Q250" s="161"/>
      <x:c r="R250" s="161"/>
      <x:c r="S250" s="161"/>
      <x:c r="T250" s="161"/>
      <x:c r="U250" s="161"/>
      <x:c r="V250" s="161"/>
      <x:c r="W250" s="161"/>
      <x:c r="X250" s="161"/>
      <x:c r="Y250" s="161"/>
      <x:c r="Z250" s="161"/>
    </x:row>
  </x:sheetData>
  <x:mergeCells>
    <x:mergeCell ref="A1:H1"/>
    <x:mergeCell ref="A2:H3"/>
    <x:mergeCell ref="I1:J1"/>
    <x:mergeCell ref="A5:B5"/>
    <x:mergeCell ref="A12:B12"/>
    <x:mergeCell ref="A13:B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13" hidden="0" customWidth="1"/>
    <x:col min="4" max="4" width="20" hidden="0" customWidth="1"/>
    <x:col min="5" max="5" width="18" hidden="0" customWidth="1"/>
    <x:col min="6" max="6" width="22" hidden="0" customWidth="1"/>
    <x:col min="7" max="7" width="16" hidden="0" customWidth="1"/>
    <x:col min="8" max="8" width="24" hidden="0" customWidth="1"/>
    <x:col min="9" max="9" width="16" hidden="0" customWidth="1"/>
    <x:col min="10" max="10" width="13" hidden="0" customWidth="1"/>
    <x:col min="11" max="11" width="15" hidden="0" customWidth="1"/>
    <x:col min="12" max="12" width="16" hidden="0" customWidth="1"/>
    <x:col min="13" max="13" width="18" hidden="0" customWidth="1"/>
    <x:col min="14" max="14" width="34" hidden="0" customWidth="1"/>
  </x:cols>
  <x:sheetData>
    <x:row r="1" ht="42" customHeight="1">
      <x:c r="A1" s="45" t="str">
        <x:v>Base de clientes</x:v>
      </x:c>
      <x:c r="B1" s="160"/>
      <x:c r="C1" s="160"/>
      <x:c r="D1" s="160"/>
      <x:c r="E1" s="160"/>
      <x:c r="F1" s="160"/>
      <x:c r="G1" s="160"/>
      <x:c r="H1" s="160"/>
      <x:c r="I1" s="58" t="str">
        <x:v>CAPTURA</x:v>
      </x:c>
      <x:c r="J1" s="160"/>
      <x:c r="K1" s="160"/>
      <x:c r="L1" s="160"/>
      <x:c r="M1" s="160"/>
      <x:c r="N1" s="160"/>
      <x:c r="O1" s="161"/>
      <x:c r="P1" s="161"/>
      <x:c r="Q1" s="161"/>
      <x:c r="R1" s="161"/>
      <x:c r="S1" s="161"/>
      <x:c r="T1" s="161"/>
      <x:c r="U1" s="161"/>
      <x:c r="V1" s="161"/>
      <x:c r="W1" s="161"/>
      <x:c r="X1" s="161"/>
      <x:c r="Y1" s="161"/>
      <x:c r="Z1" s="161"/>
    </x:row>
    <x:row r="2">
      <x:c r="A2" s="166" t="str">
        <x:v>Registra clientes actuales y prospectos. Esta hoja es la base central del CRM.</x:v>
      </x:c>
      <x:c r="B2" s="160"/>
      <x:c r="C2" s="160"/>
      <x:c r="D2" s="160"/>
      <x:c r="E2" s="160"/>
      <x:c r="F2" s="160"/>
      <x:c r="G2" s="160"/>
      <x:c r="H2" s="160"/>
      <x:c r="I2" s="160"/>
      <x:c r="J2" s="160"/>
      <x:c r="K2" s="160"/>
      <x:c r="L2" s="160"/>
      <x:c r="M2" s="160"/>
      <x:c r="N2" s="160"/>
      <x:c r="O2" s="161"/>
      <x:c r="P2" s="161"/>
      <x:c r="Q2" s="161"/>
      <x:c r="R2" s="161"/>
      <x:c r="S2" s="161"/>
      <x:c r="T2" s="161"/>
      <x:c r="U2" s="161"/>
      <x:c r="V2" s="161"/>
      <x:c r="W2" s="161"/>
      <x:c r="X2" s="161"/>
      <x:c r="Y2" s="161"/>
      <x:c r="Z2" s="161"/>
    </x:row>
    <x:row r="3">
      <x:c r="A3" s="160"/>
      <x:c r="B3" s="160"/>
      <x:c r="C3" s="160"/>
      <x:c r="D3" s="160"/>
      <x:c r="E3" s="160"/>
      <x:c r="F3" s="160"/>
      <x:c r="G3" s="160"/>
      <x:c r="H3" s="160"/>
      <x:c r="I3" s="160"/>
      <x:c r="J3" s="160"/>
      <x:c r="K3" s="160"/>
      <x:c r="L3" s="160"/>
      <x:c r="M3" s="160"/>
      <x:c r="N3" s="160"/>
      <x:c r="O3" s="161"/>
      <x:c r="P3" s="161"/>
      <x:c r="Q3" s="161"/>
      <x:c r="R3" s="161"/>
      <x:c r="S3" s="161"/>
      <x:c r="T3" s="161"/>
      <x:c r="U3" s="161"/>
      <x:c r="V3" s="161"/>
      <x:c r="W3" s="161"/>
      <x:c r="X3" s="161"/>
      <x:c r="Y3" s="161"/>
      <x:c r="Z3" s="161"/>
    </x:row>
    <x:row r="4">
      <x:c r="A4" s="160"/>
      <x:c r="B4" s="160"/>
      <x:c r="C4" s="160"/>
      <x:c r="D4" s="160"/>
      <x:c r="E4" s="160"/>
      <x:c r="F4" s="160"/>
      <x:c r="G4" s="160"/>
      <x:c r="H4" s="160"/>
      <x:c r="I4" s="160"/>
      <x:c r="J4" s="160"/>
      <x:c r="K4" s="160"/>
      <x:c r="L4" s="160"/>
      <x:c r="M4" s="160"/>
      <x:c r="N4" s="160"/>
      <x:c r="O4" s="161"/>
      <x:c r="P4" s="161"/>
      <x:c r="Q4" s="161"/>
      <x:c r="R4" s="161"/>
      <x:c r="S4" s="161"/>
      <x:c r="T4" s="161"/>
      <x:c r="U4" s="161"/>
      <x:c r="V4" s="161"/>
      <x:c r="W4" s="161"/>
      <x:c r="X4" s="161"/>
      <x:c r="Y4" s="161"/>
      <x:c r="Z4" s="161"/>
    </x:row>
    <x:row r="5">
      <x:c r="A5" s="65" t="str">
        <x:v>ID Cliente</x:v>
      </x:c>
      <x:c r="B5" s="65" t="str">
        <x:v>Cliente / Empresa</x:v>
      </x:c>
      <x:c r="C5" s="65" t="str">
        <x:v>Tipo</x:v>
      </x:c>
      <x:c r="D5" s="65" t="str">
        <x:v>Industria</x:v>
      </x:c>
      <x:c r="E5" s="65" t="str">
        <x:v>Ciudad / Estado</x:v>
      </x:c>
      <x:c r="F5" s="65" t="str">
        <x:v>Contacto principal</x:v>
      </x:c>
      <x:c r="G5" s="65" t="str">
        <x:v>Teléfono</x:v>
      </x:c>
      <x:c r="H5" s="65" t="str">
        <x:v>Email</x:v>
      </x:c>
      <x:c r="I5" s="65" t="str">
        <x:v>Fuente</x:v>
      </x:c>
      <x:c r="J5" s="65" t="str">
        <x:v>Estado</x:v>
      </x:c>
      <x:c r="K5" s="65" t="str">
        <x:v>Segmento</x:v>
      </x:c>
      <x:c r="L5" s="65" t="str">
        <x:v>Valor potencial</x:v>
      </x:c>
      <x:c r="M5" s="65" t="str">
        <x:v>Próximo seguimiento</x:v>
      </x:c>
      <x:c r="N5" s="65" t="str">
        <x:v>Observaciones</x:v>
      </x:c>
      <x:c r="O5" s="161"/>
      <x:c r="P5" s="161"/>
      <x:c r="Q5" s="161"/>
      <x:c r="R5" s="161"/>
      <x:c r="S5" s="161"/>
      <x:c r="T5" s="161"/>
      <x:c r="U5" s="161"/>
      <x:c r="V5" s="161"/>
      <x:c r="W5" s="161"/>
      <x:c r="X5" s="161"/>
      <x:c r="Y5" s="161"/>
      <x:c r="Z5" s="161"/>
    </x:row>
    <x:row r="6">
      <x:c r="A6" s="180" t="str">
        <x:v>CLI-001</x:v>
      </x:c>
      <x:c r="B6" s="108" t="str">
        <x:v>Clínica Dermalysse</x:v>
      </x:c>
      <x:c r="C6" s="108" t="str">
        <x:v>Cliente</x:v>
      </x:c>
      <x:c r="D6" s="108" t="str">
        <x:v>Salud / Estética</x:v>
      </x:c>
      <x:c r="E6" s="108" t="str">
        <x:v>Puebla, Pue.</x:v>
      </x:c>
      <x:c r="F6" s="108" t="str">
        <x:v>Ana López</x:v>
      </x:c>
      <x:c r="G6" s="108" t="str">
        <x:v>2210000000</x:v>
      </x:c>
      <x:c r="H6" s="108" t="str">
        <x:v>ana@ejemplo.com</x:v>
      </x:c>
      <x:c r="I6" s="108" t="str">
        <x:v>Referido</x:v>
      </x:c>
      <x:c r="J6" s="108" t="str">
        <x:v>Activo</x:v>
      </x:c>
      <x:c r="K6" s="108" t="str">
        <x:v>PYME</x:v>
      </x:c>
      <x:c r="L6" s="112" t="n">
        <x:v>85000</x:v>
      </x:c>
      <x:c r="M6" s="124" t="n">
        <x:v>46162</x:v>
      </x:c>
      <x:c r="N6" s="108" t="str">
        <x:v>Cliente con interés en automatización de citas.</x:v>
      </x:c>
      <x:c r="O6" s="161"/>
      <x:c r="P6" s="161"/>
      <x:c r="Q6" s="161"/>
      <x:c r="R6" s="161"/>
      <x:c r="S6" s="161"/>
      <x:c r="T6" s="161"/>
      <x:c r="U6" s="161"/>
      <x:c r="V6" s="161"/>
      <x:c r="W6" s="161"/>
      <x:c r="X6" s="161"/>
      <x:c r="Y6" s="161"/>
      <x:c r="Z6" s="161"/>
    </x:row>
    <x:row r="7">
      <x:c r="A7" s="180" t="str">
        <x:v>CLI-002</x:v>
      </x:c>
      <x:c r="B7" s="108" t="str">
        <x:v>AgroMarket MX</x:v>
      </x:c>
      <x:c r="C7" s="108" t="str">
        <x:v>Prospecto</x:v>
      </x:c>
      <x:c r="D7" s="108" t="str">
        <x:v>Agroindustria</x:v>
      </x:c>
      <x:c r="E7" s="108" t="str">
        <x:v>Tehuacán, Pue.</x:v>
      </x:c>
      <x:c r="F7" s="108" t="str">
        <x:v>Carlos Rivera</x:v>
      </x:c>
      <x:c r="G7" s="108" t="str">
        <x:v>2380000000</x:v>
      </x:c>
      <x:c r="H7" s="108" t="str">
        <x:v>carlos@ejemplo.com</x:v>
      </x:c>
      <x:c r="I7" s="108" t="str">
        <x:v>Sitio web</x:v>
      </x:c>
      <x:c r="J7" s="108" t="str">
        <x:v>Prospecto</x:v>
      </x:c>
      <x:c r="K7" s="108" t="str">
        <x:v>Microempresa</x:v>
      </x:c>
      <x:c r="L7" s="112" t="n">
        <x:v>45000</x:v>
      </x:c>
      <x:c r="M7" s="124" t="n">
        <x:v>46167</x:v>
      </x:c>
      <x:c r="N7" s="108" t="str">
        <x:v>Solicitó cotización de landing y CRM sencillo.</x:v>
      </x:c>
      <x:c r="O7" s="161"/>
      <x:c r="P7" s="161"/>
      <x:c r="Q7" s="161"/>
      <x:c r="R7" s="161"/>
      <x:c r="S7" s="161"/>
      <x:c r="T7" s="161"/>
      <x:c r="U7" s="161"/>
      <x:c r="V7" s="161"/>
      <x:c r="W7" s="161"/>
      <x:c r="X7" s="161"/>
      <x:c r="Y7" s="161"/>
      <x:c r="Z7" s="161"/>
    </x:row>
    <x:row r="8">
      <x:c r="A8" s="180" t="str">
        <x:v>CLI-003</x:v>
      </x:c>
      <x:c r="B8" s="108" t="str">
        <x:v>Consultoría Alfa</x:v>
      </x:c>
      <x:c r="C8" s="108" t="str">
        <x:v>Prospecto</x:v>
      </x:c>
      <x:c r="D8" s="108" t="str">
        <x:v>Servicios profesionales</x:v>
      </x:c>
      <x:c r="E8" s="108" t="str">
        <x:v>CDMX</x:v>
      </x:c>
      <x:c r="F8" s="108" t="str">
        <x:v>María Torres</x:v>
      </x:c>
      <x:c r="G8" s="108" t="str">
        <x:v>5500000000</x:v>
      </x:c>
      <x:c r="H8" s="108" t="str">
        <x:v>maria@ejemplo.com</x:v>
      </x:c>
      <x:c r="I8" s="108" t="str">
        <x:v>LinkedIn</x:v>
      </x:c>
      <x:c r="J8" s="108" t="str">
        <x:v>Prospecto</x:v>
      </x:c>
      <x:c r="K8" s="108" t="str">
        <x:v>Corporativo</x:v>
      </x:c>
      <x:c r="L8" s="112" t="n">
        <x:v>120000</x:v>
      </x:c>
      <x:c r="M8" s="124" t="n">
        <x:v>46176</x:v>
      </x:c>
      <x:c r="N8" s="108" t="str">
        <x:v>Pendiente reunión de diagnóstico.</x:v>
      </x:c>
      <x:c r="O8" s="161"/>
      <x:c r="P8" s="161"/>
      <x:c r="Q8" s="161"/>
      <x:c r="R8" s="161"/>
      <x:c r="S8" s="161"/>
      <x:c r="T8" s="161"/>
      <x:c r="U8" s="161"/>
      <x:c r="V8" s="161"/>
      <x:c r="W8" s="161"/>
      <x:c r="X8" s="161"/>
      <x:c r="Y8" s="161"/>
      <x:c r="Z8" s="161"/>
    </x:row>
    <x:row r="9">
      <x:c r="A9" s="180" t="str">
        <x:f>IF(B9&lt;&gt;"","CLI-"&amp;TEXT(ROW()-5,"000"),"")</x:f>
      </x:c>
      <x:c r="B9" s="108"/>
      <x:c r="C9" s="108"/>
      <x:c r="D9" s="108"/>
      <x:c r="E9" s="108"/>
      <x:c r="F9" s="108"/>
      <x:c r="G9" s="108"/>
      <x:c r="H9" s="108"/>
      <x:c r="I9" s="108"/>
      <x:c r="J9" s="108"/>
      <x:c r="K9" s="108"/>
      <x:c r="L9" s="112"/>
      <x:c r="M9" s="124"/>
      <x:c r="N9" s="108"/>
      <x:c r="O9" s="161"/>
      <x:c r="P9" s="161"/>
      <x:c r="Q9" s="161"/>
      <x:c r="R9" s="161"/>
      <x:c r="S9" s="161"/>
      <x:c r="T9" s="161"/>
      <x:c r="U9" s="161"/>
      <x:c r="V9" s="161"/>
      <x:c r="W9" s="161"/>
      <x:c r="X9" s="161"/>
      <x:c r="Y9" s="161"/>
      <x:c r="Z9" s="161"/>
    </x:row>
    <x:row r="10">
      <x:c r="A10" s="180" t="str">
        <x:f>IF(B10&lt;&gt;"","CLI-"&amp;TEXT(ROW()-5,"000"),"")</x:f>
      </x:c>
      <x:c r="B10" s="108"/>
      <x:c r="C10" s="108"/>
      <x:c r="D10" s="108"/>
      <x:c r="E10" s="108"/>
      <x:c r="F10" s="108"/>
      <x:c r="G10" s="108"/>
      <x:c r="H10" s="108"/>
      <x:c r="I10" s="108"/>
      <x:c r="J10" s="108"/>
      <x:c r="K10" s="108"/>
      <x:c r="L10" s="112"/>
      <x:c r="M10" s="124"/>
      <x:c r="N10" s="108"/>
      <x:c r="O10" s="161"/>
      <x:c r="P10" s="161"/>
      <x:c r="Q10" s="161"/>
      <x:c r="R10" s="161"/>
      <x:c r="S10" s="161"/>
      <x:c r="T10" s="161"/>
      <x:c r="U10" s="161"/>
      <x:c r="V10" s="161"/>
      <x:c r="W10" s="161"/>
      <x:c r="X10" s="161"/>
      <x:c r="Y10" s="161"/>
      <x:c r="Z10" s="161"/>
    </x:row>
    <x:row r="11">
      <x:c r="A11" s="180" t="str">
        <x:f>IF(B11&lt;&gt;"","CLI-"&amp;TEXT(ROW()-5,"000"),"")</x:f>
      </x:c>
      <x:c r="B11" s="108"/>
      <x:c r="C11" s="108"/>
      <x:c r="D11" s="108"/>
      <x:c r="E11" s="108"/>
      <x:c r="F11" s="108"/>
      <x:c r="G11" s="108"/>
      <x:c r="H11" s="108"/>
      <x:c r="I11" s="108"/>
      <x:c r="J11" s="108"/>
      <x:c r="K11" s="108"/>
      <x:c r="L11" s="112"/>
      <x:c r="M11" s="124"/>
      <x:c r="N11" s="108"/>
      <x:c r="O11" s="161"/>
      <x:c r="P11" s="161"/>
      <x:c r="Q11" s="161"/>
      <x:c r="R11" s="161"/>
      <x:c r="S11" s="161"/>
      <x:c r="T11" s="161"/>
      <x:c r="U11" s="161"/>
      <x:c r="V11" s="161"/>
      <x:c r="W11" s="161"/>
      <x:c r="X11" s="161"/>
      <x:c r="Y11" s="161"/>
      <x:c r="Z11" s="161"/>
    </x:row>
    <x:row r="12">
      <x:c r="A12" s="180" t="str">
        <x:f>IF(B12&lt;&gt;"","CLI-"&amp;TEXT(ROW()-5,"000"),"")</x:f>
      </x:c>
      <x:c r="B12" s="108"/>
      <x:c r="C12" s="108"/>
      <x:c r="D12" s="108"/>
      <x:c r="E12" s="108"/>
      <x:c r="F12" s="108"/>
      <x:c r="G12" s="108"/>
      <x:c r="H12" s="108"/>
      <x:c r="I12" s="108"/>
      <x:c r="J12" s="108"/>
      <x:c r="K12" s="108"/>
      <x:c r="L12" s="112"/>
      <x:c r="M12" s="124"/>
      <x:c r="N12" s="108"/>
      <x:c r="O12" s="161"/>
      <x:c r="P12" s="161"/>
      <x:c r="Q12" s="161"/>
      <x:c r="R12" s="161"/>
      <x:c r="S12" s="161"/>
      <x:c r="T12" s="161"/>
      <x:c r="U12" s="161"/>
      <x:c r="V12" s="161"/>
      <x:c r="W12" s="161"/>
      <x:c r="X12" s="161"/>
      <x:c r="Y12" s="161"/>
      <x:c r="Z12" s="161"/>
    </x:row>
    <x:row r="13">
      <x:c r="A13" s="180" t="str">
        <x:f>IF(B13&lt;&gt;"","CLI-"&amp;TEXT(ROW()-5,"000"),"")</x:f>
      </x:c>
      <x:c r="B13" s="108"/>
      <x:c r="C13" s="108"/>
      <x:c r="D13" s="108"/>
      <x:c r="E13" s="108"/>
      <x:c r="F13" s="108"/>
      <x:c r="G13" s="108"/>
      <x:c r="H13" s="108"/>
      <x:c r="I13" s="108"/>
      <x:c r="J13" s="108"/>
      <x:c r="K13" s="108"/>
      <x:c r="L13" s="112"/>
      <x:c r="M13" s="124"/>
      <x:c r="N13" s="108"/>
      <x:c r="O13" s="161"/>
      <x:c r="P13" s="161"/>
      <x:c r="Q13" s="161"/>
      <x:c r="R13" s="161"/>
      <x:c r="S13" s="161"/>
      <x:c r="T13" s="161"/>
      <x:c r="U13" s="161"/>
      <x:c r="V13" s="161"/>
      <x:c r="W13" s="161"/>
      <x:c r="X13" s="161"/>
      <x:c r="Y13" s="161"/>
      <x:c r="Z13" s="161"/>
    </x:row>
    <x:row r="14">
      <x:c r="A14" s="180" t="str">
        <x:f>IF(B14&lt;&gt;"","CLI-"&amp;TEXT(ROW()-5,"000"),"")</x:f>
      </x:c>
      <x:c r="B14" s="108"/>
      <x:c r="C14" s="108"/>
      <x:c r="D14" s="108"/>
      <x:c r="E14" s="108"/>
      <x:c r="F14" s="108"/>
      <x:c r="G14" s="108"/>
      <x:c r="H14" s="108"/>
      <x:c r="I14" s="108"/>
      <x:c r="J14" s="108"/>
      <x:c r="K14" s="108"/>
      <x:c r="L14" s="112"/>
      <x:c r="M14" s="124"/>
      <x:c r="N14" s="108"/>
      <x:c r="O14" s="161"/>
      <x:c r="P14" s="161"/>
      <x:c r="Q14" s="161"/>
      <x:c r="R14" s="161"/>
      <x:c r="S14" s="161"/>
      <x:c r="T14" s="161"/>
      <x:c r="U14" s="161"/>
      <x:c r="V14" s="161"/>
      <x:c r="W14" s="161"/>
      <x:c r="X14" s="161"/>
      <x:c r="Y14" s="161"/>
      <x:c r="Z14" s="161"/>
    </x:row>
    <x:row r="15">
      <x:c r="A15" s="180" t="str">
        <x:f>IF(B15&lt;&gt;"","CLI-"&amp;TEXT(ROW()-5,"000"),"")</x:f>
      </x:c>
      <x:c r="B15" s="108"/>
      <x:c r="C15" s="108"/>
      <x:c r="D15" s="108"/>
      <x:c r="E15" s="108"/>
      <x:c r="F15" s="108"/>
      <x:c r="G15" s="108"/>
      <x:c r="H15" s="108"/>
      <x:c r="I15" s="108"/>
      <x:c r="J15" s="108"/>
      <x:c r="K15" s="108"/>
      <x:c r="L15" s="112"/>
      <x:c r="M15" s="124"/>
      <x:c r="N15" s="108"/>
      <x:c r="O15" s="161"/>
      <x:c r="P15" s="161"/>
      <x:c r="Q15" s="161"/>
      <x:c r="R15" s="161"/>
      <x:c r="S15" s="161"/>
      <x:c r="T15" s="161"/>
      <x:c r="U15" s="161"/>
      <x:c r="V15" s="161"/>
      <x:c r="W15" s="161"/>
      <x:c r="X15" s="161"/>
      <x:c r="Y15" s="161"/>
      <x:c r="Z15" s="161"/>
    </x:row>
    <x:row r="16">
      <x:c r="A16" s="180" t="str">
        <x:f>IF(B16&lt;&gt;"","CLI-"&amp;TEXT(ROW()-5,"000"),"")</x:f>
      </x:c>
      <x:c r="B16" s="108"/>
      <x:c r="C16" s="108"/>
      <x:c r="D16" s="108"/>
      <x:c r="E16" s="108"/>
      <x:c r="F16" s="108"/>
      <x:c r="G16" s="108"/>
      <x:c r="H16" s="108"/>
      <x:c r="I16" s="108"/>
      <x:c r="J16" s="108"/>
      <x:c r="K16" s="108"/>
      <x:c r="L16" s="112"/>
      <x:c r="M16" s="124"/>
      <x:c r="N16" s="108"/>
      <x:c r="O16" s="161"/>
      <x:c r="P16" s="161"/>
      <x:c r="Q16" s="161"/>
      <x:c r="R16" s="161"/>
      <x:c r="S16" s="161"/>
      <x:c r="T16" s="161"/>
      <x:c r="U16" s="161"/>
      <x:c r="V16" s="161"/>
      <x:c r="W16" s="161"/>
      <x:c r="X16" s="161"/>
      <x:c r="Y16" s="161"/>
      <x:c r="Z16" s="161"/>
    </x:row>
    <x:row r="17">
      <x:c r="A17" s="180" t="str">
        <x:f>IF(B17&lt;&gt;"","CLI-"&amp;TEXT(ROW()-5,"000"),"")</x:f>
      </x:c>
      <x:c r="B17" s="108"/>
      <x:c r="C17" s="108"/>
      <x:c r="D17" s="108"/>
      <x:c r="E17" s="108"/>
      <x:c r="F17" s="108"/>
      <x:c r="G17" s="108"/>
      <x:c r="H17" s="108"/>
      <x:c r="I17" s="108"/>
      <x:c r="J17" s="108"/>
      <x:c r="K17" s="108"/>
      <x:c r="L17" s="112"/>
      <x:c r="M17" s="124"/>
      <x:c r="N17" s="108"/>
      <x:c r="O17" s="161"/>
      <x:c r="P17" s="161"/>
      <x:c r="Q17" s="161"/>
      <x:c r="R17" s="161"/>
      <x:c r="S17" s="161"/>
      <x:c r="T17" s="161"/>
      <x:c r="U17" s="161"/>
      <x:c r="V17" s="161"/>
      <x:c r="W17" s="161"/>
      <x:c r="X17" s="161"/>
      <x:c r="Y17" s="161"/>
      <x:c r="Z17" s="161"/>
    </x:row>
    <x:row r="18">
      <x:c r="A18" s="180" t="str">
        <x:f>IF(B18&lt;&gt;"","CLI-"&amp;TEXT(ROW()-5,"000"),"")</x:f>
      </x:c>
      <x:c r="B18" s="108"/>
      <x:c r="C18" s="108"/>
      <x:c r="D18" s="108"/>
      <x:c r="E18" s="108"/>
      <x:c r="F18" s="108"/>
      <x:c r="G18" s="108"/>
      <x:c r="H18" s="108"/>
      <x:c r="I18" s="108"/>
      <x:c r="J18" s="108"/>
      <x:c r="K18" s="108"/>
      <x:c r="L18" s="112"/>
      <x:c r="M18" s="124"/>
      <x:c r="N18" s="108"/>
      <x:c r="O18" s="161"/>
      <x:c r="P18" s="161"/>
      <x:c r="Q18" s="161"/>
      <x:c r="R18" s="161"/>
      <x:c r="S18" s="161"/>
      <x:c r="T18" s="161"/>
      <x:c r="U18" s="161"/>
      <x:c r="V18" s="161"/>
      <x:c r="W18" s="161"/>
      <x:c r="X18" s="161"/>
      <x:c r="Y18" s="161"/>
      <x:c r="Z18" s="161"/>
    </x:row>
    <x:row r="19">
      <x:c r="A19" s="180" t="str">
        <x:f>IF(B19&lt;&gt;"","CLI-"&amp;TEXT(ROW()-5,"000"),"")</x:f>
      </x:c>
      <x:c r="B19" s="108"/>
      <x:c r="C19" s="108"/>
      <x:c r="D19" s="108"/>
      <x:c r="E19" s="108"/>
      <x:c r="F19" s="108"/>
      <x:c r="G19" s="108"/>
      <x:c r="H19" s="108"/>
      <x:c r="I19" s="108"/>
      <x:c r="J19" s="108"/>
      <x:c r="K19" s="108"/>
      <x:c r="L19" s="112"/>
      <x:c r="M19" s="124"/>
      <x:c r="N19" s="108"/>
      <x:c r="O19" s="161"/>
      <x:c r="P19" s="161"/>
      <x:c r="Q19" s="161"/>
      <x:c r="R19" s="161"/>
      <x:c r="S19" s="161"/>
      <x:c r="T19" s="161"/>
      <x:c r="U19" s="161"/>
      <x:c r="V19" s="161"/>
      <x:c r="W19" s="161"/>
      <x:c r="X19" s="161"/>
      <x:c r="Y19" s="161"/>
      <x:c r="Z19" s="161"/>
    </x:row>
    <x:row r="20">
      <x:c r="A20" s="180" t="str">
        <x:f>IF(B20&lt;&gt;"","CLI-"&amp;TEXT(ROW()-5,"000"),"")</x:f>
      </x:c>
      <x:c r="B20" s="108"/>
      <x:c r="C20" s="108"/>
      <x:c r="D20" s="108"/>
      <x:c r="E20" s="108"/>
      <x:c r="F20" s="108"/>
      <x:c r="G20" s="108"/>
      <x:c r="H20" s="108"/>
      <x:c r="I20" s="108"/>
      <x:c r="J20" s="108"/>
      <x:c r="K20" s="108"/>
      <x:c r="L20" s="112"/>
      <x:c r="M20" s="124"/>
      <x:c r="N20" s="108"/>
      <x:c r="O20" s="161"/>
      <x:c r="P20" s="161"/>
      <x:c r="Q20" s="161"/>
      <x:c r="R20" s="161"/>
      <x:c r="S20" s="161"/>
      <x:c r="T20" s="161"/>
      <x:c r="U20" s="161"/>
      <x:c r="V20" s="161"/>
      <x:c r="W20" s="161"/>
      <x:c r="X20" s="161"/>
      <x:c r="Y20" s="161"/>
      <x:c r="Z20" s="161"/>
    </x:row>
    <x:row r="21">
      <x:c r="A21" s="180" t="str">
        <x:f>IF(B21&lt;&gt;"","CLI-"&amp;TEXT(ROW()-5,"000"),"")</x:f>
      </x:c>
      <x:c r="B21" s="108"/>
      <x:c r="C21" s="108"/>
      <x:c r="D21" s="108"/>
      <x:c r="E21" s="108"/>
      <x:c r="F21" s="108"/>
      <x:c r="G21" s="108"/>
      <x:c r="H21" s="108"/>
      <x:c r="I21" s="108"/>
      <x:c r="J21" s="108"/>
      <x:c r="K21" s="108"/>
      <x:c r="L21" s="112"/>
      <x:c r="M21" s="124"/>
      <x:c r="N21" s="108"/>
      <x:c r="O21" s="161"/>
      <x:c r="P21" s="161"/>
      <x:c r="Q21" s="161"/>
      <x:c r="R21" s="161"/>
      <x:c r="S21" s="161"/>
      <x:c r="T21" s="161"/>
      <x:c r="U21" s="161"/>
      <x:c r="V21" s="161"/>
      <x:c r="W21" s="161"/>
      <x:c r="X21" s="161"/>
      <x:c r="Y21" s="161"/>
      <x:c r="Z21" s="161"/>
    </x:row>
    <x:row r="22">
      <x:c r="A22" s="180" t="str">
        <x:f>IF(B22&lt;&gt;"","CLI-"&amp;TEXT(ROW()-5,"000"),"")</x:f>
      </x:c>
      <x:c r="B22" s="108"/>
      <x:c r="C22" s="108"/>
      <x:c r="D22" s="108"/>
      <x:c r="E22" s="108"/>
      <x:c r="F22" s="108"/>
      <x:c r="G22" s="108"/>
      <x:c r="H22" s="108"/>
      <x:c r="I22" s="108"/>
      <x:c r="J22" s="108"/>
      <x:c r="K22" s="108"/>
      <x:c r="L22" s="112"/>
      <x:c r="M22" s="124"/>
      <x:c r="N22" s="108"/>
      <x:c r="O22" s="161"/>
      <x:c r="P22" s="161"/>
      <x:c r="Q22" s="161"/>
      <x:c r="R22" s="161"/>
      <x:c r="S22" s="161"/>
      <x:c r="T22" s="161"/>
      <x:c r="U22" s="161"/>
      <x:c r="V22" s="161"/>
      <x:c r="W22" s="161"/>
      <x:c r="X22" s="161"/>
      <x:c r="Y22" s="161"/>
      <x:c r="Z22" s="161"/>
    </x:row>
    <x:row r="23">
      <x:c r="A23" s="180" t="str">
        <x:f>IF(B23&lt;&gt;"","CLI-"&amp;TEXT(ROW()-5,"000"),"")</x:f>
      </x:c>
      <x:c r="B23" s="108"/>
      <x:c r="C23" s="108"/>
      <x:c r="D23" s="108"/>
      <x:c r="E23" s="108"/>
      <x:c r="F23" s="108"/>
      <x:c r="G23" s="108"/>
      <x:c r="H23" s="108"/>
      <x:c r="I23" s="108"/>
      <x:c r="J23" s="108"/>
      <x:c r="K23" s="108"/>
      <x:c r="L23" s="112"/>
      <x:c r="M23" s="124"/>
      <x:c r="N23" s="108"/>
      <x:c r="O23" s="161"/>
      <x:c r="P23" s="161"/>
      <x:c r="Q23" s="161"/>
      <x:c r="R23" s="161"/>
      <x:c r="S23" s="161"/>
      <x:c r="T23" s="161"/>
      <x:c r="U23" s="161"/>
      <x:c r="V23" s="161"/>
      <x:c r="W23" s="161"/>
      <x:c r="X23" s="161"/>
      <x:c r="Y23" s="161"/>
      <x:c r="Z23" s="161"/>
    </x:row>
    <x:row r="24">
      <x:c r="A24" s="180" t="str">
        <x:f>IF(B24&lt;&gt;"","CLI-"&amp;TEXT(ROW()-5,"000"),"")</x:f>
      </x:c>
      <x:c r="B24" s="108"/>
      <x:c r="C24" s="108"/>
      <x:c r="D24" s="108"/>
      <x:c r="E24" s="108"/>
      <x:c r="F24" s="108"/>
      <x:c r="G24" s="108"/>
      <x:c r="H24" s="108"/>
      <x:c r="I24" s="108"/>
      <x:c r="J24" s="108"/>
      <x:c r="K24" s="108"/>
      <x:c r="L24" s="112"/>
      <x:c r="M24" s="124"/>
      <x:c r="N24" s="108"/>
      <x:c r="O24" s="161"/>
      <x:c r="P24" s="161"/>
      <x:c r="Q24" s="161"/>
      <x:c r="R24" s="161"/>
      <x:c r="S24" s="161"/>
      <x:c r="T24" s="161"/>
      <x:c r="U24" s="161"/>
      <x:c r="V24" s="161"/>
      <x:c r="W24" s="161"/>
      <x:c r="X24" s="161"/>
      <x:c r="Y24" s="161"/>
      <x:c r="Z24" s="161"/>
    </x:row>
    <x:row r="25">
      <x:c r="A25" s="180" t="str">
        <x:f>IF(B25&lt;&gt;"","CLI-"&amp;TEXT(ROW()-5,"000"),"")</x:f>
      </x:c>
      <x:c r="B25" s="108"/>
      <x:c r="C25" s="108"/>
      <x:c r="D25" s="108"/>
      <x:c r="E25" s="108"/>
      <x:c r="F25" s="108"/>
      <x:c r="G25" s="108"/>
      <x:c r="H25" s="108"/>
      <x:c r="I25" s="108"/>
      <x:c r="J25" s="108"/>
      <x:c r="K25" s="108"/>
      <x:c r="L25" s="112"/>
      <x:c r="M25" s="124"/>
      <x:c r="N25" s="108"/>
      <x:c r="O25" s="161"/>
      <x:c r="P25" s="161"/>
      <x:c r="Q25" s="161"/>
      <x:c r="R25" s="161"/>
      <x:c r="S25" s="161"/>
      <x:c r="T25" s="161"/>
      <x:c r="U25" s="161"/>
      <x:c r="V25" s="161"/>
      <x:c r="W25" s="161"/>
      <x:c r="X25" s="161"/>
      <x:c r="Y25" s="161"/>
      <x:c r="Z25" s="161"/>
    </x:row>
    <x:row r="26">
      <x:c r="A26" s="180" t="str">
        <x:f>IF(B26&lt;&gt;"","CLI-"&amp;TEXT(ROW()-5,"000"),"")</x:f>
      </x:c>
      <x:c r="B26" s="108"/>
      <x:c r="C26" s="108"/>
      <x:c r="D26" s="108"/>
      <x:c r="E26" s="108"/>
      <x:c r="F26" s="108"/>
      <x:c r="G26" s="108"/>
      <x:c r="H26" s="108"/>
      <x:c r="I26" s="108"/>
      <x:c r="J26" s="108"/>
      <x:c r="K26" s="108"/>
      <x:c r="L26" s="112"/>
      <x:c r="M26" s="124"/>
      <x:c r="N26" s="108"/>
      <x:c r="O26" s="161"/>
      <x:c r="P26" s="161"/>
      <x:c r="Q26" s="161"/>
      <x:c r="R26" s="161"/>
      <x:c r="S26" s="161"/>
      <x:c r="T26" s="161"/>
      <x:c r="U26" s="161"/>
      <x:c r="V26" s="161"/>
      <x:c r="W26" s="161"/>
      <x:c r="X26" s="161"/>
      <x:c r="Y26" s="161"/>
      <x:c r="Z26" s="161"/>
    </x:row>
    <x:row r="27">
      <x:c r="A27" s="180" t="str">
        <x:f>IF(B27&lt;&gt;"","CLI-"&amp;TEXT(ROW()-5,"000"),"")</x:f>
      </x:c>
      <x:c r="B27" s="108"/>
      <x:c r="C27" s="108"/>
      <x:c r="D27" s="108"/>
      <x:c r="E27" s="108"/>
      <x:c r="F27" s="108"/>
      <x:c r="G27" s="108"/>
      <x:c r="H27" s="108"/>
      <x:c r="I27" s="108"/>
      <x:c r="J27" s="108"/>
      <x:c r="K27" s="108"/>
      <x:c r="L27" s="112"/>
      <x:c r="M27" s="124"/>
      <x:c r="N27" s="108"/>
      <x:c r="O27" s="161"/>
      <x:c r="P27" s="161"/>
      <x:c r="Q27" s="161"/>
      <x:c r="R27" s="161"/>
      <x:c r="S27" s="161"/>
      <x:c r="T27" s="161"/>
      <x:c r="U27" s="161"/>
      <x:c r="V27" s="161"/>
      <x:c r="W27" s="161"/>
      <x:c r="X27" s="161"/>
      <x:c r="Y27" s="161"/>
      <x:c r="Z27" s="161"/>
    </x:row>
    <x:row r="28">
      <x:c r="A28" s="180" t="str">
        <x:f>IF(B28&lt;&gt;"","CLI-"&amp;TEXT(ROW()-5,"000"),"")</x:f>
      </x:c>
      <x:c r="B28" s="108"/>
      <x:c r="C28" s="108"/>
      <x:c r="D28" s="108"/>
      <x:c r="E28" s="108"/>
      <x:c r="F28" s="108"/>
      <x:c r="G28" s="108"/>
      <x:c r="H28" s="108"/>
      <x:c r="I28" s="108"/>
      <x:c r="J28" s="108"/>
      <x:c r="K28" s="108"/>
      <x:c r="L28" s="112"/>
      <x:c r="M28" s="124"/>
      <x:c r="N28" s="108"/>
      <x:c r="O28" s="161"/>
      <x:c r="P28" s="161"/>
      <x:c r="Q28" s="161"/>
      <x:c r="R28" s="161"/>
      <x:c r="S28" s="161"/>
      <x:c r="T28" s="161"/>
      <x:c r="U28" s="161"/>
      <x:c r="V28" s="161"/>
      <x:c r="W28" s="161"/>
      <x:c r="X28" s="161"/>
      <x:c r="Y28" s="161"/>
      <x:c r="Z28" s="161"/>
    </x:row>
    <x:row r="29">
      <x:c r="A29" s="180" t="str">
        <x:f>IF(B29&lt;&gt;"","CLI-"&amp;TEXT(ROW()-5,"000"),"")</x:f>
      </x:c>
      <x:c r="B29" s="108"/>
      <x:c r="C29" s="108"/>
      <x:c r="D29" s="108"/>
      <x:c r="E29" s="108"/>
      <x:c r="F29" s="108"/>
      <x:c r="G29" s="108"/>
      <x:c r="H29" s="108"/>
      <x:c r="I29" s="108"/>
      <x:c r="J29" s="108"/>
      <x:c r="K29" s="108"/>
      <x:c r="L29" s="112"/>
      <x:c r="M29" s="124"/>
      <x:c r="N29" s="108"/>
      <x:c r="O29" s="161"/>
      <x:c r="P29" s="161"/>
      <x:c r="Q29" s="161"/>
      <x:c r="R29" s="161"/>
      <x:c r="S29" s="161"/>
      <x:c r="T29" s="161"/>
      <x:c r="U29" s="161"/>
      <x:c r="V29" s="161"/>
      <x:c r="W29" s="161"/>
      <x:c r="X29" s="161"/>
      <x:c r="Y29" s="161"/>
      <x:c r="Z29" s="161"/>
    </x:row>
    <x:row r="30">
      <x:c r="A30" s="180" t="str">
        <x:f>IF(B30&lt;&gt;"","CLI-"&amp;TEXT(ROW()-5,"000"),"")</x:f>
      </x:c>
      <x:c r="B30" s="108"/>
      <x:c r="C30" s="108"/>
      <x:c r="D30" s="108"/>
      <x:c r="E30" s="108"/>
      <x:c r="F30" s="108"/>
      <x:c r="G30" s="108"/>
      <x:c r="H30" s="108"/>
      <x:c r="I30" s="108"/>
      <x:c r="J30" s="108"/>
      <x:c r="K30" s="108"/>
      <x:c r="L30" s="112"/>
      <x:c r="M30" s="124"/>
      <x:c r="N30" s="108"/>
      <x:c r="O30" s="161"/>
      <x:c r="P30" s="161"/>
      <x:c r="Q30" s="161"/>
      <x:c r="R30" s="161"/>
      <x:c r="S30" s="161"/>
      <x:c r="T30" s="161"/>
      <x:c r="U30" s="161"/>
      <x:c r="V30" s="161"/>
      <x:c r="W30" s="161"/>
      <x:c r="X30" s="161"/>
      <x:c r="Y30" s="161"/>
      <x:c r="Z30" s="161"/>
    </x:row>
    <x:row r="31">
      <x:c r="A31" s="180" t="str">
        <x:f>IF(B31&lt;&gt;"","CLI-"&amp;TEXT(ROW()-5,"000"),"")</x:f>
      </x:c>
      <x:c r="B31" s="108"/>
      <x:c r="C31" s="108"/>
      <x:c r="D31" s="108"/>
      <x:c r="E31" s="108"/>
      <x:c r="F31" s="108"/>
      <x:c r="G31" s="108"/>
      <x:c r="H31" s="108"/>
      <x:c r="I31" s="108"/>
      <x:c r="J31" s="108"/>
      <x:c r="K31" s="108"/>
      <x:c r="L31" s="112"/>
      <x:c r="M31" s="124"/>
      <x:c r="N31" s="108"/>
      <x:c r="O31" s="161"/>
      <x:c r="P31" s="161"/>
      <x:c r="Q31" s="161"/>
      <x:c r="R31" s="161"/>
      <x:c r="S31" s="161"/>
      <x:c r="T31" s="161"/>
      <x:c r="U31" s="161"/>
      <x:c r="V31" s="161"/>
      <x:c r="W31" s="161"/>
      <x:c r="X31" s="161"/>
      <x:c r="Y31" s="161"/>
      <x:c r="Z31" s="161"/>
    </x:row>
    <x:row r="32">
      <x:c r="A32" s="180" t="str">
        <x:f>IF(B32&lt;&gt;"","CLI-"&amp;TEXT(ROW()-5,"000"),"")</x:f>
      </x:c>
      <x:c r="B32" s="108"/>
      <x:c r="C32" s="108"/>
      <x:c r="D32" s="108"/>
      <x:c r="E32" s="108"/>
      <x:c r="F32" s="108"/>
      <x:c r="G32" s="108"/>
      <x:c r="H32" s="108"/>
      <x:c r="I32" s="108"/>
      <x:c r="J32" s="108"/>
      <x:c r="K32" s="108"/>
      <x:c r="L32" s="112"/>
      <x:c r="M32" s="124"/>
      <x:c r="N32" s="108"/>
      <x:c r="O32" s="161"/>
      <x:c r="P32" s="161"/>
      <x:c r="Q32" s="161"/>
      <x:c r="R32" s="161"/>
      <x:c r="S32" s="161"/>
      <x:c r="T32" s="161"/>
      <x:c r="U32" s="161"/>
      <x:c r="V32" s="161"/>
      <x:c r="W32" s="161"/>
      <x:c r="X32" s="161"/>
      <x:c r="Y32" s="161"/>
      <x:c r="Z32" s="161"/>
    </x:row>
    <x:row r="33">
      <x:c r="A33" s="180" t="str">
        <x:f>IF(B33&lt;&gt;"","CLI-"&amp;TEXT(ROW()-5,"000"),"")</x:f>
      </x:c>
      <x:c r="B33" s="108"/>
      <x:c r="C33" s="108"/>
      <x:c r="D33" s="108"/>
      <x:c r="E33" s="108"/>
      <x:c r="F33" s="108"/>
      <x:c r="G33" s="108"/>
      <x:c r="H33" s="108"/>
      <x:c r="I33" s="108"/>
      <x:c r="J33" s="108"/>
      <x:c r="K33" s="108"/>
      <x:c r="L33" s="112"/>
      <x:c r="M33" s="124"/>
      <x:c r="N33" s="108"/>
      <x:c r="O33" s="161"/>
      <x:c r="P33" s="161"/>
      <x:c r="Q33" s="161"/>
      <x:c r="R33" s="161"/>
      <x:c r="S33" s="161"/>
      <x:c r="T33" s="161"/>
      <x:c r="U33" s="161"/>
      <x:c r="V33" s="161"/>
      <x:c r="W33" s="161"/>
      <x:c r="X33" s="161"/>
      <x:c r="Y33" s="161"/>
      <x:c r="Z33" s="161"/>
    </x:row>
    <x:row r="34">
      <x:c r="A34" s="180" t="str">
        <x:f>IF(B34&lt;&gt;"","CLI-"&amp;TEXT(ROW()-5,"000"),"")</x:f>
      </x:c>
      <x:c r="B34" s="108"/>
      <x:c r="C34" s="108"/>
      <x:c r="D34" s="108"/>
      <x:c r="E34" s="108"/>
      <x:c r="F34" s="108"/>
      <x:c r="G34" s="108"/>
      <x:c r="H34" s="108"/>
      <x:c r="I34" s="108"/>
      <x:c r="J34" s="108"/>
      <x:c r="K34" s="108"/>
      <x:c r="L34" s="112"/>
      <x:c r="M34" s="124"/>
      <x:c r="N34" s="108"/>
      <x:c r="O34" s="161"/>
      <x:c r="P34" s="161"/>
      <x:c r="Q34" s="161"/>
      <x:c r="R34" s="161"/>
      <x:c r="S34" s="161"/>
      <x:c r="T34" s="161"/>
      <x:c r="U34" s="161"/>
      <x:c r="V34" s="161"/>
      <x:c r="W34" s="161"/>
      <x:c r="X34" s="161"/>
      <x:c r="Y34" s="161"/>
      <x:c r="Z34" s="161"/>
    </x:row>
    <x:row r="35">
      <x:c r="A35" s="180" t="str">
        <x:f>IF(B35&lt;&gt;"","CLI-"&amp;TEXT(ROW()-5,"000"),"")</x:f>
      </x:c>
      <x:c r="B35" s="108"/>
      <x:c r="C35" s="108"/>
      <x:c r="D35" s="108"/>
      <x:c r="E35" s="108"/>
      <x:c r="F35" s="108"/>
      <x:c r="G35" s="108"/>
      <x:c r="H35" s="108"/>
      <x:c r="I35" s="108"/>
      <x:c r="J35" s="108"/>
      <x:c r="K35" s="108"/>
      <x:c r="L35" s="112"/>
      <x:c r="M35" s="124"/>
      <x:c r="N35" s="108"/>
      <x:c r="O35" s="161"/>
      <x:c r="P35" s="161"/>
      <x:c r="Q35" s="161"/>
      <x:c r="R35" s="161"/>
      <x:c r="S35" s="161"/>
      <x:c r="T35" s="161"/>
      <x:c r="U35" s="161"/>
      <x:c r="V35" s="161"/>
      <x:c r="W35" s="161"/>
      <x:c r="X35" s="161"/>
      <x:c r="Y35" s="161"/>
      <x:c r="Z35" s="161"/>
    </x:row>
    <x:row r="36">
      <x:c r="A36" s="180" t="str">
        <x:f>IF(B36&lt;&gt;"","CLI-"&amp;TEXT(ROW()-5,"000"),"")</x:f>
      </x:c>
      <x:c r="B36" s="108"/>
      <x:c r="C36" s="108"/>
      <x:c r="D36" s="108"/>
      <x:c r="E36" s="108"/>
      <x:c r="F36" s="108"/>
      <x:c r="G36" s="108"/>
      <x:c r="H36" s="108"/>
      <x:c r="I36" s="108"/>
      <x:c r="J36" s="108"/>
      <x:c r="K36" s="108"/>
      <x:c r="L36" s="112"/>
      <x:c r="M36" s="124"/>
      <x:c r="N36" s="108"/>
      <x:c r="O36" s="161"/>
      <x:c r="P36" s="161"/>
      <x:c r="Q36" s="161"/>
      <x:c r="R36" s="161"/>
      <x:c r="S36" s="161"/>
      <x:c r="T36" s="161"/>
      <x:c r="U36" s="161"/>
      <x:c r="V36" s="161"/>
      <x:c r="W36" s="161"/>
      <x:c r="X36" s="161"/>
      <x:c r="Y36" s="161"/>
      <x:c r="Z36" s="161"/>
    </x:row>
    <x:row r="37">
      <x:c r="A37" s="180" t="str">
        <x:f>IF(B37&lt;&gt;"","CLI-"&amp;TEXT(ROW()-5,"000"),"")</x:f>
      </x:c>
      <x:c r="B37" s="108"/>
      <x:c r="C37" s="108"/>
      <x:c r="D37" s="108"/>
      <x:c r="E37" s="108"/>
      <x:c r="F37" s="108"/>
      <x:c r="G37" s="108"/>
      <x:c r="H37" s="108"/>
      <x:c r="I37" s="108"/>
      <x:c r="J37" s="108"/>
      <x:c r="K37" s="108"/>
      <x:c r="L37" s="112"/>
      <x:c r="M37" s="124"/>
      <x:c r="N37" s="108"/>
      <x:c r="O37" s="161"/>
      <x:c r="P37" s="161"/>
      <x:c r="Q37" s="161"/>
      <x:c r="R37" s="161"/>
      <x:c r="S37" s="161"/>
      <x:c r="T37" s="161"/>
      <x:c r="U37" s="161"/>
      <x:c r="V37" s="161"/>
      <x:c r="W37" s="161"/>
      <x:c r="X37" s="161"/>
      <x:c r="Y37" s="161"/>
      <x:c r="Z37" s="161"/>
    </x:row>
    <x:row r="38">
      <x:c r="A38" s="180" t="str">
        <x:f>IF(B38&lt;&gt;"","CLI-"&amp;TEXT(ROW()-5,"000"),"")</x:f>
      </x:c>
      <x:c r="B38" s="108"/>
      <x:c r="C38" s="108"/>
      <x:c r="D38" s="108"/>
      <x:c r="E38" s="108"/>
      <x:c r="F38" s="108"/>
      <x:c r="G38" s="108"/>
      <x:c r="H38" s="108"/>
      <x:c r="I38" s="108"/>
      <x:c r="J38" s="108"/>
      <x:c r="K38" s="108"/>
      <x:c r="L38" s="112"/>
      <x:c r="M38" s="124"/>
      <x:c r="N38" s="108"/>
      <x:c r="O38" s="161"/>
      <x:c r="P38" s="161"/>
      <x:c r="Q38" s="161"/>
      <x:c r="R38" s="161"/>
      <x:c r="S38" s="161"/>
      <x:c r="T38" s="161"/>
      <x:c r="U38" s="161"/>
      <x:c r="V38" s="161"/>
      <x:c r="W38" s="161"/>
      <x:c r="X38" s="161"/>
      <x:c r="Y38" s="161"/>
      <x:c r="Z38" s="161"/>
    </x:row>
    <x:row r="39">
      <x:c r="A39" s="180" t="str">
        <x:f>IF(B39&lt;&gt;"","CLI-"&amp;TEXT(ROW()-5,"000"),"")</x:f>
      </x:c>
      <x:c r="B39" s="108"/>
      <x:c r="C39" s="108"/>
      <x:c r="D39" s="108"/>
      <x:c r="E39" s="108"/>
      <x:c r="F39" s="108"/>
      <x:c r="G39" s="108"/>
      <x:c r="H39" s="108"/>
      <x:c r="I39" s="108"/>
      <x:c r="J39" s="108"/>
      <x:c r="K39" s="108"/>
      <x:c r="L39" s="112"/>
      <x:c r="M39" s="124"/>
      <x:c r="N39" s="108"/>
      <x:c r="O39" s="161"/>
      <x:c r="P39" s="161"/>
      <x:c r="Q39" s="161"/>
      <x:c r="R39" s="161"/>
      <x:c r="S39" s="161"/>
      <x:c r="T39" s="161"/>
      <x:c r="U39" s="161"/>
      <x:c r="V39" s="161"/>
      <x:c r="W39" s="161"/>
      <x:c r="X39" s="161"/>
      <x:c r="Y39" s="161"/>
      <x:c r="Z39" s="161"/>
    </x:row>
    <x:row r="40">
      <x:c r="A40" s="180" t="str">
        <x:f>IF(B40&lt;&gt;"","CLI-"&amp;TEXT(ROW()-5,"000"),"")</x:f>
      </x:c>
      <x:c r="B40" s="108"/>
      <x:c r="C40" s="108"/>
      <x:c r="D40" s="108"/>
      <x:c r="E40" s="108"/>
      <x:c r="F40" s="108"/>
      <x:c r="G40" s="108"/>
      <x:c r="H40" s="108"/>
      <x:c r="I40" s="108"/>
      <x:c r="J40" s="108"/>
      <x:c r="K40" s="108"/>
      <x:c r="L40" s="112"/>
      <x:c r="M40" s="124"/>
      <x:c r="N40" s="108"/>
      <x:c r="O40" s="161"/>
      <x:c r="P40" s="161"/>
      <x:c r="Q40" s="161"/>
      <x:c r="R40" s="161"/>
      <x:c r="S40" s="161"/>
      <x:c r="T40" s="161"/>
      <x:c r="U40" s="161"/>
      <x:c r="V40" s="161"/>
      <x:c r="W40" s="161"/>
      <x:c r="X40" s="161"/>
      <x:c r="Y40" s="161"/>
      <x:c r="Z40" s="161"/>
    </x:row>
    <x:row r="41">
      <x:c r="A41" s="180" t="str">
        <x:f>IF(B41&lt;&gt;"","CLI-"&amp;TEXT(ROW()-5,"000"),"")</x:f>
      </x:c>
      <x:c r="B41" s="108"/>
      <x:c r="C41" s="108"/>
      <x:c r="D41" s="108"/>
      <x:c r="E41" s="108"/>
      <x:c r="F41" s="108"/>
      <x:c r="G41" s="108"/>
      <x:c r="H41" s="108"/>
      <x:c r="I41" s="108"/>
      <x:c r="J41" s="108"/>
      <x:c r="K41" s="108"/>
      <x:c r="L41" s="112"/>
      <x:c r="M41" s="124"/>
      <x:c r="N41" s="108"/>
      <x:c r="O41" s="161"/>
      <x:c r="P41" s="161"/>
      <x:c r="Q41" s="161"/>
      <x:c r="R41" s="161"/>
      <x:c r="S41" s="161"/>
      <x:c r="T41" s="161"/>
      <x:c r="U41" s="161"/>
      <x:c r="V41" s="161"/>
      <x:c r="W41" s="161"/>
      <x:c r="X41" s="161"/>
      <x:c r="Y41" s="161"/>
      <x:c r="Z41" s="161"/>
    </x:row>
    <x:row r="42">
      <x:c r="A42" s="180" t="str">
        <x:f>IF(B42&lt;&gt;"","CLI-"&amp;TEXT(ROW()-5,"000"),"")</x:f>
      </x:c>
      <x:c r="B42" s="108"/>
      <x:c r="C42" s="108"/>
      <x:c r="D42" s="108"/>
      <x:c r="E42" s="108"/>
      <x:c r="F42" s="108"/>
      <x:c r="G42" s="108"/>
      <x:c r="H42" s="108"/>
      <x:c r="I42" s="108"/>
      <x:c r="J42" s="108"/>
      <x:c r="K42" s="108"/>
      <x:c r="L42" s="112"/>
      <x:c r="M42" s="124"/>
      <x:c r="N42" s="108"/>
      <x:c r="O42" s="161"/>
      <x:c r="P42" s="161"/>
      <x:c r="Q42" s="161"/>
      <x:c r="R42" s="161"/>
      <x:c r="S42" s="161"/>
      <x:c r="T42" s="161"/>
      <x:c r="U42" s="161"/>
      <x:c r="V42" s="161"/>
      <x:c r="W42" s="161"/>
      <x:c r="X42" s="161"/>
      <x:c r="Y42" s="161"/>
      <x:c r="Z42" s="161"/>
    </x:row>
    <x:row r="43">
      <x:c r="A43" s="180" t="str">
        <x:f>IF(B43&lt;&gt;"","CLI-"&amp;TEXT(ROW()-5,"000"),"")</x:f>
      </x:c>
      <x:c r="B43" s="108"/>
      <x:c r="C43" s="108"/>
      <x:c r="D43" s="108"/>
      <x:c r="E43" s="108"/>
      <x:c r="F43" s="108"/>
      <x:c r="G43" s="108"/>
      <x:c r="H43" s="108"/>
      <x:c r="I43" s="108"/>
      <x:c r="J43" s="108"/>
      <x:c r="K43" s="108"/>
      <x:c r="L43" s="112"/>
      <x:c r="M43" s="124"/>
      <x:c r="N43" s="108"/>
      <x:c r="O43" s="161"/>
      <x:c r="P43" s="161"/>
      <x:c r="Q43" s="161"/>
      <x:c r="R43" s="161"/>
      <x:c r="S43" s="161"/>
      <x:c r="T43" s="161"/>
      <x:c r="U43" s="161"/>
      <x:c r="V43" s="161"/>
      <x:c r="W43" s="161"/>
      <x:c r="X43" s="161"/>
      <x:c r="Y43" s="161"/>
      <x:c r="Z43" s="161"/>
    </x:row>
    <x:row r="44">
      <x:c r="A44" s="180" t="str">
        <x:f>IF(B44&lt;&gt;"","CLI-"&amp;TEXT(ROW()-5,"000"),"")</x:f>
      </x:c>
      <x:c r="B44" s="108"/>
      <x:c r="C44" s="108"/>
      <x:c r="D44" s="108"/>
      <x:c r="E44" s="108"/>
      <x:c r="F44" s="108"/>
      <x:c r="G44" s="108"/>
      <x:c r="H44" s="108"/>
      <x:c r="I44" s="108"/>
      <x:c r="J44" s="108"/>
      <x:c r="K44" s="108"/>
      <x:c r="L44" s="112"/>
      <x:c r="M44" s="124"/>
      <x:c r="N44" s="108"/>
      <x:c r="O44" s="161"/>
      <x:c r="P44" s="161"/>
      <x:c r="Q44" s="161"/>
      <x:c r="R44" s="161"/>
      <x:c r="S44" s="161"/>
      <x:c r="T44" s="161"/>
      <x:c r="U44" s="161"/>
      <x:c r="V44" s="161"/>
      <x:c r="W44" s="161"/>
      <x:c r="X44" s="161"/>
      <x:c r="Y44" s="161"/>
      <x:c r="Z44" s="161"/>
    </x:row>
    <x:row r="45">
      <x:c r="A45" s="180" t="str">
        <x:f>IF(B45&lt;&gt;"","CLI-"&amp;TEXT(ROW()-5,"000"),"")</x:f>
      </x:c>
      <x:c r="B45" s="108"/>
      <x:c r="C45" s="108"/>
      <x:c r="D45" s="108"/>
      <x:c r="E45" s="108"/>
      <x:c r="F45" s="108"/>
      <x:c r="G45" s="108"/>
      <x:c r="H45" s="108"/>
      <x:c r="I45" s="108"/>
      <x:c r="J45" s="108"/>
      <x:c r="K45" s="108"/>
      <x:c r="L45" s="112"/>
      <x:c r="M45" s="124"/>
      <x:c r="N45" s="108"/>
      <x:c r="O45" s="161"/>
      <x:c r="P45" s="161"/>
      <x:c r="Q45" s="161"/>
      <x:c r="R45" s="161"/>
      <x:c r="S45" s="161"/>
      <x:c r="T45" s="161"/>
      <x:c r="U45" s="161"/>
      <x:c r="V45" s="161"/>
      <x:c r="W45" s="161"/>
      <x:c r="X45" s="161"/>
      <x:c r="Y45" s="161"/>
      <x:c r="Z45" s="161"/>
    </x:row>
    <x:row r="46">
      <x:c r="A46" s="180" t="str">
        <x:f>IF(B46&lt;&gt;"","CLI-"&amp;TEXT(ROW()-5,"000"),"")</x:f>
      </x:c>
      <x:c r="B46" s="108"/>
      <x:c r="C46" s="108"/>
      <x:c r="D46" s="108"/>
      <x:c r="E46" s="108"/>
      <x:c r="F46" s="108"/>
      <x:c r="G46" s="108"/>
      <x:c r="H46" s="108"/>
      <x:c r="I46" s="108"/>
      <x:c r="J46" s="108"/>
      <x:c r="K46" s="108"/>
      <x:c r="L46" s="112"/>
      <x:c r="M46" s="124"/>
      <x:c r="N46" s="108"/>
      <x:c r="O46" s="161"/>
      <x:c r="P46" s="161"/>
      <x:c r="Q46" s="161"/>
      <x:c r="R46" s="161"/>
      <x:c r="S46" s="161"/>
      <x:c r="T46" s="161"/>
      <x:c r="U46" s="161"/>
      <x:c r="V46" s="161"/>
      <x:c r="W46" s="161"/>
      <x:c r="X46" s="161"/>
      <x:c r="Y46" s="161"/>
      <x:c r="Z46" s="161"/>
    </x:row>
    <x:row r="47">
      <x:c r="A47" s="180" t="str">
        <x:f>IF(B47&lt;&gt;"","CLI-"&amp;TEXT(ROW()-5,"000"),"")</x:f>
      </x:c>
      <x:c r="B47" s="108"/>
      <x:c r="C47" s="108"/>
      <x:c r="D47" s="108"/>
      <x:c r="E47" s="108"/>
      <x:c r="F47" s="108"/>
      <x:c r="G47" s="108"/>
      <x:c r="H47" s="108"/>
      <x:c r="I47" s="108"/>
      <x:c r="J47" s="108"/>
      <x:c r="K47" s="108"/>
      <x:c r="L47" s="112"/>
      <x:c r="M47" s="124"/>
      <x:c r="N47" s="108"/>
      <x:c r="O47" s="161"/>
      <x:c r="P47" s="161"/>
      <x:c r="Q47" s="161"/>
      <x:c r="R47" s="161"/>
      <x:c r="S47" s="161"/>
      <x:c r="T47" s="161"/>
      <x:c r="U47" s="161"/>
      <x:c r="V47" s="161"/>
      <x:c r="W47" s="161"/>
      <x:c r="X47" s="161"/>
      <x:c r="Y47" s="161"/>
      <x:c r="Z47" s="161"/>
    </x:row>
    <x:row r="48">
      <x:c r="A48" s="180" t="str">
        <x:f>IF(B48&lt;&gt;"","CLI-"&amp;TEXT(ROW()-5,"000"),"")</x:f>
      </x:c>
      <x:c r="B48" s="108"/>
      <x:c r="C48" s="108"/>
      <x:c r="D48" s="108"/>
      <x:c r="E48" s="108"/>
      <x:c r="F48" s="108"/>
      <x:c r="G48" s="108"/>
      <x:c r="H48" s="108"/>
      <x:c r="I48" s="108"/>
      <x:c r="J48" s="108"/>
      <x:c r="K48" s="108"/>
      <x:c r="L48" s="112"/>
      <x:c r="M48" s="124"/>
      <x:c r="N48" s="108"/>
      <x:c r="O48" s="161"/>
      <x:c r="P48" s="161"/>
      <x:c r="Q48" s="161"/>
      <x:c r="R48" s="161"/>
      <x:c r="S48" s="161"/>
      <x:c r="T48" s="161"/>
      <x:c r="U48" s="161"/>
      <x:c r="V48" s="161"/>
      <x:c r="W48" s="161"/>
      <x:c r="X48" s="161"/>
      <x:c r="Y48" s="161"/>
      <x:c r="Z48" s="161"/>
    </x:row>
    <x:row r="49">
      <x:c r="A49" s="180" t="str">
        <x:f>IF(B49&lt;&gt;"","CLI-"&amp;TEXT(ROW()-5,"000"),"")</x:f>
      </x:c>
      <x:c r="B49" s="108"/>
      <x:c r="C49" s="108"/>
      <x:c r="D49" s="108"/>
      <x:c r="E49" s="108"/>
      <x:c r="F49" s="108"/>
      <x:c r="G49" s="108"/>
      <x:c r="H49" s="108"/>
      <x:c r="I49" s="108"/>
      <x:c r="J49" s="108"/>
      <x:c r="K49" s="108"/>
      <x:c r="L49" s="112"/>
      <x:c r="M49" s="124"/>
      <x:c r="N49" s="108"/>
      <x:c r="O49" s="161"/>
      <x:c r="P49" s="161"/>
      <x:c r="Q49" s="161"/>
      <x:c r="R49" s="161"/>
      <x:c r="S49" s="161"/>
      <x:c r="T49" s="161"/>
      <x:c r="U49" s="161"/>
      <x:c r="V49" s="161"/>
      <x:c r="W49" s="161"/>
      <x:c r="X49" s="161"/>
      <x:c r="Y49" s="161"/>
      <x:c r="Z49" s="161"/>
    </x:row>
    <x:row r="50">
      <x:c r="A50" s="180" t="str">
        <x:f>IF(B50&lt;&gt;"","CLI-"&amp;TEXT(ROW()-5,"000"),"")</x:f>
      </x:c>
      <x:c r="B50" s="108"/>
      <x:c r="C50" s="108"/>
      <x:c r="D50" s="108"/>
      <x:c r="E50" s="108"/>
      <x:c r="F50" s="108"/>
      <x:c r="G50" s="108"/>
      <x:c r="H50" s="108"/>
      <x:c r="I50" s="108"/>
      <x:c r="J50" s="108"/>
      <x:c r="K50" s="108"/>
      <x:c r="L50" s="112"/>
      <x:c r="M50" s="124"/>
      <x:c r="N50" s="108"/>
      <x:c r="O50" s="161"/>
      <x:c r="P50" s="161"/>
      <x:c r="Q50" s="161"/>
      <x:c r="R50" s="161"/>
      <x:c r="S50" s="161"/>
      <x:c r="T50" s="161"/>
      <x:c r="U50" s="161"/>
      <x:c r="V50" s="161"/>
      <x:c r="W50" s="161"/>
      <x:c r="X50" s="161"/>
      <x:c r="Y50" s="161"/>
      <x:c r="Z50" s="161"/>
    </x:row>
    <x:row r="51">
      <x:c r="A51" s="180" t="str">
        <x:f>IF(B51&lt;&gt;"","CLI-"&amp;TEXT(ROW()-5,"000"),"")</x:f>
      </x:c>
      <x:c r="B51" s="108"/>
      <x:c r="C51" s="108"/>
      <x:c r="D51" s="108"/>
      <x:c r="E51" s="108"/>
      <x:c r="F51" s="108"/>
      <x:c r="G51" s="108"/>
      <x:c r="H51" s="108"/>
      <x:c r="I51" s="108"/>
      <x:c r="J51" s="108"/>
      <x:c r="K51" s="108"/>
      <x:c r="L51" s="112"/>
      <x:c r="M51" s="124"/>
      <x:c r="N51" s="108"/>
      <x:c r="O51" s="161"/>
      <x:c r="P51" s="161"/>
      <x:c r="Q51" s="161"/>
      <x:c r="R51" s="161"/>
      <x:c r="S51" s="161"/>
      <x:c r="T51" s="161"/>
      <x:c r="U51" s="161"/>
      <x:c r="V51" s="161"/>
      <x:c r="W51" s="161"/>
      <x:c r="X51" s="161"/>
      <x:c r="Y51" s="161"/>
      <x:c r="Z51" s="161"/>
    </x:row>
    <x:row r="52">
      <x:c r="A52" s="180" t="str">
        <x:f>IF(B52&lt;&gt;"","CLI-"&amp;TEXT(ROW()-5,"000"),"")</x:f>
      </x:c>
      <x:c r="B52" s="108"/>
      <x:c r="C52" s="108"/>
      <x:c r="D52" s="108"/>
      <x:c r="E52" s="108"/>
      <x:c r="F52" s="108"/>
      <x:c r="G52" s="108"/>
      <x:c r="H52" s="108"/>
      <x:c r="I52" s="108"/>
      <x:c r="J52" s="108"/>
      <x:c r="K52" s="108"/>
      <x:c r="L52" s="112"/>
      <x:c r="M52" s="124"/>
      <x:c r="N52" s="108"/>
      <x:c r="O52" s="161"/>
      <x:c r="P52" s="161"/>
      <x:c r="Q52" s="161"/>
      <x:c r="R52" s="161"/>
      <x:c r="S52" s="161"/>
      <x:c r="T52" s="161"/>
      <x:c r="U52" s="161"/>
      <x:c r="V52" s="161"/>
      <x:c r="W52" s="161"/>
      <x:c r="X52" s="161"/>
      <x:c r="Y52" s="161"/>
      <x:c r="Z52" s="161"/>
    </x:row>
    <x:row r="53">
      <x:c r="A53" s="180" t="str">
        <x:f>IF(B53&lt;&gt;"","CLI-"&amp;TEXT(ROW()-5,"000"),"")</x:f>
      </x:c>
      <x:c r="B53" s="108"/>
      <x:c r="C53" s="108"/>
      <x:c r="D53" s="108"/>
      <x:c r="E53" s="108"/>
      <x:c r="F53" s="108"/>
      <x:c r="G53" s="108"/>
      <x:c r="H53" s="108"/>
      <x:c r="I53" s="108"/>
      <x:c r="J53" s="108"/>
      <x:c r="K53" s="108"/>
      <x:c r="L53" s="112"/>
      <x:c r="M53" s="124"/>
      <x:c r="N53" s="108"/>
      <x:c r="O53" s="161"/>
      <x:c r="P53" s="161"/>
      <x:c r="Q53" s="161"/>
      <x:c r="R53" s="161"/>
      <x:c r="S53" s="161"/>
      <x:c r="T53" s="161"/>
      <x:c r="U53" s="161"/>
      <x:c r="V53" s="161"/>
      <x:c r="W53" s="161"/>
      <x:c r="X53" s="161"/>
      <x:c r="Y53" s="161"/>
      <x:c r="Z53" s="161"/>
    </x:row>
    <x:row r="54">
      <x:c r="A54" s="180" t="str">
        <x:f>IF(B54&lt;&gt;"","CLI-"&amp;TEXT(ROW()-5,"000"),"")</x:f>
      </x:c>
      <x:c r="B54" s="108"/>
      <x:c r="C54" s="108"/>
      <x:c r="D54" s="108"/>
      <x:c r="E54" s="108"/>
      <x:c r="F54" s="108"/>
      <x:c r="G54" s="108"/>
      <x:c r="H54" s="108"/>
      <x:c r="I54" s="108"/>
      <x:c r="J54" s="108"/>
      <x:c r="K54" s="108"/>
      <x:c r="L54" s="112"/>
      <x:c r="M54" s="124"/>
      <x:c r="N54" s="108"/>
      <x:c r="O54" s="161"/>
      <x:c r="P54" s="161"/>
      <x:c r="Q54" s="161"/>
      <x:c r="R54" s="161"/>
      <x:c r="S54" s="161"/>
      <x:c r="T54" s="161"/>
      <x:c r="U54" s="161"/>
      <x:c r="V54" s="161"/>
      <x:c r="W54" s="161"/>
      <x:c r="X54" s="161"/>
      <x:c r="Y54" s="161"/>
      <x:c r="Z54" s="161"/>
    </x:row>
    <x:row r="55">
      <x:c r="A55" s="180" t="str">
        <x:f>IF(B55&lt;&gt;"","CLI-"&amp;TEXT(ROW()-5,"000"),"")</x:f>
      </x:c>
      <x:c r="B55" s="108"/>
      <x:c r="C55" s="108"/>
      <x:c r="D55" s="108"/>
      <x:c r="E55" s="108"/>
      <x:c r="F55" s="108"/>
      <x:c r="G55" s="108"/>
      <x:c r="H55" s="108"/>
      <x:c r="I55" s="108"/>
      <x:c r="J55" s="108"/>
      <x:c r="K55" s="108"/>
      <x:c r="L55" s="112"/>
      <x:c r="M55" s="124"/>
      <x:c r="N55" s="108"/>
      <x:c r="O55" s="161"/>
      <x:c r="P55" s="161"/>
      <x:c r="Q55" s="161"/>
      <x:c r="R55" s="161"/>
      <x:c r="S55" s="161"/>
      <x:c r="T55" s="161"/>
      <x:c r="U55" s="161"/>
      <x:c r="V55" s="161"/>
      <x:c r="W55" s="161"/>
      <x:c r="X55" s="161"/>
      <x:c r="Y55" s="161"/>
      <x:c r="Z55" s="161"/>
    </x:row>
    <x:row r="56">
      <x:c r="A56" s="180" t="str">
        <x:f>IF(B56&lt;&gt;"","CLI-"&amp;TEXT(ROW()-5,"000"),"")</x:f>
      </x:c>
      <x:c r="B56" s="108"/>
      <x:c r="C56" s="108"/>
      <x:c r="D56" s="108"/>
      <x:c r="E56" s="108"/>
      <x:c r="F56" s="108"/>
      <x:c r="G56" s="108"/>
      <x:c r="H56" s="108"/>
      <x:c r="I56" s="108"/>
      <x:c r="J56" s="108"/>
      <x:c r="K56" s="108"/>
      <x:c r="L56" s="112"/>
      <x:c r="M56" s="124"/>
      <x:c r="N56" s="108"/>
      <x:c r="O56" s="161"/>
      <x:c r="P56" s="161"/>
      <x:c r="Q56" s="161"/>
      <x:c r="R56" s="161"/>
      <x:c r="S56" s="161"/>
      <x:c r="T56" s="161"/>
      <x:c r="U56" s="161"/>
      <x:c r="V56" s="161"/>
      <x:c r="W56" s="161"/>
      <x:c r="X56" s="161"/>
      <x:c r="Y56" s="161"/>
      <x:c r="Z56" s="161"/>
    </x:row>
    <x:row r="57">
      <x:c r="A57" s="180" t="str">
        <x:f>IF(B57&lt;&gt;"","CLI-"&amp;TEXT(ROW()-5,"000"),"")</x:f>
      </x:c>
      <x:c r="B57" s="108"/>
      <x:c r="C57" s="108"/>
      <x:c r="D57" s="108"/>
      <x:c r="E57" s="108"/>
      <x:c r="F57" s="108"/>
      <x:c r="G57" s="108"/>
      <x:c r="H57" s="108"/>
      <x:c r="I57" s="108"/>
      <x:c r="J57" s="108"/>
      <x:c r="K57" s="108"/>
      <x:c r="L57" s="112"/>
      <x:c r="M57" s="124"/>
      <x:c r="N57" s="108"/>
      <x:c r="O57" s="161"/>
      <x:c r="P57" s="161"/>
      <x:c r="Q57" s="161"/>
      <x:c r="R57" s="161"/>
      <x:c r="S57" s="161"/>
      <x:c r="T57" s="161"/>
      <x:c r="U57" s="161"/>
      <x:c r="V57" s="161"/>
      <x:c r="W57" s="161"/>
      <x:c r="X57" s="161"/>
      <x:c r="Y57" s="161"/>
      <x:c r="Z57" s="161"/>
    </x:row>
    <x:row r="58">
      <x:c r="A58" s="180" t="str">
        <x:f>IF(B58&lt;&gt;"","CLI-"&amp;TEXT(ROW()-5,"000"),"")</x:f>
      </x:c>
      <x:c r="B58" s="108"/>
      <x:c r="C58" s="108"/>
      <x:c r="D58" s="108"/>
      <x:c r="E58" s="108"/>
      <x:c r="F58" s="108"/>
      <x:c r="G58" s="108"/>
      <x:c r="H58" s="108"/>
      <x:c r="I58" s="108"/>
      <x:c r="J58" s="108"/>
      <x:c r="K58" s="108"/>
      <x:c r="L58" s="112"/>
      <x:c r="M58" s="124"/>
      <x:c r="N58" s="108"/>
      <x:c r="O58" s="161"/>
      <x:c r="P58" s="161"/>
      <x:c r="Q58" s="161"/>
      <x:c r="R58" s="161"/>
      <x:c r="S58" s="161"/>
      <x:c r="T58" s="161"/>
      <x:c r="U58" s="161"/>
      <x:c r="V58" s="161"/>
      <x:c r="W58" s="161"/>
      <x:c r="X58" s="161"/>
      <x:c r="Y58" s="161"/>
      <x:c r="Z58" s="161"/>
    </x:row>
    <x:row r="59">
      <x:c r="A59" s="180" t="str">
        <x:f>IF(B59&lt;&gt;"","CLI-"&amp;TEXT(ROW()-5,"000"),"")</x:f>
      </x:c>
      <x:c r="B59" s="108"/>
      <x:c r="C59" s="108"/>
      <x:c r="D59" s="108"/>
      <x:c r="E59" s="108"/>
      <x:c r="F59" s="108"/>
      <x:c r="G59" s="108"/>
      <x:c r="H59" s="108"/>
      <x:c r="I59" s="108"/>
      <x:c r="J59" s="108"/>
      <x:c r="K59" s="108"/>
      <x:c r="L59" s="112"/>
      <x:c r="M59" s="124"/>
      <x:c r="N59" s="108"/>
      <x:c r="O59" s="161"/>
      <x:c r="P59" s="161"/>
      <x:c r="Q59" s="161"/>
      <x:c r="R59" s="161"/>
      <x:c r="S59" s="161"/>
      <x:c r="T59" s="161"/>
      <x:c r="U59" s="161"/>
      <x:c r="V59" s="161"/>
      <x:c r="W59" s="161"/>
      <x:c r="X59" s="161"/>
      <x:c r="Y59" s="161"/>
      <x:c r="Z59" s="161"/>
    </x:row>
    <x:row r="60">
      <x:c r="A60" s="180" t="str">
        <x:f>IF(B60&lt;&gt;"","CLI-"&amp;TEXT(ROW()-5,"000"),"")</x:f>
      </x:c>
      <x:c r="B60" s="108"/>
      <x:c r="C60" s="108"/>
      <x:c r="D60" s="108"/>
      <x:c r="E60" s="108"/>
      <x:c r="F60" s="108"/>
      <x:c r="G60" s="108"/>
      <x:c r="H60" s="108"/>
      <x:c r="I60" s="108"/>
      <x:c r="J60" s="108"/>
      <x:c r="K60" s="108"/>
      <x:c r="L60" s="112"/>
      <x:c r="M60" s="124"/>
      <x:c r="N60" s="108"/>
      <x:c r="O60" s="161"/>
      <x:c r="P60" s="161"/>
      <x:c r="Q60" s="161"/>
      <x:c r="R60" s="161"/>
      <x:c r="S60" s="161"/>
      <x:c r="T60" s="161"/>
      <x:c r="U60" s="161"/>
      <x:c r="V60" s="161"/>
      <x:c r="W60" s="161"/>
      <x:c r="X60" s="161"/>
      <x:c r="Y60" s="161"/>
      <x:c r="Z60" s="161"/>
    </x:row>
    <x:row r="61">
      <x:c r="A61" s="180" t="str">
        <x:f>IF(B61&lt;&gt;"","CLI-"&amp;TEXT(ROW()-5,"000"),"")</x:f>
      </x:c>
      <x:c r="B61" s="108"/>
      <x:c r="C61" s="108"/>
      <x:c r="D61" s="108"/>
      <x:c r="E61" s="108"/>
      <x:c r="F61" s="108"/>
      <x:c r="G61" s="108"/>
      <x:c r="H61" s="108"/>
      <x:c r="I61" s="108"/>
      <x:c r="J61" s="108"/>
      <x:c r="K61" s="108"/>
      <x:c r="L61" s="112"/>
      <x:c r="M61" s="124"/>
      <x:c r="N61" s="108"/>
      <x:c r="O61" s="161"/>
      <x:c r="P61" s="161"/>
      <x:c r="Q61" s="161"/>
      <x:c r="R61" s="161"/>
      <x:c r="S61" s="161"/>
      <x:c r="T61" s="161"/>
      <x:c r="U61" s="161"/>
      <x:c r="V61" s="161"/>
      <x:c r="W61" s="161"/>
      <x:c r="X61" s="161"/>
      <x:c r="Y61" s="161"/>
      <x:c r="Z61" s="161"/>
    </x:row>
    <x:row r="62">
      <x:c r="A62" s="180" t="str">
        <x:f>IF(B62&lt;&gt;"","CLI-"&amp;TEXT(ROW()-5,"000"),"")</x:f>
      </x:c>
      <x:c r="B62" s="108"/>
      <x:c r="C62" s="108"/>
      <x:c r="D62" s="108"/>
      <x:c r="E62" s="108"/>
      <x:c r="F62" s="108"/>
      <x:c r="G62" s="108"/>
      <x:c r="H62" s="108"/>
      <x:c r="I62" s="108"/>
      <x:c r="J62" s="108"/>
      <x:c r="K62" s="108"/>
      <x:c r="L62" s="112"/>
      <x:c r="M62" s="124"/>
      <x:c r="N62" s="108"/>
      <x:c r="O62" s="161"/>
      <x:c r="P62" s="161"/>
      <x:c r="Q62" s="161"/>
      <x:c r="R62" s="161"/>
      <x:c r="S62" s="161"/>
      <x:c r="T62" s="161"/>
      <x:c r="U62" s="161"/>
      <x:c r="V62" s="161"/>
      <x:c r="W62" s="161"/>
      <x:c r="X62" s="161"/>
      <x:c r="Y62" s="161"/>
      <x:c r="Z62" s="161"/>
    </x:row>
    <x:row r="63">
      <x:c r="A63" s="180" t="str">
        <x:f>IF(B63&lt;&gt;"","CLI-"&amp;TEXT(ROW()-5,"000"),"")</x:f>
      </x:c>
      <x:c r="B63" s="108"/>
      <x:c r="C63" s="108"/>
      <x:c r="D63" s="108"/>
      <x:c r="E63" s="108"/>
      <x:c r="F63" s="108"/>
      <x:c r="G63" s="108"/>
      <x:c r="H63" s="108"/>
      <x:c r="I63" s="108"/>
      <x:c r="J63" s="108"/>
      <x:c r="K63" s="108"/>
      <x:c r="L63" s="112"/>
      <x:c r="M63" s="124"/>
      <x:c r="N63" s="108"/>
      <x:c r="O63" s="161"/>
      <x:c r="P63" s="161"/>
      <x:c r="Q63" s="161"/>
      <x:c r="R63" s="161"/>
      <x:c r="S63" s="161"/>
      <x:c r="T63" s="161"/>
      <x:c r="U63" s="161"/>
      <x:c r="V63" s="161"/>
      <x:c r="W63" s="161"/>
      <x:c r="X63" s="161"/>
      <x:c r="Y63" s="161"/>
      <x:c r="Z63" s="161"/>
    </x:row>
    <x:row r="64">
      <x:c r="A64" s="180" t="str">
        <x:f>IF(B64&lt;&gt;"","CLI-"&amp;TEXT(ROW()-5,"000"),"")</x:f>
      </x:c>
      <x:c r="B64" s="108"/>
      <x:c r="C64" s="108"/>
      <x:c r="D64" s="108"/>
      <x:c r="E64" s="108"/>
      <x:c r="F64" s="108"/>
      <x:c r="G64" s="108"/>
      <x:c r="H64" s="108"/>
      <x:c r="I64" s="108"/>
      <x:c r="J64" s="108"/>
      <x:c r="K64" s="108"/>
      <x:c r="L64" s="112"/>
      <x:c r="M64" s="124"/>
      <x:c r="N64" s="108"/>
      <x:c r="O64" s="161"/>
      <x:c r="P64" s="161"/>
      <x:c r="Q64" s="161"/>
      <x:c r="R64" s="161"/>
      <x:c r="S64" s="161"/>
      <x:c r="T64" s="161"/>
      <x:c r="U64" s="161"/>
      <x:c r="V64" s="161"/>
      <x:c r="W64" s="161"/>
      <x:c r="X64" s="161"/>
      <x:c r="Y64" s="161"/>
      <x:c r="Z64" s="161"/>
    </x:row>
    <x:row r="65">
      <x:c r="A65" s="180" t="str">
        <x:f>IF(B65&lt;&gt;"","CLI-"&amp;TEXT(ROW()-5,"000"),"")</x:f>
      </x:c>
      <x:c r="B65" s="108"/>
      <x:c r="C65" s="108"/>
      <x:c r="D65" s="108"/>
      <x:c r="E65" s="108"/>
      <x:c r="F65" s="108"/>
      <x:c r="G65" s="108"/>
      <x:c r="H65" s="108"/>
      <x:c r="I65" s="108"/>
      <x:c r="J65" s="108"/>
      <x:c r="K65" s="108"/>
      <x:c r="L65" s="112"/>
      <x:c r="M65" s="124"/>
      <x:c r="N65" s="108"/>
      <x:c r="O65" s="161"/>
      <x:c r="P65" s="161"/>
      <x:c r="Q65" s="161"/>
      <x:c r="R65" s="161"/>
      <x:c r="S65" s="161"/>
      <x:c r="T65" s="161"/>
      <x:c r="U65" s="161"/>
      <x:c r="V65" s="161"/>
      <x:c r="W65" s="161"/>
      <x:c r="X65" s="161"/>
      <x:c r="Y65" s="161"/>
      <x:c r="Z65" s="161"/>
    </x:row>
    <x:row r="66">
      <x:c r="A66" s="180" t="str">
        <x:f>IF(B66&lt;&gt;"","CLI-"&amp;TEXT(ROW()-5,"000"),"")</x:f>
      </x:c>
      <x:c r="B66" s="108"/>
      <x:c r="C66" s="108"/>
      <x:c r="D66" s="108"/>
      <x:c r="E66" s="108"/>
      <x:c r="F66" s="108"/>
      <x:c r="G66" s="108"/>
      <x:c r="H66" s="108"/>
      <x:c r="I66" s="108"/>
      <x:c r="J66" s="108"/>
      <x:c r="K66" s="108"/>
      <x:c r="L66" s="112"/>
      <x:c r="M66" s="124"/>
      <x:c r="N66" s="108"/>
      <x:c r="O66" s="161"/>
      <x:c r="P66" s="161"/>
      <x:c r="Q66" s="161"/>
      <x:c r="R66" s="161"/>
      <x:c r="S66" s="161"/>
      <x:c r="T66" s="161"/>
      <x:c r="U66" s="161"/>
      <x:c r="V66" s="161"/>
      <x:c r="W66" s="161"/>
      <x:c r="X66" s="161"/>
      <x:c r="Y66" s="161"/>
      <x:c r="Z66" s="161"/>
    </x:row>
    <x:row r="67">
      <x:c r="A67" s="180" t="str">
        <x:f>IF(B67&lt;&gt;"","CLI-"&amp;TEXT(ROW()-5,"000"),"")</x:f>
      </x:c>
      <x:c r="B67" s="108"/>
      <x:c r="C67" s="108"/>
      <x:c r="D67" s="108"/>
      <x:c r="E67" s="108"/>
      <x:c r="F67" s="108"/>
      <x:c r="G67" s="108"/>
      <x:c r="H67" s="108"/>
      <x:c r="I67" s="108"/>
      <x:c r="J67" s="108"/>
      <x:c r="K67" s="108"/>
      <x:c r="L67" s="112"/>
      <x:c r="M67" s="124"/>
      <x:c r="N67" s="108"/>
      <x:c r="O67" s="161"/>
      <x:c r="P67" s="161"/>
      <x:c r="Q67" s="161"/>
      <x:c r="R67" s="161"/>
      <x:c r="S67" s="161"/>
      <x:c r="T67" s="161"/>
      <x:c r="U67" s="161"/>
      <x:c r="V67" s="161"/>
      <x:c r="W67" s="161"/>
      <x:c r="X67" s="161"/>
      <x:c r="Y67" s="161"/>
      <x:c r="Z67" s="161"/>
    </x:row>
    <x:row r="68">
      <x:c r="A68" s="180" t="str">
        <x:f>IF(B68&lt;&gt;"","CLI-"&amp;TEXT(ROW()-5,"000"),"")</x:f>
      </x:c>
      <x:c r="B68" s="108"/>
      <x:c r="C68" s="108"/>
      <x:c r="D68" s="108"/>
      <x:c r="E68" s="108"/>
      <x:c r="F68" s="108"/>
      <x:c r="G68" s="108"/>
      <x:c r="H68" s="108"/>
      <x:c r="I68" s="108"/>
      <x:c r="J68" s="108"/>
      <x:c r="K68" s="108"/>
      <x:c r="L68" s="112"/>
      <x:c r="M68" s="124"/>
      <x:c r="N68" s="108"/>
      <x:c r="O68" s="161"/>
      <x:c r="P68" s="161"/>
      <x:c r="Q68" s="161"/>
      <x:c r="R68" s="161"/>
      <x:c r="S68" s="161"/>
      <x:c r="T68" s="161"/>
      <x:c r="U68" s="161"/>
      <x:c r="V68" s="161"/>
      <x:c r="W68" s="161"/>
      <x:c r="X68" s="161"/>
      <x:c r="Y68" s="161"/>
      <x:c r="Z68" s="161"/>
    </x:row>
    <x:row r="69">
      <x:c r="A69" s="180" t="str">
        <x:f>IF(B69&lt;&gt;"","CLI-"&amp;TEXT(ROW()-5,"000"),"")</x:f>
      </x:c>
      <x:c r="B69" s="108"/>
      <x:c r="C69" s="108"/>
      <x:c r="D69" s="108"/>
      <x:c r="E69" s="108"/>
      <x:c r="F69" s="108"/>
      <x:c r="G69" s="108"/>
      <x:c r="H69" s="108"/>
      <x:c r="I69" s="108"/>
      <x:c r="J69" s="108"/>
      <x:c r="K69" s="108"/>
      <x:c r="L69" s="112"/>
      <x:c r="M69" s="124"/>
      <x:c r="N69" s="108"/>
      <x:c r="O69" s="161"/>
      <x:c r="P69" s="161"/>
      <x:c r="Q69" s="161"/>
      <x:c r="R69" s="161"/>
      <x:c r="S69" s="161"/>
      <x:c r="T69" s="161"/>
      <x:c r="U69" s="161"/>
      <x:c r="V69" s="161"/>
      <x:c r="W69" s="161"/>
      <x:c r="X69" s="161"/>
      <x:c r="Y69" s="161"/>
      <x:c r="Z69" s="161"/>
    </x:row>
    <x:row r="70">
      <x:c r="A70" s="180" t="str">
        <x:f>IF(B70&lt;&gt;"","CLI-"&amp;TEXT(ROW()-5,"000"),"")</x:f>
      </x:c>
      <x:c r="B70" s="108"/>
      <x:c r="C70" s="108"/>
      <x:c r="D70" s="108"/>
      <x:c r="E70" s="108"/>
      <x:c r="F70" s="108"/>
      <x:c r="G70" s="108"/>
      <x:c r="H70" s="108"/>
      <x:c r="I70" s="108"/>
      <x:c r="J70" s="108"/>
      <x:c r="K70" s="108"/>
      <x:c r="L70" s="112"/>
      <x:c r="M70" s="124"/>
      <x:c r="N70" s="108"/>
      <x:c r="O70" s="161"/>
      <x:c r="P70" s="161"/>
      <x:c r="Q70" s="161"/>
      <x:c r="R70" s="161"/>
      <x:c r="S70" s="161"/>
      <x:c r="T70" s="161"/>
      <x:c r="U70" s="161"/>
      <x:c r="V70" s="161"/>
      <x:c r="W70" s="161"/>
      <x:c r="X70" s="161"/>
      <x:c r="Y70" s="161"/>
      <x:c r="Z70" s="161"/>
    </x:row>
    <x:row r="71">
      <x:c r="A71" s="180" t="str">
        <x:f>IF(B71&lt;&gt;"","CLI-"&amp;TEXT(ROW()-5,"000"),"")</x:f>
      </x:c>
      <x:c r="B71" s="108"/>
      <x:c r="C71" s="108"/>
      <x:c r="D71" s="108"/>
      <x:c r="E71" s="108"/>
      <x:c r="F71" s="108"/>
      <x:c r="G71" s="108"/>
      <x:c r="H71" s="108"/>
      <x:c r="I71" s="108"/>
      <x:c r="J71" s="108"/>
      <x:c r="K71" s="108"/>
      <x:c r="L71" s="112"/>
      <x:c r="M71" s="124"/>
      <x:c r="N71" s="108"/>
      <x:c r="O71" s="161"/>
      <x:c r="P71" s="161"/>
      <x:c r="Q71" s="161"/>
      <x:c r="R71" s="161"/>
      <x:c r="S71" s="161"/>
      <x:c r="T71" s="161"/>
      <x:c r="U71" s="161"/>
      <x:c r="V71" s="161"/>
      <x:c r="W71" s="161"/>
      <x:c r="X71" s="161"/>
      <x:c r="Y71" s="161"/>
      <x:c r="Z71" s="161"/>
    </x:row>
    <x:row r="72">
      <x:c r="A72" s="180" t="str">
        <x:f>IF(B72&lt;&gt;"","CLI-"&amp;TEXT(ROW()-5,"000"),"")</x:f>
      </x:c>
      <x:c r="B72" s="108"/>
      <x:c r="C72" s="108"/>
      <x:c r="D72" s="108"/>
      <x:c r="E72" s="108"/>
      <x:c r="F72" s="108"/>
      <x:c r="G72" s="108"/>
      <x:c r="H72" s="108"/>
      <x:c r="I72" s="108"/>
      <x:c r="J72" s="108"/>
      <x:c r="K72" s="108"/>
      <x:c r="L72" s="112"/>
      <x:c r="M72" s="124"/>
      <x:c r="N72" s="108"/>
      <x:c r="O72" s="161"/>
      <x:c r="P72" s="161"/>
      <x:c r="Q72" s="161"/>
      <x:c r="R72" s="161"/>
      <x:c r="S72" s="161"/>
      <x:c r="T72" s="161"/>
      <x:c r="U72" s="161"/>
      <x:c r="V72" s="161"/>
      <x:c r="W72" s="161"/>
      <x:c r="X72" s="161"/>
      <x:c r="Y72" s="161"/>
      <x:c r="Z72" s="161"/>
    </x:row>
    <x:row r="73">
      <x:c r="A73" s="180" t="str">
        <x:f>IF(B73&lt;&gt;"","CLI-"&amp;TEXT(ROW()-5,"000"),"")</x:f>
      </x:c>
      <x:c r="B73" s="108"/>
      <x:c r="C73" s="108"/>
      <x:c r="D73" s="108"/>
      <x:c r="E73" s="108"/>
      <x:c r="F73" s="108"/>
      <x:c r="G73" s="108"/>
      <x:c r="H73" s="108"/>
      <x:c r="I73" s="108"/>
      <x:c r="J73" s="108"/>
      <x:c r="K73" s="108"/>
      <x:c r="L73" s="112"/>
      <x:c r="M73" s="124"/>
      <x:c r="N73" s="108"/>
      <x:c r="O73" s="161"/>
      <x:c r="P73" s="161"/>
      <x:c r="Q73" s="161"/>
      <x:c r="R73" s="161"/>
      <x:c r="S73" s="161"/>
      <x:c r="T73" s="161"/>
      <x:c r="U73" s="161"/>
      <x:c r="V73" s="161"/>
      <x:c r="W73" s="161"/>
      <x:c r="X73" s="161"/>
      <x:c r="Y73" s="161"/>
      <x:c r="Z73" s="161"/>
    </x:row>
    <x:row r="74">
      <x:c r="A74" s="180" t="str">
        <x:f>IF(B74&lt;&gt;"","CLI-"&amp;TEXT(ROW()-5,"000"),"")</x:f>
      </x:c>
      <x:c r="B74" s="108"/>
      <x:c r="C74" s="108"/>
      <x:c r="D74" s="108"/>
      <x:c r="E74" s="108"/>
      <x:c r="F74" s="108"/>
      <x:c r="G74" s="108"/>
      <x:c r="H74" s="108"/>
      <x:c r="I74" s="108"/>
      <x:c r="J74" s="108"/>
      <x:c r="K74" s="108"/>
      <x:c r="L74" s="112"/>
      <x:c r="M74" s="124"/>
      <x:c r="N74" s="108"/>
      <x:c r="O74" s="161"/>
      <x:c r="P74" s="161"/>
      <x:c r="Q74" s="161"/>
      <x:c r="R74" s="161"/>
      <x:c r="S74" s="161"/>
      <x:c r="T74" s="161"/>
      <x:c r="U74" s="161"/>
      <x:c r="V74" s="161"/>
      <x:c r="W74" s="161"/>
      <x:c r="X74" s="161"/>
      <x:c r="Y74" s="161"/>
      <x:c r="Z74" s="161"/>
    </x:row>
    <x:row r="75">
      <x:c r="A75" s="180" t="str">
        <x:f>IF(B75&lt;&gt;"","CLI-"&amp;TEXT(ROW()-5,"000"),"")</x:f>
      </x:c>
      <x:c r="B75" s="108"/>
      <x:c r="C75" s="108"/>
      <x:c r="D75" s="108"/>
      <x:c r="E75" s="108"/>
      <x:c r="F75" s="108"/>
      <x:c r="G75" s="108"/>
      <x:c r="H75" s="108"/>
      <x:c r="I75" s="108"/>
      <x:c r="J75" s="108"/>
      <x:c r="K75" s="108"/>
      <x:c r="L75" s="112"/>
      <x:c r="M75" s="124"/>
      <x:c r="N75" s="108"/>
      <x:c r="O75" s="161"/>
      <x:c r="P75" s="161"/>
      <x:c r="Q75" s="161"/>
      <x:c r="R75" s="161"/>
      <x:c r="S75" s="161"/>
      <x:c r="T75" s="161"/>
      <x:c r="U75" s="161"/>
      <x:c r="V75" s="161"/>
      <x:c r="W75" s="161"/>
      <x:c r="X75" s="161"/>
      <x:c r="Y75" s="161"/>
      <x:c r="Z75" s="161"/>
    </x:row>
    <x:row r="76">
      <x:c r="A76" s="180" t="str">
        <x:f>IF(B76&lt;&gt;"","CLI-"&amp;TEXT(ROW()-5,"000"),"")</x:f>
      </x:c>
      <x:c r="B76" s="108"/>
      <x:c r="C76" s="108"/>
      <x:c r="D76" s="108"/>
      <x:c r="E76" s="108"/>
      <x:c r="F76" s="108"/>
      <x:c r="G76" s="108"/>
      <x:c r="H76" s="108"/>
      <x:c r="I76" s="108"/>
      <x:c r="J76" s="108"/>
      <x:c r="K76" s="108"/>
      <x:c r="L76" s="112"/>
      <x:c r="M76" s="124"/>
      <x:c r="N76" s="108"/>
      <x:c r="O76" s="161"/>
      <x:c r="P76" s="161"/>
      <x:c r="Q76" s="161"/>
      <x:c r="R76" s="161"/>
      <x:c r="S76" s="161"/>
      <x:c r="T76" s="161"/>
      <x:c r="U76" s="161"/>
      <x:c r="V76" s="161"/>
      <x:c r="W76" s="161"/>
      <x:c r="X76" s="161"/>
      <x:c r="Y76" s="161"/>
      <x:c r="Z76" s="161"/>
    </x:row>
    <x:row r="77">
      <x:c r="A77" s="180" t="str">
        <x:f>IF(B77&lt;&gt;"","CLI-"&amp;TEXT(ROW()-5,"000"),"")</x:f>
      </x:c>
      <x:c r="B77" s="108"/>
      <x:c r="C77" s="108"/>
      <x:c r="D77" s="108"/>
      <x:c r="E77" s="108"/>
      <x:c r="F77" s="108"/>
      <x:c r="G77" s="108"/>
      <x:c r="H77" s="108"/>
      <x:c r="I77" s="108"/>
      <x:c r="J77" s="108"/>
      <x:c r="K77" s="108"/>
      <x:c r="L77" s="112"/>
      <x:c r="M77" s="124"/>
      <x:c r="N77" s="108"/>
      <x:c r="O77" s="161"/>
      <x:c r="P77" s="161"/>
      <x:c r="Q77" s="161"/>
      <x:c r="R77" s="161"/>
      <x:c r="S77" s="161"/>
      <x:c r="T77" s="161"/>
      <x:c r="U77" s="161"/>
      <x:c r="V77" s="161"/>
      <x:c r="W77" s="161"/>
      <x:c r="X77" s="161"/>
      <x:c r="Y77" s="161"/>
      <x:c r="Z77" s="161"/>
    </x:row>
    <x:row r="78">
      <x:c r="A78" s="180" t="str">
        <x:f>IF(B78&lt;&gt;"","CLI-"&amp;TEXT(ROW()-5,"000"),"")</x:f>
      </x:c>
      <x:c r="B78" s="108"/>
      <x:c r="C78" s="108"/>
      <x:c r="D78" s="108"/>
      <x:c r="E78" s="108"/>
      <x:c r="F78" s="108"/>
      <x:c r="G78" s="108"/>
      <x:c r="H78" s="108"/>
      <x:c r="I78" s="108"/>
      <x:c r="J78" s="108"/>
      <x:c r="K78" s="108"/>
      <x:c r="L78" s="112"/>
      <x:c r="M78" s="124"/>
      <x:c r="N78" s="108"/>
      <x:c r="O78" s="161"/>
      <x:c r="P78" s="161"/>
      <x:c r="Q78" s="161"/>
      <x:c r="R78" s="161"/>
      <x:c r="S78" s="161"/>
      <x:c r="T78" s="161"/>
      <x:c r="U78" s="161"/>
      <x:c r="V78" s="161"/>
      <x:c r="W78" s="161"/>
      <x:c r="X78" s="161"/>
      <x:c r="Y78" s="161"/>
      <x:c r="Z78" s="161"/>
    </x:row>
    <x:row r="79">
      <x:c r="A79" s="180" t="str">
        <x:f>IF(B79&lt;&gt;"","CLI-"&amp;TEXT(ROW()-5,"000"),"")</x:f>
      </x:c>
      <x:c r="B79" s="108"/>
      <x:c r="C79" s="108"/>
      <x:c r="D79" s="108"/>
      <x:c r="E79" s="108"/>
      <x:c r="F79" s="108"/>
      <x:c r="G79" s="108"/>
      <x:c r="H79" s="108"/>
      <x:c r="I79" s="108"/>
      <x:c r="J79" s="108"/>
      <x:c r="K79" s="108"/>
      <x:c r="L79" s="112"/>
      <x:c r="M79" s="124"/>
      <x:c r="N79" s="108"/>
      <x:c r="O79" s="161"/>
      <x:c r="P79" s="161"/>
      <x:c r="Q79" s="161"/>
      <x:c r="R79" s="161"/>
      <x:c r="S79" s="161"/>
      <x:c r="T79" s="161"/>
      <x:c r="U79" s="161"/>
      <x:c r="V79" s="161"/>
      <x:c r="W79" s="161"/>
      <x:c r="X79" s="161"/>
      <x:c r="Y79" s="161"/>
      <x:c r="Z79" s="161"/>
    </x:row>
    <x:row r="80">
      <x:c r="A80" s="180" t="str">
        <x:f>IF(B80&lt;&gt;"","CLI-"&amp;TEXT(ROW()-5,"000"),"")</x:f>
      </x:c>
      <x:c r="B80" s="108"/>
      <x:c r="C80" s="108"/>
      <x:c r="D80" s="108"/>
      <x:c r="E80" s="108"/>
      <x:c r="F80" s="108"/>
      <x:c r="G80" s="108"/>
      <x:c r="H80" s="108"/>
      <x:c r="I80" s="108"/>
      <x:c r="J80" s="108"/>
      <x:c r="K80" s="108"/>
      <x:c r="L80" s="112"/>
      <x:c r="M80" s="124"/>
      <x:c r="N80" s="108"/>
      <x:c r="O80" s="161"/>
      <x:c r="P80" s="161"/>
      <x:c r="Q80" s="161"/>
      <x:c r="R80" s="161"/>
      <x:c r="S80" s="161"/>
      <x:c r="T80" s="161"/>
      <x:c r="U80" s="161"/>
      <x:c r="V80" s="161"/>
      <x:c r="W80" s="161"/>
      <x:c r="X80" s="161"/>
      <x:c r="Y80" s="161"/>
      <x:c r="Z80" s="161"/>
    </x:row>
    <x:row r="81">
      <x:c r="A81" s="180" t="str">
        <x:f>IF(B81&lt;&gt;"","CLI-"&amp;TEXT(ROW()-5,"000"),"")</x:f>
      </x:c>
      <x:c r="B81" s="108"/>
      <x:c r="C81" s="108"/>
      <x:c r="D81" s="108"/>
      <x:c r="E81" s="108"/>
      <x:c r="F81" s="108"/>
      <x:c r="G81" s="108"/>
      <x:c r="H81" s="108"/>
      <x:c r="I81" s="108"/>
      <x:c r="J81" s="108"/>
      <x:c r="K81" s="108"/>
      <x:c r="L81" s="112"/>
      <x:c r="M81" s="124"/>
      <x:c r="N81" s="108"/>
      <x:c r="O81" s="161"/>
      <x:c r="P81" s="161"/>
      <x:c r="Q81" s="161"/>
      <x:c r="R81" s="161"/>
      <x:c r="S81" s="161"/>
      <x:c r="T81" s="161"/>
      <x:c r="U81" s="161"/>
      <x:c r="V81" s="161"/>
      <x:c r="W81" s="161"/>
      <x:c r="X81" s="161"/>
      <x:c r="Y81" s="161"/>
      <x:c r="Z81" s="161"/>
    </x:row>
    <x:row r="82">
      <x:c r="A82" s="180" t="str">
        <x:f>IF(B82&lt;&gt;"","CLI-"&amp;TEXT(ROW()-5,"000"),"")</x:f>
      </x:c>
      <x:c r="B82" s="108"/>
      <x:c r="C82" s="108"/>
      <x:c r="D82" s="108"/>
      <x:c r="E82" s="108"/>
      <x:c r="F82" s="108"/>
      <x:c r="G82" s="108"/>
      <x:c r="H82" s="108"/>
      <x:c r="I82" s="108"/>
      <x:c r="J82" s="108"/>
      <x:c r="K82" s="108"/>
      <x:c r="L82" s="112"/>
      <x:c r="M82" s="124"/>
      <x:c r="N82" s="108"/>
      <x:c r="O82" s="161"/>
      <x:c r="P82" s="161"/>
      <x:c r="Q82" s="161"/>
      <x:c r="R82" s="161"/>
      <x:c r="S82" s="161"/>
      <x:c r="T82" s="161"/>
      <x:c r="U82" s="161"/>
      <x:c r="V82" s="161"/>
      <x:c r="W82" s="161"/>
      <x:c r="X82" s="161"/>
      <x:c r="Y82" s="161"/>
      <x:c r="Z82" s="161"/>
    </x:row>
    <x:row r="83">
      <x:c r="A83" s="180" t="str">
        <x:f>IF(B83&lt;&gt;"","CLI-"&amp;TEXT(ROW()-5,"000"),"")</x:f>
      </x:c>
      <x:c r="B83" s="108"/>
      <x:c r="C83" s="108"/>
      <x:c r="D83" s="108"/>
      <x:c r="E83" s="108"/>
      <x:c r="F83" s="108"/>
      <x:c r="G83" s="108"/>
      <x:c r="H83" s="108"/>
      <x:c r="I83" s="108"/>
      <x:c r="J83" s="108"/>
      <x:c r="K83" s="108"/>
      <x:c r="L83" s="112"/>
      <x:c r="M83" s="124"/>
      <x:c r="N83" s="108"/>
      <x:c r="O83" s="161"/>
      <x:c r="P83" s="161"/>
      <x:c r="Q83" s="161"/>
      <x:c r="R83" s="161"/>
      <x:c r="S83" s="161"/>
      <x:c r="T83" s="161"/>
      <x:c r="U83" s="161"/>
      <x:c r="V83" s="161"/>
      <x:c r="W83" s="161"/>
      <x:c r="X83" s="161"/>
      <x:c r="Y83" s="161"/>
      <x:c r="Z83" s="161"/>
    </x:row>
    <x:row r="84">
      <x:c r="A84" s="180" t="str">
        <x:f>IF(B84&lt;&gt;"","CLI-"&amp;TEXT(ROW()-5,"000"),"")</x:f>
      </x:c>
      <x:c r="B84" s="108"/>
      <x:c r="C84" s="108"/>
      <x:c r="D84" s="108"/>
      <x:c r="E84" s="108"/>
      <x:c r="F84" s="108"/>
      <x:c r="G84" s="108"/>
      <x:c r="H84" s="108"/>
      <x:c r="I84" s="108"/>
      <x:c r="J84" s="108"/>
      <x:c r="K84" s="108"/>
      <x:c r="L84" s="112"/>
      <x:c r="M84" s="124"/>
      <x:c r="N84" s="108"/>
      <x:c r="O84" s="161"/>
      <x:c r="P84" s="161"/>
      <x:c r="Q84" s="161"/>
      <x:c r="R84" s="161"/>
      <x:c r="S84" s="161"/>
      <x:c r="T84" s="161"/>
      <x:c r="U84" s="161"/>
      <x:c r="V84" s="161"/>
      <x:c r="W84" s="161"/>
      <x:c r="X84" s="161"/>
      <x:c r="Y84" s="161"/>
      <x:c r="Z84" s="161"/>
    </x:row>
    <x:row r="85">
      <x:c r="A85" s="180" t="str">
        <x:f>IF(B85&lt;&gt;"","CLI-"&amp;TEXT(ROW()-5,"000"),"")</x:f>
      </x:c>
      <x:c r="B85" s="108"/>
      <x:c r="C85" s="108"/>
      <x:c r="D85" s="108"/>
      <x:c r="E85" s="108"/>
      <x:c r="F85" s="108"/>
      <x:c r="G85" s="108"/>
      <x:c r="H85" s="108"/>
      <x:c r="I85" s="108"/>
      <x:c r="J85" s="108"/>
      <x:c r="K85" s="108"/>
      <x:c r="L85" s="112"/>
      <x:c r="M85" s="124"/>
      <x:c r="N85" s="108"/>
      <x:c r="O85" s="161"/>
      <x:c r="P85" s="161"/>
      <x:c r="Q85" s="161"/>
      <x:c r="R85" s="161"/>
      <x:c r="S85" s="161"/>
      <x:c r="T85" s="161"/>
      <x:c r="U85" s="161"/>
      <x:c r="V85" s="161"/>
      <x:c r="W85" s="161"/>
      <x:c r="X85" s="161"/>
      <x:c r="Y85" s="161"/>
      <x:c r="Z85" s="161"/>
    </x:row>
    <x:row r="86">
      <x:c r="A86" s="180" t="str">
        <x:f>IF(B86&lt;&gt;"","CLI-"&amp;TEXT(ROW()-5,"000"),"")</x:f>
      </x:c>
      <x:c r="B86" s="108"/>
      <x:c r="C86" s="108"/>
      <x:c r="D86" s="108"/>
      <x:c r="E86" s="108"/>
      <x:c r="F86" s="108"/>
      <x:c r="G86" s="108"/>
      <x:c r="H86" s="108"/>
      <x:c r="I86" s="108"/>
      <x:c r="J86" s="108"/>
      <x:c r="K86" s="108"/>
      <x:c r="L86" s="112"/>
      <x:c r="M86" s="124"/>
      <x:c r="N86" s="108"/>
      <x:c r="O86" s="161"/>
      <x:c r="P86" s="161"/>
      <x:c r="Q86" s="161"/>
      <x:c r="R86" s="161"/>
      <x:c r="S86" s="161"/>
      <x:c r="T86" s="161"/>
      <x:c r="U86" s="161"/>
      <x:c r="V86" s="161"/>
      <x:c r="W86" s="161"/>
      <x:c r="X86" s="161"/>
      <x:c r="Y86" s="161"/>
      <x:c r="Z86" s="161"/>
    </x:row>
    <x:row r="87">
      <x:c r="A87" s="180" t="str">
        <x:f>IF(B87&lt;&gt;"","CLI-"&amp;TEXT(ROW()-5,"000"),"")</x:f>
      </x:c>
      <x:c r="B87" s="108"/>
      <x:c r="C87" s="108"/>
      <x:c r="D87" s="108"/>
      <x:c r="E87" s="108"/>
      <x:c r="F87" s="108"/>
      <x:c r="G87" s="108"/>
      <x:c r="H87" s="108"/>
      <x:c r="I87" s="108"/>
      <x:c r="J87" s="108"/>
      <x:c r="K87" s="108"/>
      <x:c r="L87" s="112"/>
      <x:c r="M87" s="124"/>
      <x:c r="N87" s="108"/>
      <x:c r="O87" s="161"/>
      <x:c r="P87" s="161"/>
      <x:c r="Q87" s="161"/>
      <x:c r="R87" s="161"/>
      <x:c r="S87" s="161"/>
      <x:c r="T87" s="161"/>
      <x:c r="U87" s="161"/>
      <x:c r="V87" s="161"/>
      <x:c r="W87" s="161"/>
      <x:c r="X87" s="161"/>
      <x:c r="Y87" s="161"/>
      <x:c r="Z87" s="161"/>
    </x:row>
    <x:row r="88">
      <x:c r="A88" s="180" t="str">
        <x:f>IF(B88&lt;&gt;"","CLI-"&amp;TEXT(ROW()-5,"000"),"")</x:f>
      </x:c>
      <x:c r="B88" s="108"/>
      <x:c r="C88" s="108"/>
      <x:c r="D88" s="108"/>
      <x:c r="E88" s="108"/>
      <x:c r="F88" s="108"/>
      <x:c r="G88" s="108"/>
      <x:c r="H88" s="108"/>
      <x:c r="I88" s="108"/>
      <x:c r="J88" s="108"/>
      <x:c r="K88" s="108"/>
      <x:c r="L88" s="112"/>
      <x:c r="M88" s="124"/>
      <x:c r="N88" s="108"/>
      <x:c r="O88" s="161"/>
      <x:c r="P88" s="161"/>
      <x:c r="Q88" s="161"/>
      <x:c r="R88" s="161"/>
      <x:c r="S88" s="161"/>
      <x:c r="T88" s="161"/>
      <x:c r="U88" s="161"/>
      <x:c r="V88" s="161"/>
      <x:c r="W88" s="161"/>
      <x:c r="X88" s="161"/>
      <x:c r="Y88" s="161"/>
      <x:c r="Z88" s="161"/>
    </x:row>
    <x:row r="89">
      <x:c r="A89" s="180" t="str">
        <x:f>IF(B89&lt;&gt;"","CLI-"&amp;TEXT(ROW()-5,"000"),"")</x:f>
      </x:c>
      <x:c r="B89" s="108"/>
      <x:c r="C89" s="108"/>
      <x:c r="D89" s="108"/>
      <x:c r="E89" s="108"/>
      <x:c r="F89" s="108"/>
      <x:c r="G89" s="108"/>
      <x:c r="H89" s="108"/>
      <x:c r="I89" s="108"/>
      <x:c r="J89" s="108"/>
      <x:c r="K89" s="108"/>
      <x:c r="L89" s="112"/>
      <x:c r="M89" s="124"/>
      <x:c r="N89" s="108"/>
      <x:c r="O89" s="161"/>
      <x:c r="P89" s="161"/>
      <x:c r="Q89" s="161"/>
      <x:c r="R89" s="161"/>
      <x:c r="S89" s="161"/>
      <x:c r="T89" s="161"/>
      <x:c r="U89" s="161"/>
      <x:c r="V89" s="161"/>
      <x:c r="W89" s="161"/>
      <x:c r="X89" s="161"/>
      <x:c r="Y89" s="161"/>
      <x:c r="Z89" s="161"/>
    </x:row>
    <x:row r="90">
      <x:c r="A90" s="180" t="str">
        <x:f>IF(B90&lt;&gt;"","CLI-"&amp;TEXT(ROW()-5,"000"),"")</x:f>
      </x:c>
      <x:c r="B90" s="108"/>
      <x:c r="C90" s="108"/>
      <x:c r="D90" s="108"/>
      <x:c r="E90" s="108"/>
      <x:c r="F90" s="108"/>
      <x:c r="G90" s="108"/>
      <x:c r="H90" s="108"/>
      <x:c r="I90" s="108"/>
      <x:c r="J90" s="108"/>
      <x:c r="K90" s="108"/>
      <x:c r="L90" s="112"/>
      <x:c r="M90" s="124"/>
      <x:c r="N90" s="108"/>
      <x:c r="O90" s="161"/>
      <x:c r="P90" s="161"/>
      <x:c r="Q90" s="161"/>
      <x:c r="R90" s="161"/>
      <x:c r="S90" s="161"/>
      <x:c r="T90" s="161"/>
      <x:c r="U90" s="161"/>
      <x:c r="V90" s="161"/>
      <x:c r="W90" s="161"/>
      <x:c r="X90" s="161"/>
      <x:c r="Y90" s="161"/>
      <x:c r="Z90" s="161"/>
    </x:row>
    <x:row r="91">
      <x:c r="A91" s="180" t="str">
        <x:f>IF(B91&lt;&gt;"","CLI-"&amp;TEXT(ROW()-5,"000"),"")</x:f>
      </x:c>
      <x:c r="B91" s="108"/>
      <x:c r="C91" s="108"/>
      <x:c r="D91" s="108"/>
      <x:c r="E91" s="108"/>
      <x:c r="F91" s="108"/>
      <x:c r="G91" s="108"/>
      <x:c r="H91" s="108"/>
      <x:c r="I91" s="108"/>
      <x:c r="J91" s="108"/>
      <x:c r="K91" s="108"/>
      <x:c r="L91" s="112"/>
      <x:c r="M91" s="124"/>
      <x:c r="N91" s="108"/>
      <x:c r="O91" s="161"/>
      <x:c r="P91" s="161"/>
      <x:c r="Q91" s="161"/>
      <x:c r="R91" s="161"/>
      <x:c r="S91" s="161"/>
      <x:c r="T91" s="161"/>
      <x:c r="U91" s="161"/>
      <x:c r="V91" s="161"/>
      <x:c r="W91" s="161"/>
      <x:c r="X91" s="161"/>
      <x:c r="Y91" s="161"/>
      <x:c r="Z91" s="161"/>
    </x:row>
    <x:row r="92">
      <x:c r="A92" s="180" t="str">
        <x:f>IF(B92&lt;&gt;"","CLI-"&amp;TEXT(ROW()-5,"000"),"")</x:f>
      </x:c>
      <x:c r="B92" s="108"/>
      <x:c r="C92" s="108"/>
      <x:c r="D92" s="108"/>
      <x:c r="E92" s="108"/>
      <x:c r="F92" s="108"/>
      <x:c r="G92" s="108"/>
      <x:c r="H92" s="108"/>
      <x:c r="I92" s="108"/>
      <x:c r="J92" s="108"/>
      <x:c r="K92" s="108"/>
      <x:c r="L92" s="112"/>
      <x:c r="M92" s="124"/>
      <x:c r="N92" s="108"/>
      <x:c r="O92" s="161"/>
      <x:c r="P92" s="161"/>
      <x:c r="Q92" s="161"/>
      <x:c r="R92" s="161"/>
      <x:c r="S92" s="161"/>
      <x:c r="T92" s="161"/>
      <x:c r="U92" s="161"/>
      <x:c r="V92" s="161"/>
      <x:c r="W92" s="161"/>
      <x:c r="X92" s="161"/>
      <x:c r="Y92" s="161"/>
      <x:c r="Z92" s="161"/>
    </x:row>
    <x:row r="93">
      <x:c r="A93" s="180" t="str">
        <x:f>IF(B93&lt;&gt;"","CLI-"&amp;TEXT(ROW()-5,"000"),"")</x:f>
      </x:c>
      <x:c r="B93" s="108"/>
      <x:c r="C93" s="108"/>
      <x:c r="D93" s="108"/>
      <x:c r="E93" s="108"/>
      <x:c r="F93" s="108"/>
      <x:c r="G93" s="108"/>
      <x:c r="H93" s="108"/>
      <x:c r="I93" s="108"/>
      <x:c r="J93" s="108"/>
      <x:c r="K93" s="108"/>
      <x:c r="L93" s="112"/>
      <x:c r="M93" s="124"/>
      <x:c r="N93" s="108"/>
      <x:c r="O93" s="161"/>
      <x:c r="P93" s="161"/>
      <x:c r="Q93" s="161"/>
      <x:c r="R93" s="161"/>
      <x:c r="S93" s="161"/>
      <x:c r="T93" s="161"/>
      <x:c r="U93" s="161"/>
      <x:c r="V93" s="161"/>
      <x:c r="W93" s="161"/>
      <x:c r="X93" s="161"/>
      <x:c r="Y93" s="161"/>
      <x:c r="Z93" s="161"/>
    </x:row>
    <x:row r="94">
      <x:c r="A94" s="180" t="str">
        <x:f>IF(B94&lt;&gt;"","CLI-"&amp;TEXT(ROW()-5,"000"),"")</x:f>
      </x:c>
      <x:c r="B94" s="108"/>
      <x:c r="C94" s="108"/>
      <x:c r="D94" s="108"/>
      <x:c r="E94" s="108"/>
      <x:c r="F94" s="108"/>
      <x:c r="G94" s="108"/>
      <x:c r="H94" s="108"/>
      <x:c r="I94" s="108"/>
      <x:c r="J94" s="108"/>
      <x:c r="K94" s="108"/>
      <x:c r="L94" s="112"/>
      <x:c r="M94" s="124"/>
      <x:c r="N94" s="108"/>
      <x:c r="O94" s="161"/>
      <x:c r="P94" s="161"/>
      <x:c r="Q94" s="161"/>
      <x:c r="R94" s="161"/>
      <x:c r="S94" s="161"/>
      <x:c r="T94" s="161"/>
      <x:c r="U94" s="161"/>
      <x:c r="V94" s="161"/>
      <x:c r="W94" s="161"/>
      <x:c r="X94" s="161"/>
      <x:c r="Y94" s="161"/>
      <x:c r="Z94" s="161"/>
    </x:row>
    <x:row r="95">
      <x:c r="A95" s="180" t="str">
        <x:f>IF(B95&lt;&gt;"","CLI-"&amp;TEXT(ROW()-5,"000"),"")</x:f>
      </x:c>
      <x:c r="B95" s="108"/>
      <x:c r="C95" s="108"/>
      <x:c r="D95" s="108"/>
      <x:c r="E95" s="108"/>
      <x:c r="F95" s="108"/>
      <x:c r="G95" s="108"/>
      <x:c r="H95" s="108"/>
      <x:c r="I95" s="108"/>
      <x:c r="J95" s="108"/>
      <x:c r="K95" s="108"/>
      <x:c r="L95" s="112"/>
      <x:c r="M95" s="124"/>
      <x:c r="N95" s="108"/>
      <x:c r="O95" s="161"/>
      <x:c r="P95" s="161"/>
      <x:c r="Q95" s="161"/>
      <x:c r="R95" s="161"/>
      <x:c r="S95" s="161"/>
      <x:c r="T95" s="161"/>
      <x:c r="U95" s="161"/>
      <x:c r="V95" s="161"/>
      <x:c r="W95" s="161"/>
      <x:c r="X95" s="161"/>
      <x:c r="Y95" s="161"/>
      <x:c r="Z95" s="161"/>
    </x:row>
    <x:row r="96">
      <x:c r="A96" s="180" t="str">
        <x:f>IF(B96&lt;&gt;"","CLI-"&amp;TEXT(ROW()-5,"000"),"")</x:f>
      </x:c>
      <x:c r="B96" s="108"/>
      <x:c r="C96" s="108"/>
      <x:c r="D96" s="108"/>
      <x:c r="E96" s="108"/>
      <x:c r="F96" s="108"/>
      <x:c r="G96" s="108"/>
      <x:c r="H96" s="108"/>
      <x:c r="I96" s="108"/>
      <x:c r="J96" s="108"/>
      <x:c r="K96" s="108"/>
      <x:c r="L96" s="112"/>
      <x:c r="M96" s="124"/>
      <x:c r="N96" s="108"/>
      <x:c r="O96" s="161"/>
      <x:c r="P96" s="161"/>
      <x:c r="Q96" s="161"/>
      <x:c r="R96" s="161"/>
      <x:c r="S96" s="161"/>
      <x:c r="T96" s="161"/>
      <x:c r="U96" s="161"/>
      <x:c r="V96" s="161"/>
      <x:c r="W96" s="161"/>
      <x:c r="X96" s="161"/>
      <x:c r="Y96" s="161"/>
      <x:c r="Z96" s="161"/>
    </x:row>
    <x:row r="97">
      <x:c r="A97" s="180" t="str">
        <x:f>IF(B97&lt;&gt;"","CLI-"&amp;TEXT(ROW()-5,"000"),"")</x:f>
      </x:c>
      <x:c r="B97" s="108"/>
      <x:c r="C97" s="108"/>
      <x:c r="D97" s="108"/>
      <x:c r="E97" s="108"/>
      <x:c r="F97" s="108"/>
      <x:c r="G97" s="108"/>
      <x:c r="H97" s="108"/>
      <x:c r="I97" s="108"/>
      <x:c r="J97" s="108"/>
      <x:c r="K97" s="108"/>
      <x:c r="L97" s="112"/>
      <x:c r="M97" s="124"/>
      <x:c r="N97" s="108"/>
      <x:c r="O97" s="161"/>
      <x:c r="P97" s="161"/>
      <x:c r="Q97" s="161"/>
      <x:c r="R97" s="161"/>
      <x:c r="S97" s="161"/>
      <x:c r="T97" s="161"/>
      <x:c r="U97" s="161"/>
      <x:c r="V97" s="161"/>
      <x:c r="W97" s="161"/>
      <x:c r="X97" s="161"/>
      <x:c r="Y97" s="161"/>
      <x:c r="Z97" s="161"/>
    </x:row>
    <x:row r="98">
      <x:c r="A98" s="180" t="str">
        <x:f>IF(B98&lt;&gt;"","CLI-"&amp;TEXT(ROW()-5,"000"),"")</x:f>
      </x:c>
      <x:c r="B98" s="108"/>
      <x:c r="C98" s="108"/>
      <x:c r="D98" s="108"/>
      <x:c r="E98" s="108"/>
      <x:c r="F98" s="108"/>
      <x:c r="G98" s="108"/>
      <x:c r="H98" s="108"/>
      <x:c r="I98" s="108"/>
      <x:c r="J98" s="108"/>
      <x:c r="K98" s="108"/>
      <x:c r="L98" s="112"/>
      <x:c r="M98" s="124"/>
      <x:c r="N98" s="108"/>
      <x:c r="O98" s="161"/>
      <x:c r="P98" s="161"/>
      <x:c r="Q98" s="161"/>
      <x:c r="R98" s="161"/>
      <x:c r="S98" s="161"/>
      <x:c r="T98" s="161"/>
      <x:c r="U98" s="161"/>
      <x:c r="V98" s="161"/>
      <x:c r="W98" s="161"/>
      <x:c r="X98" s="161"/>
      <x:c r="Y98" s="161"/>
      <x:c r="Z98" s="161"/>
    </x:row>
    <x:row r="99">
      <x:c r="A99" s="180" t="str">
        <x:f>IF(B99&lt;&gt;"","CLI-"&amp;TEXT(ROW()-5,"000"),"")</x:f>
      </x:c>
      <x:c r="B99" s="108"/>
      <x:c r="C99" s="108"/>
      <x:c r="D99" s="108"/>
      <x:c r="E99" s="108"/>
      <x:c r="F99" s="108"/>
      <x:c r="G99" s="108"/>
      <x:c r="H99" s="108"/>
      <x:c r="I99" s="108"/>
      <x:c r="J99" s="108"/>
      <x:c r="K99" s="108"/>
      <x:c r="L99" s="112"/>
      <x:c r="M99" s="124"/>
      <x:c r="N99" s="108"/>
      <x:c r="O99" s="161"/>
      <x:c r="P99" s="161"/>
      <x:c r="Q99" s="161"/>
      <x:c r="R99" s="161"/>
      <x:c r="S99" s="161"/>
      <x:c r="T99" s="161"/>
      <x:c r="U99" s="161"/>
      <x:c r="V99" s="161"/>
      <x:c r="W99" s="161"/>
      <x:c r="X99" s="161"/>
      <x:c r="Y99" s="161"/>
      <x:c r="Z99" s="161"/>
    </x:row>
    <x:row r="100">
      <x:c r="A100" s="180" t="str">
        <x:f>IF(B100&lt;&gt;"","CLI-"&amp;TEXT(ROW()-5,"000"),"")</x:f>
      </x:c>
      <x:c r="B100" s="108"/>
      <x:c r="C100" s="108"/>
      <x:c r="D100" s="108"/>
      <x:c r="E100" s="108"/>
      <x:c r="F100" s="108"/>
      <x:c r="G100" s="108"/>
      <x:c r="H100" s="108"/>
      <x:c r="I100" s="108"/>
      <x:c r="J100" s="108"/>
      <x:c r="K100" s="108"/>
      <x:c r="L100" s="112"/>
      <x:c r="M100" s="124"/>
      <x:c r="N100" s="108"/>
      <x:c r="O100" s="161"/>
      <x:c r="P100" s="161"/>
      <x:c r="Q100" s="161"/>
      <x:c r="R100" s="161"/>
      <x:c r="S100" s="161"/>
      <x:c r="T100" s="161"/>
      <x:c r="U100" s="161"/>
      <x:c r="V100" s="161"/>
      <x:c r="W100" s="161"/>
      <x:c r="X100" s="161"/>
      <x:c r="Y100" s="161"/>
      <x:c r="Z100" s="161"/>
    </x:row>
    <x:row r="101">
      <x:c r="A101" s="180" t="str">
        <x:f>IF(B101&lt;&gt;"","CLI-"&amp;TEXT(ROW()-5,"000"),"")</x:f>
      </x:c>
      <x:c r="B101" s="108"/>
      <x:c r="C101" s="108"/>
      <x:c r="D101" s="108"/>
      <x:c r="E101" s="108"/>
      <x:c r="F101" s="108"/>
      <x:c r="G101" s="108"/>
      <x:c r="H101" s="108"/>
      <x:c r="I101" s="108"/>
      <x:c r="J101" s="108"/>
      <x:c r="K101" s="108"/>
      <x:c r="L101" s="112"/>
      <x:c r="M101" s="124"/>
      <x:c r="N101" s="108"/>
      <x:c r="O101" s="161"/>
      <x:c r="P101" s="161"/>
      <x:c r="Q101" s="161"/>
      <x:c r="R101" s="161"/>
      <x:c r="S101" s="161"/>
      <x:c r="T101" s="161"/>
      <x:c r="U101" s="161"/>
      <x:c r="V101" s="161"/>
      <x:c r="W101" s="161"/>
      <x:c r="X101" s="161"/>
      <x:c r="Y101" s="161"/>
      <x:c r="Z101" s="161"/>
    </x:row>
    <x:row r="102">
      <x:c r="A102" s="180" t="str">
        <x:f>IF(B102&lt;&gt;"","CLI-"&amp;TEXT(ROW()-5,"000"),"")</x:f>
      </x:c>
      <x:c r="B102" s="108"/>
      <x:c r="C102" s="108"/>
      <x:c r="D102" s="108"/>
      <x:c r="E102" s="108"/>
      <x:c r="F102" s="108"/>
      <x:c r="G102" s="108"/>
      <x:c r="H102" s="108"/>
      <x:c r="I102" s="108"/>
      <x:c r="J102" s="108"/>
      <x:c r="K102" s="108"/>
      <x:c r="L102" s="112"/>
      <x:c r="M102" s="124"/>
      <x:c r="N102" s="108"/>
      <x:c r="O102" s="161"/>
      <x:c r="P102" s="161"/>
      <x:c r="Q102" s="161"/>
      <x:c r="R102" s="161"/>
      <x:c r="S102" s="161"/>
      <x:c r="T102" s="161"/>
      <x:c r="U102" s="161"/>
      <x:c r="V102" s="161"/>
      <x:c r="W102" s="161"/>
      <x:c r="X102" s="161"/>
      <x:c r="Y102" s="161"/>
      <x:c r="Z102" s="161"/>
    </x:row>
    <x:row r="103">
      <x:c r="A103" s="180" t="str">
        <x:f>IF(B103&lt;&gt;"","CLI-"&amp;TEXT(ROW()-5,"000"),"")</x:f>
      </x:c>
      <x:c r="B103" s="108"/>
      <x:c r="C103" s="108"/>
      <x:c r="D103" s="108"/>
      <x:c r="E103" s="108"/>
      <x:c r="F103" s="108"/>
      <x:c r="G103" s="108"/>
      <x:c r="H103" s="108"/>
      <x:c r="I103" s="108"/>
      <x:c r="J103" s="108"/>
      <x:c r="K103" s="108"/>
      <x:c r="L103" s="112"/>
      <x:c r="M103" s="124"/>
      <x:c r="N103" s="108"/>
      <x:c r="O103" s="161"/>
      <x:c r="P103" s="161"/>
      <x:c r="Q103" s="161"/>
      <x:c r="R103" s="161"/>
      <x:c r="S103" s="161"/>
      <x:c r="T103" s="161"/>
      <x:c r="U103" s="161"/>
      <x:c r="V103" s="161"/>
      <x:c r="W103" s="161"/>
      <x:c r="X103" s="161"/>
      <x:c r="Y103" s="161"/>
      <x:c r="Z103" s="161"/>
    </x:row>
    <x:row r="104">
      <x:c r="A104" s="180" t="str">
        <x:f>IF(B104&lt;&gt;"","CLI-"&amp;TEXT(ROW()-5,"000"),"")</x:f>
      </x:c>
      <x:c r="B104" s="108"/>
      <x:c r="C104" s="108"/>
      <x:c r="D104" s="108"/>
      <x:c r="E104" s="108"/>
      <x:c r="F104" s="108"/>
      <x:c r="G104" s="108"/>
      <x:c r="H104" s="108"/>
      <x:c r="I104" s="108"/>
      <x:c r="J104" s="108"/>
      <x:c r="K104" s="108"/>
      <x:c r="L104" s="112"/>
      <x:c r="M104" s="124"/>
      <x:c r="N104" s="108"/>
      <x:c r="O104" s="161"/>
      <x:c r="P104" s="161"/>
      <x:c r="Q104" s="161"/>
      <x:c r="R104" s="161"/>
      <x:c r="S104" s="161"/>
      <x:c r="T104" s="161"/>
      <x:c r="U104" s="161"/>
      <x:c r="V104" s="161"/>
      <x:c r="W104" s="161"/>
      <x:c r="X104" s="161"/>
      <x:c r="Y104" s="161"/>
      <x:c r="Z104" s="161"/>
    </x:row>
    <x:row r="105">
      <x:c r="A105" s="180" t="str">
        <x:f>IF(B105&lt;&gt;"","CLI-"&amp;TEXT(ROW()-5,"000"),"")</x:f>
      </x:c>
      <x:c r="B105" s="108"/>
      <x:c r="C105" s="108"/>
      <x:c r="D105" s="108"/>
      <x:c r="E105" s="108"/>
      <x:c r="F105" s="108"/>
      <x:c r="G105" s="108"/>
      <x:c r="H105" s="108"/>
      <x:c r="I105" s="108"/>
      <x:c r="J105" s="108"/>
      <x:c r="K105" s="108"/>
      <x:c r="L105" s="112"/>
      <x:c r="M105" s="124"/>
      <x:c r="N105" s="108"/>
      <x:c r="O105" s="161"/>
      <x:c r="P105" s="161"/>
      <x:c r="Q105" s="161"/>
      <x:c r="R105" s="161"/>
      <x:c r="S105" s="161"/>
      <x:c r="T105" s="161"/>
      <x:c r="U105" s="161"/>
      <x:c r="V105" s="161"/>
      <x:c r="W105" s="161"/>
      <x:c r="X105" s="161"/>
      <x:c r="Y105" s="161"/>
      <x:c r="Z105" s="161"/>
    </x:row>
    <x:row r="106">
      <x:c r="A106" s="180" t="str">
        <x:f>IF(B106&lt;&gt;"","CLI-"&amp;TEXT(ROW()-5,"000"),"")</x:f>
      </x:c>
      <x:c r="B106" s="108"/>
      <x:c r="C106" s="108"/>
      <x:c r="D106" s="108"/>
      <x:c r="E106" s="108"/>
      <x:c r="F106" s="108"/>
      <x:c r="G106" s="108"/>
      <x:c r="H106" s="108"/>
      <x:c r="I106" s="108"/>
      <x:c r="J106" s="108"/>
      <x:c r="K106" s="108"/>
      <x:c r="L106" s="112"/>
      <x:c r="M106" s="124"/>
      <x:c r="N106" s="108"/>
      <x:c r="O106" s="161"/>
      <x:c r="P106" s="161"/>
      <x:c r="Q106" s="161"/>
      <x:c r="R106" s="161"/>
      <x:c r="S106" s="161"/>
      <x:c r="T106" s="161"/>
      <x:c r="U106" s="161"/>
      <x:c r="V106" s="161"/>
      <x:c r="W106" s="161"/>
      <x:c r="X106" s="161"/>
      <x:c r="Y106" s="161"/>
      <x:c r="Z106" s="161"/>
    </x:row>
    <x:row r="107">
      <x:c r="A107" s="180" t="str">
        <x:f>IF(B107&lt;&gt;"","CLI-"&amp;TEXT(ROW()-5,"000"),"")</x:f>
      </x:c>
      <x:c r="B107" s="108"/>
      <x:c r="C107" s="108"/>
      <x:c r="D107" s="108"/>
      <x:c r="E107" s="108"/>
      <x:c r="F107" s="108"/>
      <x:c r="G107" s="108"/>
      <x:c r="H107" s="108"/>
      <x:c r="I107" s="108"/>
      <x:c r="J107" s="108"/>
      <x:c r="K107" s="108"/>
      <x:c r="L107" s="112"/>
      <x:c r="M107" s="124"/>
      <x:c r="N107" s="108"/>
      <x:c r="O107" s="161"/>
      <x:c r="P107" s="161"/>
      <x:c r="Q107" s="161"/>
      <x:c r="R107" s="161"/>
      <x:c r="S107" s="161"/>
      <x:c r="T107" s="161"/>
      <x:c r="U107" s="161"/>
      <x:c r="V107" s="161"/>
      <x:c r="W107" s="161"/>
      <x:c r="X107" s="161"/>
      <x:c r="Y107" s="161"/>
      <x:c r="Z107" s="161"/>
    </x:row>
    <x:row r="108">
      <x:c r="A108" s="180" t="str">
        <x:f>IF(B108&lt;&gt;"","CLI-"&amp;TEXT(ROW()-5,"000"),"")</x:f>
      </x:c>
      <x:c r="B108" s="108"/>
      <x:c r="C108" s="108"/>
      <x:c r="D108" s="108"/>
      <x:c r="E108" s="108"/>
      <x:c r="F108" s="108"/>
      <x:c r="G108" s="108"/>
      <x:c r="H108" s="108"/>
      <x:c r="I108" s="108"/>
      <x:c r="J108" s="108"/>
      <x:c r="K108" s="108"/>
      <x:c r="L108" s="112"/>
      <x:c r="M108" s="124"/>
      <x:c r="N108" s="108"/>
      <x:c r="O108" s="161"/>
      <x:c r="P108" s="161"/>
      <x:c r="Q108" s="161"/>
      <x:c r="R108" s="161"/>
      <x:c r="S108" s="161"/>
      <x:c r="T108" s="161"/>
      <x:c r="U108" s="161"/>
      <x:c r="V108" s="161"/>
      <x:c r="W108" s="161"/>
      <x:c r="X108" s="161"/>
      <x:c r="Y108" s="161"/>
      <x:c r="Z108" s="161"/>
    </x:row>
    <x:row r="109">
      <x:c r="A109" s="180" t="str">
        <x:f>IF(B109&lt;&gt;"","CLI-"&amp;TEXT(ROW()-5,"000"),"")</x:f>
      </x:c>
      <x:c r="B109" s="108"/>
      <x:c r="C109" s="108"/>
      <x:c r="D109" s="108"/>
      <x:c r="E109" s="108"/>
      <x:c r="F109" s="108"/>
      <x:c r="G109" s="108"/>
      <x:c r="H109" s="108"/>
      <x:c r="I109" s="108"/>
      <x:c r="J109" s="108"/>
      <x:c r="K109" s="108"/>
      <x:c r="L109" s="112"/>
      <x:c r="M109" s="124"/>
      <x:c r="N109" s="108"/>
      <x:c r="O109" s="161"/>
      <x:c r="P109" s="161"/>
      <x:c r="Q109" s="161"/>
      <x:c r="R109" s="161"/>
      <x:c r="S109" s="161"/>
      <x:c r="T109" s="161"/>
      <x:c r="U109" s="161"/>
      <x:c r="V109" s="161"/>
      <x:c r="W109" s="161"/>
      <x:c r="X109" s="161"/>
      <x:c r="Y109" s="161"/>
      <x:c r="Z109" s="161"/>
    </x:row>
    <x:row r="110">
      <x:c r="A110" s="180" t="str">
        <x:f>IF(B110&lt;&gt;"","CLI-"&amp;TEXT(ROW()-5,"000"),"")</x:f>
      </x:c>
      <x:c r="B110" s="108"/>
      <x:c r="C110" s="108"/>
      <x:c r="D110" s="108"/>
      <x:c r="E110" s="108"/>
      <x:c r="F110" s="108"/>
      <x:c r="G110" s="108"/>
      <x:c r="H110" s="108"/>
      <x:c r="I110" s="108"/>
      <x:c r="J110" s="108"/>
      <x:c r="K110" s="108"/>
      <x:c r="L110" s="112"/>
      <x:c r="M110" s="124"/>
      <x:c r="N110" s="108"/>
      <x:c r="O110" s="161"/>
      <x:c r="P110" s="161"/>
      <x:c r="Q110" s="161"/>
      <x:c r="R110" s="161"/>
      <x:c r="S110" s="161"/>
      <x:c r="T110" s="161"/>
      <x:c r="U110" s="161"/>
      <x:c r="V110" s="161"/>
      <x:c r="W110" s="161"/>
      <x:c r="X110" s="161"/>
      <x:c r="Y110" s="161"/>
      <x:c r="Z110" s="161"/>
    </x:row>
    <x:row r="111">
      <x:c r="A111" s="180" t="str">
        <x:f>IF(B111&lt;&gt;"","CLI-"&amp;TEXT(ROW()-5,"000"),"")</x:f>
      </x:c>
      <x:c r="B111" s="108"/>
      <x:c r="C111" s="108"/>
      <x:c r="D111" s="108"/>
      <x:c r="E111" s="108"/>
      <x:c r="F111" s="108"/>
      <x:c r="G111" s="108"/>
      <x:c r="H111" s="108"/>
      <x:c r="I111" s="108"/>
      <x:c r="J111" s="108"/>
      <x:c r="K111" s="108"/>
      <x:c r="L111" s="112"/>
      <x:c r="M111" s="124"/>
      <x:c r="N111" s="108"/>
      <x:c r="O111" s="161"/>
      <x:c r="P111" s="161"/>
      <x:c r="Q111" s="161"/>
      <x:c r="R111" s="161"/>
      <x:c r="S111" s="161"/>
      <x:c r="T111" s="161"/>
      <x:c r="U111" s="161"/>
      <x:c r="V111" s="161"/>
      <x:c r="W111" s="161"/>
      <x:c r="X111" s="161"/>
      <x:c r="Y111" s="161"/>
      <x:c r="Z111" s="161"/>
    </x:row>
    <x:row r="112">
      <x:c r="A112" s="180" t="str">
        <x:f>IF(B112&lt;&gt;"","CLI-"&amp;TEXT(ROW()-5,"000"),"")</x:f>
      </x:c>
      <x:c r="B112" s="108"/>
      <x:c r="C112" s="108"/>
      <x:c r="D112" s="108"/>
      <x:c r="E112" s="108"/>
      <x:c r="F112" s="108"/>
      <x:c r="G112" s="108"/>
      <x:c r="H112" s="108"/>
      <x:c r="I112" s="108"/>
      <x:c r="J112" s="108"/>
      <x:c r="K112" s="108"/>
      <x:c r="L112" s="112"/>
      <x:c r="M112" s="124"/>
      <x:c r="N112" s="108"/>
      <x:c r="O112" s="161"/>
      <x:c r="P112" s="161"/>
      <x:c r="Q112" s="161"/>
      <x:c r="R112" s="161"/>
      <x:c r="S112" s="161"/>
      <x:c r="T112" s="161"/>
      <x:c r="U112" s="161"/>
      <x:c r="V112" s="161"/>
      <x:c r="W112" s="161"/>
      <x:c r="X112" s="161"/>
      <x:c r="Y112" s="161"/>
      <x:c r="Z112" s="161"/>
    </x:row>
    <x:row r="113">
      <x:c r="A113" s="180" t="str">
        <x:f>IF(B113&lt;&gt;"","CLI-"&amp;TEXT(ROW()-5,"000"),"")</x:f>
      </x:c>
      <x:c r="B113" s="108"/>
      <x:c r="C113" s="108"/>
      <x:c r="D113" s="108"/>
      <x:c r="E113" s="108"/>
      <x:c r="F113" s="108"/>
      <x:c r="G113" s="108"/>
      <x:c r="H113" s="108"/>
      <x:c r="I113" s="108"/>
      <x:c r="J113" s="108"/>
      <x:c r="K113" s="108"/>
      <x:c r="L113" s="112"/>
      <x:c r="M113" s="124"/>
      <x:c r="N113" s="108"/>
      <x:c r="O113" s="161"/>
      <x:c r="P113" s="161"/>
      <x:c r="Q113" s="161"/>
      <x:c r="R113" s="161"/>
      <x:c r="S113" s="161"/>
      <x:c r="T113" s="161"/>
      <x:c r="U113" s="161"/>
      <x:c r="V113" s="161"/>
      <x:c r="W113" s="161"/>
      <x:c r="X113" s="161"/>
      <x:c r="Y113" s="161"/>
      <x:c r="Z113" s="161"/>
    </x:row>
    <x:row r="114">
      <x:c r="A114" s="180" t="str">
        <x:f>IF(B114&lt;&gt;"","CLI-"&amp;TEXT(ROW()-5,"000"),"")</x:f>
      </x:c>
      <x:c r="B114" s="108"/>
      <x:c r="C114" s="108"/>
      <x:c r="D114" s="108"/>
      <x:c r="E114" s="108"/>
      <x:c r="F114" s="108"/>
      <x:c r="G114" s="108"/>
      <x:c r="H114" s="108"/>
      <x:c r="I114" s="108"/>
      <x:c r="J114" s="108"/>
      <x:c r="K114" s="108"/>
      <x:c r="L114" s="112"/>
      <x:c r="M114" s="124"/>
      <x:c r="N114" s="108"/>
      <x:c r="O114" s="161"/>
      <x:c r="P114" s="161"/>
      <x:c r="Q114" s="161"/>
      <x:c r="R114" s="161"/>
      <x:c r="S114" s="161"/>
      <x:c r="T114" s="161"/>
      <x:c r="U114" s="161"/>
      <x:c r="V114" s="161"/>
      <x:c r="W114" s="161"/>
      <x:c r="X114" s="161"/>
      <x:c r="Y114" s="161"/>
      <x:c r="Z114" s="161"/>
    </x:row>
    <x:row r="115">
      <x:c r="A115" s="180" t="str">
        <x:f>IF(B115&lt;&gt;"","CLI-"&amp;TEXT(ROW()-5,"000"),"")</x:f>
      </x:c>
      <x:c r="B115" s="108"/>
      <x:c r="C115" s="108"/>
      <x:c r="D115" s="108"/>
      <x:c r="E115" s="108"/>
      <x:c r="F115" s="108"/>
      <x:c r="G115" s="108"/>
      <x:c r="H115" s="108"/>
      <x:c r="I115" s="108"/>
      <x:c r="J115" s="108"/>
      <x:c r="K115" s="108"/>
      <x:c r="L115" s="112"/>
      <x:c r="M115" s="124"/>
      <x:c r="N115" s="108"/>
      <x:c r="O115" s="161"/>
      <x:c r="P115" s="161"/>
      <x:c r="Q115" s="161"/>
      <x:c r="R115" s="161"/>
      <x:c r="S115" s="161"/>
      <x:c r="T115" s="161"/>
      <x:c r="U115" s="161"/>
      <x:c r="V115" s="161"/>
      <x:c r="W115" s="161"/>
      <x:c r="X115" s="161"/>
      <x:c r="Y115" s="161"/>
      <x:c r="Z115" s="161"/>
    </x:row>
    <x:row r="116">
      <x:c r="A116" s="180" t="str">
        <x:f>IF(B116&lt;&gt;"","CLI-"&amp;TEXT(ROW()-5,"000"),"")</x:f>
      </x:c>
      <x:c r="B116" s="108"/>
      <x:c r="C116" s="108"/>
      <x:c r="D116" s="108"/>
      <x:c r="E116" s="108"/>
      <x:c r="F116" s="108"/>
      <x:c r="G116" s="108"/>
      <x:c r="H116" s="108"/>
      <x:c r="I116" s="108"/>
      <x:c r="J116" s="108"/>
      <x:c r="K116" s="108"/>
      <x:c r="L116" s="112"/>
      <x:c r="M116" s="124"/>
      <x:c r="N116" s="108"/>
      <x:c r="O116" s="161"/>
      <x:c r="P116" s="161"/>
      <x:c r="Q116" s="161"/>
      <x:c r="R116" s="161"/>
      <x:c r="S116" s="161"/>
      <x:c r="T116" s="161"/>
      <x:c r="U116" s="161"/>
      <x:c r="V116" s="161"/>
      <x:c r="W116" s="161"/>
      <x:c r="X116" s="161"/>
      <x:c r="Y116" s="161"/>
      <x:c r="Z116" s="161"/>
    </x:row>
    <x:row r="117">
      <x:c r="A117" s="180" t="str">
        <x:f>IF(B117&lt;&gt;"","CLI-"&amp;TEXT(ROW()-5,"000"),"")</x:f>
      </x:c>
      <x:c r="B117" s="108"/>
      <x:c r="C117" s="108"/>
      <x:c r="D117" s="108"/>
      <x:c r="E117" s="108"/>
      <x:c r="F117" s="108"/>
      <x:c r="G117" s="108"/>
      <x:c r="H117" s="108"/>
      <x:c r="I117" s="108"/>
      <x:c r="J117" s="108"/>
      <x:c r="K117" s="108"/>
      <x:c r="L117" s="112"/>
      <x:c r="M117" s="124"/>
      <x:c r="N117" s="108"/>
      <x:c r="O117" s="161"/>
      <x:c r="P117" s="161"/>
      <x:c r="Q117" s="161"/>
      <x:c r="R117" s="161"/>
      <x:c r="S117" s="161"/>
      <x:c r="T117" s="161"/>
      <x:c r="U117" s="161"/>
      <x:c r="V117" s="161"/>
      <x:c r="W117" s="161"/>
      <x:c r="X117" s="161"/>
      <x:c r="Y117" s="161"/>
      <x:c r="Z117" s="161"/>
    </x:row>
    <x:row r="118">
      <x:c r="A118" s="180" t="str">
        <x:f>IF(B118&lt;&gt;"","CLI-"&amp;TEXT(ROW()-5,"000"),"")</x:f>
      </x:c>
      <x:c r="B118" s="108"/>
      <x:c r="C118" s="108"/>
      <x:c r="D118" s="108"/>
      <x:c r="E118" s="108"/>
      <x:c r="F118" s="108"/>
      <x:c r="G118" s="108"/>
      <x:c r="H118" s="108"/>
      <x:c r="I118" s="108"/>
      <x:c r="J118" s="108"/>
      <x:c r="K118" s="108"/>
      <x:c r="L118" s="112"/>
      <x:c r="M118" s="124"/>
      <x:c r="N118" s="108"/>
      <x:c r="O118" s="161"/>
      <x:c r="P118" s="161"/>
      <x:c r="Q118" s="161"/>
      <x:c r="R118" s="161"/>
      <x:c r="S118" s="161"/>
      <x:c r="T118" s="161"/>
      <x:c r="U118" s="161"/>
      <x:c r="V118" s="161"/>
      <x:c r="W118" s="161"/>
      <x:c r="X118" s="161"/>
      <x:c r="Y118" s="161"/>
      <x:c r="Z118" s="161"/>
    </x:row>
    <x:row r="119">
      <x:c r="A119" s="180" t="str">
        <x:f>IF(B119&lt;&gt;"","CLI-"&amp;TEXT(ROW()-5,"000"),"")</x:f>
      </x:c>
      <x:c r="B119" s="108"/>
      <x:c r="C119" s="108"/>
      <x:c r="D119" s="108"/>
      <x:c r="E119" s="108"/>
      <x:c r="F119" s="108"/>
      <x:c r="G119" s="108"/>
      <x:c r="H119" s="108"/>
      <x:c r="I119" s="108"/>
      <x:c r="J119" s="108"/>
      <x:c r="K119" s="108"/>
      <x:c r="L119" s="112"/>
      <x:c r="M119" s="124"/>
      <x:c r="N119" s="108"/>
      <x:c r="O119" s="161"/>
      <x:c r="P119" s="161"/>
      <x:c r="Q119" s="161"/>
      <x:c r="R119" s="161"/>
      <x:c r="S119" s="161"/>
      <x:c r="T119" s="161"/>
      <x:c r="U119" s="161"/>
      <x:c r="V119" s="161"/>
      <x:c r="W119" s="161"/>
      <x:c r="X119" s="161"/>
      <x:c r="Y119" s="161"/>
      <x:c r="Z119" s="161"/>
    </x:row>
    <x:row r="120">
      <x:c r="A120" s="180" t="str">
        <x:f>IF(B120&lt;&gt;"","CLI-"&amp;TEXT(ROW()-5,"000"),"")</x:f>
      </x:c>
      <x:c r="B120" s="108"/>
      <x:c r="C120" s="108"/>
      <x:c r="D120" s="108"/>
      <x:c r="E120" s="108"/>
      <x:c r="F120" s="108"/>
      <x:c r="G120" s="108"/>
      <x:c r="H120" s="108"/>
      <x:c r="I120" s="108"/>
      <x:c r="J120" s="108"/>
      <x:c r="K120" s="108"/>
      <x:c r="L120" s="112"/>
      <x:c r="M120" s="124"/>
      <x:c r="N120" s="108"/>
      <x:c r="O120" s="161"/>
      <x:c r="P120" s="161"/>
      <x:c r="Q120" s="161"/>
      <x:c r="R120" s="161"/>
      <x:c r="S120" s="161"/>
      <x:c r="T120" s="161"/>
      <x:c r="U120" s="161"/>
      <x:c r="V120" s="161"/>
      <x:c r="W120" s="161"/>
      <x:c r="X120" s="161"/>
      <x:c r="Y120" s="161"/>
      <x:c r="Z120" s="161"/>
    </x:row>
    <x:row r="121">
      <x:c r="A121" s="180" t="str">
        <x:f>IF(B121&lt;&gt;"","CLI-"&amp;TEXT(ROW()-5,"000"),"")</x:f>
      </x:c>
      <x:c r="B121" s="108"/>
      <x:c r="C121" s="108"/>
      <x:c r="D121" s="108"/>
      <x:c r="E121" s="108"/>
      <x:c r="F121" s="108"/>
      <x:c r="G121" s="108"/>
      <x:c r="H121" s="108"/>
      <x:c r="I121" s="108"/>
      <x:c r="J121" s="108"/>
      <x:c r="K121" s="108"/>
      <x:c r="L121" s="112"/>
      <x:c r="M121" s="124"/>
      <x:c r="N121" s="108"/>
      <x:c r="O121" s="161"/>
      <x:c r="P121" s="161"/>
      <x:c r="Q121" s="161"/>
      <x:c r="R121" s="161"/>
      <x:c r="S121" s="161"/>
      <x:c r="T121" s="161"/>
      <x:c r="U121" s="161"/>
      <x:c r="V121" s="161"/>
      <x:c r="W121" s="161"/>
      <x:c r="X121" s="161"/>
      <x:c r="Y121" s="161"/>
      <x:c r="Z121" s="161"/>
    </x:row>
    <x:row r="122">
      <x:c r="A122" s="180" t="str">
        <x:f>IF(B122&lt;&gt;"","CLI-"&amp;TEXT(ROW()-5,"000"),"")</x:f>
      </x:c>
      <x:c r="B122" s="108"/>
      <x:c r="C122" s="108"/>
      <x:c r="D122" s="108"/>
      <x:c r="E122" s="108"/>
      <x:c r="F122" s="108"/>
      <x:c r="G122" s="108"/>
      <x:c r="H122" s="108"/>
      <x:c r="I122" s="108"/>
      <x:c r="J122" s="108"/>
      <x:c r="K122" s="108"/>
      <x:c r="L122" s="112"/>
      <x:c r="M122" s="124"/>
      <x:c r="N122" s="108"/>
      <x:c r="O122" s="161"/>
      <x:c r="P122" s="161"/>
      <x:c r="Q122" s="161"/>
      <x:c r="R122" s="161"/>
      <x:c r="S122" s="161"/>
      <x:c r="T122" s="161"/>
      <x:c r="U122" s="161"/>
      <x:c r="V122" s="161"/>
      <x:c r="W122" s="161"/>
      <x:c r="X122" s="161"/>
      <x:c r="Y122" s="161"/>
      <x:c r="Z122" s="161"/>
    </x:row>
    <x:row r="123">
      <x:c r="A123" s="180" t="str">
        <x:f>IF(B123&lt;&gt;"","CLI-"&amp;TEXT(ROW()-5,"000"),"")</x:f>
      </x:c>
      <x:c r="B123" s="108"/>
      <x:c r="C123" s="108"/>
      <x:c r="D123" s="108"/>
      <x:c r="E123" s="108"/>
      <x:c r="F123" s="108"/>
      <x:c r="G123" s="108"/>
      <x:c r="H123" s="108"/>
      <x:c r="I123" s="108"/>
      <x:c r="J123" s="108"/>
      <x:c r="K123" s="108"/>
      <x:c r="L123" s="112"/>
      <x:c r="M123" s="124"/>
      <x:c r="N123" s="108"/>
      <x:c r="O123" s="161"/>
      <x:c r="P123" s="161"/>
      <x:c r="Q123" s="161"/>
      <x:c r="R123" s="161"/>
      <x:c r="S123" s="161"/>
      <x:c r="T123" s="161"/>
      <x:c r="U123" s="161"/>
      <x:c r="V123" s="161"/>
      <x:c r="W123" s="161"/>
      <x:c r="X123" s="161"/>
      <x:c r="Y123" s="161"/>
      <x:c r="Z123" s="161"/>
    </x:row>
    <x:row r="124">
      <x:c r="A124" s="180" t="str">
        <x:f>IF(B124&lt;&gt;"","CLI-"&amp;TEXT(ROW()-5,"000"),"")</x:f>
      </x:c>
      <x:c r="B124" s="108"/>
      <x:c r="C124" s="108"/>
      <x:c r="D124" s="108"/>
      <x:c r="E124" s="108"/>
      <x:c r="F124" s="108"/>
      <x:c r="G124" s="108"/>
      <x:c r="H124" s="108"/>
      <x:c r="I124" s="108"/>
      <x:c r="J124" s="108"/>
      <x:c r="K124" s="108"/>
      <x:c r="L124" s="112"/>
      <x:c r="M124" s="124"/>
      <x:c r="N124" s="108"/>
      <x:c r="O124" s="161"/>
      <x:c r="P124" s="161"/>
      <x:c r="Q124" s="161"/>
      <x:c r="R124" s="161"/>
      <x:c r="S124" s="161"/>
      <x:c r="T124" s="161"/>
      <x:c r="U124" s="161"/>
      <x:c r="V124" s="161"/>
      <x:c r="W124" s="161"/>
      <x:c r="X124" s="161"/>
      <x:c r="Y124" s="161"/>
      <x:c r="Z124" s="161"/>
    </x:row>
    <x:row r="125">
      <x:c r="A125" s="180" t="str">
        <x:f>IF(B125&lt;&gt;"","CLI-"&amp;TEXT(ROW()-5,"000"),"")</x:f>
      </x:c>
      <x:c r="B125" s="108"/>
      <x:c r="C125" s="108"/>
      <x:c r="D125" s="108"/>
      <x:c r="E125" s="108"/>
      <x:c r="F125" s="108"/>
      <x:c r="G125" s="108"/>
      <x:c r="H125" s="108"/>
      <x:c r="I125" s="108"/>
      <x:c r="J125" s="108"/>
      <x:c r="K125" s="108"/>
      <x:c r="L125" s="112"/>
      <x:c r="M125" s="124"/>
      <x:c r="N125" s="108"/>
      <x:c r="O125" s="161"/>
      <x:c r="P125" s="161"/>
      <x:c r="Q125" s="161"/>
      <x:c r="R125" s="161"/>
      <x:c r="S125" s="161"/>
      <x:c r="T125" s="161"/>
      <x:c r="U125" s="161"/>
      <x:c r="V125" s="161"/>
      <x:c r="W125" s="161"/>
      <x:c r="X125" s="161"/>
      <x:c r="Y125" s="161"/>
      <x:c r="Z125" s="161"/>
    </x:row>
    <x:row r="126">
      <x:c r="A126" s="180" t="str">
        <x:f>IF(B126&lt;&gt;"","CLI-"&amp;TEXT(ROW()-5,"000"),"")</x:f>
      </x:c>
      <x:c r="B126" s="108"/>
      <x:c r="C126" s="108"/>
      <x:c r="D126" s="108"/>
      <x:c r="E126" s="108"/>
      <x:c r="F126" s="108"/>
      <x:c r="G126" s="108"/>
      <x:c r="H126" s="108"/>
      <x:c r="I126" s="108"/>
      <x:c r="J126" s="108"/>
      <x:c r="K126" s="108"/>
      <x:c r="L126" s="112"/>
      <x:c r="M126" s="124"/>
      <x:c r="N126" s="108"/>
      <x:c r="O126" s="161"/>
      <x:c r="P126" s="161"/>
      <x:c r="Q126" s="161"/>
      <x:c r="R126" s="161"/>
      <x:c r="S126" s="161"/>
      <x:c r="T126" s="161"/>
      <x:c r="U126" s="161"/>
      <x:c r="V126" s="161"/>
      <x:c r="W126" s="161"/>
      <x:c r="X126" s="161"/>
      <x:c r="Y126" s="161"/>
      <x:c r="Z126" s="161"/>
    </x:row>
    <x:row r="127">
      <x:c r="A127" s="180" t="str">
        <x:f>IF(B127&lt;&gt;"","CLI-"&amp;TEXT(ROW()-5,"000"),"")</x:f>
      </x:c>
      <x:c r="B127" s="108"/>
      <x:c r="C127" s="108"/>
      <x:c r="D127" s="108"/>
      <x:c r="E127" s="108"/>
      <x:c r="F127" s="108"/>
      <x:c r="G127" s="108"/>
      <x:c r="H127" s="108"/>
      <x:c r="I127" s="108"/>
      <x:c r="J127" s="108"/>
      <x:c r="K127" s="108"/>
      <x:c r="L127" s="112"/>
      <x:c r="M127" s="124"/>
      <x:c r="N127" s="108"/>
      <x:c r="O127" s="161"/>
      <x:c r="P127" s="161"/>
      <x:c r="Q127" s="161"/>
      <x:c r="R127" s="161"/>
      <x:c r="S127" s="161"/>
      <x:c r="T127" s="161"/>
      <x:c r="U127" s="161"/>
      <x:c r="V127" s="161"/>
      <x:c r="W127" s="161"/>
      <x:c r="X127" s="161"/>
      <x:c r="Y127" s="161"/>
      <x:c r="Z127" s="161"/>
    </x:row>
    <x:row r="128">
      <x:c r="A128" s="180" t="str">
        <x:f>IF(B128&lt;&gt;"","CLI-"&amp;TEXT(ROW()-5,"000"),"")</x:f>
      </x:c>
      <x:c r="B128" s="108"/>
      <x:c r="C128" s="108"/>
      <x:c r="D128" s="108"/>
      <x:c r="E128" s="108"/>
      <x:c r="F128" s="108"/>
      <x:c r="G128" s="108"/>
      <x:c r="H128" s="108"/>
      <x:c r="I128" s="108"/>
      <x:c r="J128" s="108"/>
      <x:c r="K128" s="108"/>
      <x:c r="L128" s="112"/>
      <x:c r="M128" s="124"/>
      <x:c r="N128" s="108"/>
      <x:c r="O128" s="161"/>
      <x:c r="P128" s="161"/>
      <x:c r="Q128" s="161"/>
      <x:c r="R128" s="161"/>
      <x:c r="S128" s="161"/>
      <x:c r="T128" s="161"/>
      <x:c r="U128" s="161"/>
      <x:c r="V128" s="161"/>
      <x:c r="W128" s="161"/>
      <x:c r="X128" s="161"/>
      <x:c r="Y128" s="161"/>
      <x:c r="Z128" s="161"/>
    </x:row>
    <x:row r="129">
      <x:c r="A129" s="180" t="str">
        <x:f>IF(B129&lt;&gt;"","CLI-"&amp;TEXT(ROW()-5,"000"),"")</x:f>
      </x:c>
      <x:c r="B129" s="108"/>
      <x:c r="C129" s="108"/>
      <x:c r="D129" s="108"/>
      <x:c r="E129" s="108"/>
      <x:c r="F129" s="108"/>
      <x:c r="G129" s="108"/>
      <x:c r="H129" s="108"/>
      <x:c r="I129" s="108"/>
      <x:c r="J129" s="108"/>
      <x:c r="K129" s="108"/>
      <x:c r="L129" s="112"/>
      <x:c r="M129" s="124"/>
      <x:c r="N129" s="108"/>
      <x:c r="O129" s="161"/>
      <x:c r="P129" s="161"/>
      <x:c r="Q129" s="161"/>
      <x:c r="R129" s="161"/>
      <x:c r="S129" s="161"/>
      <x:c r="T129" s="161"/>
      <x:c r="U129" s="161"/>
      <x:c r="V129" s="161"/>
      <x:c r="W129" s="161"/>
      <x:c r="X129" s="161"/>
      <x:c r="Y129" s="161"/>
      <x:c r="Z129" s="161"/>
    </x:row>
    <x:row r="130">
      <x:c r="A130" s="180" t="str">
        <x:f>IF(B130&lt;&gt;"","CLI-"&amp;TEXT(ROW()-5,"000"),"")</x:f>
      </x:c>
      <x:c r="B130" s="108"/>
      <x:c r="C130" s="108"/>
      <x:c r="D130" s="108"/>
      <x:c r="E130" s="108"/>
      <x:c r="F130" s="108"/>
      <x:c r="G130" s="108"/>
      <x:c r="H130" s="108"/>
      <x:c r="I130" s="108"/>
      <x:c r="J130" s="108"/>
      <x:c r="K130" s="108"/>
      <x:c r="L130" s="112"/>
      <x:c r="M130" s="124"/>
      <x:c r="N130" s="108"/>
      <x:c r="O130" s="161"/>
      <x:c r="P130" s="161"/>
      <x:c r="Q130" s="161"/>
      <x:c r="R130" s="161"/>
      <x:c r="S130" s="161"/>
      <x:c r="T130" s="161"/>
      <x:c r="U130" s="161"/>
      <x:c r="V130" s="161"/>
      <x:c r="W130" s="161"/>
      <x:c r="X130" s="161"/>
      <x:c r="Y130" s="161"/>
      <x:c r="Z130" s="161"/>
    </x:row>
    <x:row r="131">
      <x:c r="A131" s="180" t="str">
        <x:f>IF(B131&lt;&gt;"","CLI-"&amp;TEXT(ROW()-5,"000"),"")</x:f>
      </x:c>
      <x:c r="B131" s="108"/>
      <x:c r="C131" s="108"/>
      <x:c r="D131" s="108"/>
      <x:c r="E131" s="108"/>
      <x:c r="F131" s="108"/>
      <x:c r="G131" s="108"/>
      <x:c r="H131" s="108"/>
      <x:c r="I131" s="108"/>
      <x:c r="J131" s="108"/>
      <x:c r="K131" s="108"/>
      <x:c r="L131" s="112"/>
      <x:c r="M131" s="124"/>
      <x:c r="N131" s="108"/>
      <x:c r="O131" s="161"/>
      <x:c r="P131" s="161"/>
      <x:c r="Q131" s="161"/>
      <x:c r="R131" s="161"/>
      <x:c r="S131" s="161"/>
      <x:c r="T131" s="161"/>
      <x:c r="U131" s="161"/>
      <x:c r="V131" s="161"/>
      <x:c r="W131" s="161"/>
      <x:c r="X131" s="161"/>
      <x:c r="Y131" s="161"/>
      <x:c r="Z131" s="161"/>
    </x:row>
    <x:row r="132">
      <x:c r="A132" s="180" t="str">
        <x:f>IF(B132&lt;&gt;"","CLI-"&amp;TEXT(ROW()-5,"000"),"")</x:f>
      </x:c>
      <x:c r="B132" s="108"/>
      <x:c r="C132" s="108"/>
      <x:c r="D132" s="108"/>
      <x:c r="E132" s="108"/>
      <x:c r="F132" s="108"/>
      <x:c r="G132" s="108"/>
      <x:c r="H132" s="108"/>
      <x:c r="I132" s="108"/>
      <x:c r="J132" s="108"/>
      <x:c r="K132" s="108"/>
      <x:c r="L132" s="112"/>
      <x:c r="M132" s="124"/>
      <x:c r="N132" s="108"/>
      <x:c r="O132" s="161"/>
      <x:c r="P132" s="161"/>
      <x:c r="Q132" s="161"/>
      <x:c r="R132" s="161"/>
      <x:c r="S132" s="161"/>
      <x:c r="T132" s="161"/>
      <x:c r="U132" s="161"/>
      <x:c r="V132" s="161"/>
      <x:c r="W132" s="161"/>
      <x:c r="X132" s="161"/>
      <x:c r="Y132" s="161"/>
      <x:c r="Z132" s="161"/>
    </x:row>
    <x:row r="133">
      <x:c r="A133" s="180" t="str">
        <x:f>IF(B133&lt;&gt;"","CLI-"&amp;TEXT(ROW()-5,"000"),"")</x:f>
      </x:c>
      <x:c r="B133" s="108"/>
      <x:c r="C133" s="108"/>
      <x:c r="D133" s="108"/>
      <x:c r="E133" s="108"/>
      <x:c r="F133" s="108"/>
      <x:c r="G133" s="108"/>
      <x:c r="H133" s="108"/>
      <x:c r="I133" s="108"/>
      <x:c r="J133" s="108"/>
      <x:c r="K133" s="108"/>
      <x:c r="L133" s="112"/>
      <x:c r="M133" s="124"/>
      <x:c r="N133" s="108"/>
      <x:c r="O133" s="161"/>
      <x:c r="P133" s="161"/>
      <x:c r="Q133" s="161"/>
      <x:c r="R133" s="161"/>
      <x:c r="S133" s="161"/>
      <x:c r="T133" s="161"/>
      <x:c r="U133" s="161"/>
      <x:c r="V133" s="161"/>
      <x:c r="W133" s="161"/>
      <x:c r="X133" s="161"/>
      <x:c r="Y133" s="161"/>
      <x:c r="Z133" s="161"/>
    </x:row>
    <x:row r="134">
      <x:c r="A134" s="180" t="str">
        <x:f>IF(B134&lt;&gt;"","CLI-"&amp;TEXT(ROW()-5,"000"),"")</x:f>
      </x:c>
      <x:c r="B134" s="108"/>
      <x:c r="C134" s="108"/>
      <x:c r="D134" s="108"/>
      <x:c r="E134" s="108"/>
      <x:c r="F134" s="108"/>
      <x:c r="G134" s="108"/>
      <x:c r="H134" s="108"/>
      <x:c r="I134" s="108"/>
      <x:c r="J134" s="108"/>
      <x:c r="K134" s="108"/>
      <x:c r="L134" s="112"/>
      <x:c r="M134" s="124"/>
      <x:c r="N134" s="108"/>
      <x:c r="O134" s="161"/>
      <x:c r="P134" s="161"/>
      <x:c r="Q134" s="161"/>
      <x:c r="R134" s="161"/>
      <x:c r="S134" s="161"/>
      <x:c r="T134" s="161"/>
      <x:c r="U134" s="161"/>
      <x:c r="V134" s="161"/>
      <x:c r="W134" s="161"/>
      <x:c r="X134" s="161"/>
      <x:c r="Y134" s="161"/>
      <x:c r="Z134" s="161"/>
    </x:row>
    <x:row r="135">
      <x:c r="A135" s="180" t="str">
        <x:f>IF(B135&lt;&gt;"","CLI-"&amp;TEXT(ROW()-5,"000"),"")</x:f>
      </x:c>
      <x:c r="B135" s="108"/>
      <x:c r="C135" s="108"/>
      <x:c r="D135" s="108"/>
      <x:c r="E135" s="108"/>
      <x:c r="F135" s="108"/>
      <x:c r="G135" s="108"/>
      <x:c r="H135" s="108"/>
      <x:c r="I135" s="108"/>
      <x:c r="J135" s="108"/>
      <x:c r="K135" s="108"/>
      <x:c r="L135" s="112"/>
      <x:c r="M135" s="124"/>
      <x:c r="N135" s="108"/>
      <x:c r="O135" s="161"/>
      <x:c r="P135" s="161"/>
      <x:c r="Q135" s="161"/>
      <x:c r="R135" s="161"/>
      <x:c r="S135" s="161"/>
      <x:c r="T135" s="161"/>
      <x:c r="U135" s="161"/>
      <x:c r="V135" s="161"/>
      <x:c r="W135" s="161"/>
      <x:c r="X135" s="161"/>
      <x:c r="Y135" s="161"/>
      <x:c r="Z135" s="161"/>
    </x:row>
    <x:row r="136">
      <x:c r="A136" s="180" t="str">
        <x:f>IF(B136&lt;&gt;"","CLI-"&amp;TEXT(ROW()-5,"000"),"")</x:f>
      </x:c>
      <x:c r="B136" s="108"/>
      <x:c r="C136" s="108"/>
      <x:c r="D136" s="108"/>
      <x:c r="E136" s="108"/>
      <x:c r="F136" s="108"/>
      <x:c r="G136" s="108"/>
      <x:c r="H136" s="108"/>
      <x:c r="I136" s="108"/>
      <x:c r="J136" s="108"/>
      <x:c r="K136" s="108"/>
      <x:c r="L136" s="112"/>
      <x:c r="M136" s="124"/>
      <x:c r="N136" s="108"/>
      <x:c r="O136" s="161"/>
      <x:c r="P136" s="161"/>
      <x:c r="Q136" s="161"/>
      <x:c r="R136" s="161"/>
      <x:c r="S136" s="161"/>
      <x:c r="T136" s="161"/>
      <x:c r="U136" s="161"/>
      <x:c r="V136" s="161"/>
      <x:c r="W136" s="161"/>
      <x:c r="X136" s="161"/>
      <x:c r="Y136" s="161"/>
      <x:c r="Z136" s="161"/>
    </x:row>
    <x:row r="137">
      <x:c r="A137" s="180" t="str">
        <x:f>IF(B137&lt;&gt;"","CLI-"&amp;TEXT(ROW()-5,"000"),"")</x:f>
      </x:c>
      <x:c r="B137" s="108"/>
      <x:c r="C137" s="108"/>
      <x:c r="D137" s="108"/>
      <x:c r="E137" s="108"/>
      <x:c r="F137" s="108"/>
      <x:c r="G137" s="108"/>
      <x:c r="H137" s="108"/>
      <x:c r="I137" s="108"/>
      <x:c r="J137" s="108"/>
      <x:c r="K137" s="108"/>
      <x:c r="L137" s="112"/>
      <x:c r="M137" s="124"/>
      <x:c r="N137" s="108"/>
      <x:c r="O137" s="161"/>
      <x:c r="P137" s="161"/>
      <x:c r="Q137" s="161"/>
      <x:c r="R137" s="161"/>
      <x:c r="S137" s="161"/>
      <x:c r="T137" s="161"/>
      <x:c r="U137" s="161"/>
      <x:c r="V137" s="161"/>
      <x:c r="W137" s="161"/>
      <x:c r="X137" s="161"/>
      <x:c r="Y137" s="161"/>
      <x:c r="Z137" s="161"/>
    </x:row>
    <x:row r="138">
      <x:c r="A138" s="180" t="str">
        <x:f>IF(B138&lt;&gt;"","CLI-"&amp;TEXT(ROW()-5,"000"),"")</x:f>
      </x:c>
      <x:c r="B138" s="108"/>
      <x:c r="C138" s="108"/>
      <x:c r="D138" s="108"/>
      <x:c r="E138" s="108"/>
      <x:c r="F138" s="108"/>
      <x:c r="G138" s="108"/>
      <x:c r="H138" s="108"/>
      <x:c r="I138" s="108"/>
      <x:c r="J138" s="108"/>
      <x:c r="K138" s="108"/>
      <x:c r="L138" s="112"/>
      <x:c r="M138" s="124"/>
      <x:c r="N138" s="108"/>
      <x:c r="O138" s="161"/>
      <x:c r="P138" s="161"/>
      <x:c r="Q138" s="161"/>
      <x:c r="R138" s="161"/>
      <x:c r="S138" s="161"/>
      <x:c r="T138" s="161"/>
      <x:c r="U138" s="161"/>
      <x:c r="V138" s="161"/>
      <x:c r="W138" s="161"/>
      <x:c r="X138" s="161"/>
      <x:c r="Y138" s="161"/>
      <x:c r="Z138" s="161"/>
    </x:row>
    <x:row r="139">
      <x:c r="A139" s="180" t="str">
        <x:f>IF(B139&lt;&gt;"","CLI-"&amp;TEXT(ROW()-5,"000"),"")</x:f>
      </x:c>
      <x:c r="B139" s="108"/>
      <x:c r="C139" s="108"/>
      <x:c r="D139" s="108"/>
      <x:c r="E139" s="108"/>
      <x:c r="F139" s="108"/>
      <x:c r="G139" s="108"/>
      <x:c r="H139" s="108"/>
      <x:c r="I139" s="108"/>
      <x:c r="J139" s="108"/>
      <x:c r="K139" s="108"/>
      <x:c r="L139" s="112"/>
      <x:c r="M139" s="124"/>
      <x:c r="N139" s="108"/>
      <x:c r="O139" s="161"/>
      <x:c r="P139" s="161"/>
      <x:c r="Q139" s="161"/>
      <x:c r="R139" s="161"/>
      <x:c r="S139" s="161"/>
      <x:c r="T139" s="161"/>
      <x:c r="U139" s="161"/>
      <x:c r="V139" s="161"/>
      <x:c r="W139" s="161"/>
      <x:c r="X139" s="161"/>
      <x:c r="Y139" s="161"/>
      <x:c r="Z139" s="161"/>
    </x:row>
    <x:row r="140">
      <x:c r="A140" s="180" t="str">
        <x:f>IF(B140&lt;&gt;"","CLI-"&amp;TEXT(ROW()-5,"000"),"")</x:f>
      </x:c>
      <x:c r="B140" s="108"/>
      <x:c r="C140" s="108"/>
      <x:c r="D140" s="108"/>
      <x:c r="E140" s="108"/>
      <x:c r="F140" s="108"/>
      <x:c r="G140" s="108"/>
      <x:c r="H140" s="108"/>
      <x:c r="I140" s="108"/>
      <x:c r="J140" s="108"/>
      <x:c r="K140" s="108"/>
      <x:c r="L140" s="112"/>
      <x:c r="M140" s="124"/>
      <x:c r="N140" s="108"/>
      <x:c r="O140" s="161"/>
      <x:c r="P140" s="161"/>
      <x:c r="Q140" s="161"/>
      <x:c r="R140" s="161"/>
      <x:c r="S140" s="161"/>
      <x:c r="T140" s="161"/>
      <x:c r="U140" s="161"/>
      <x:c r="V140" s="161"/>
      <x:c r="W140" s="161"/>
      <x:c r="X140" s="161"/>
      <x:c r="Y140" s="161"/>
      <x:c r="Z140" s="161"/>
    </x:row>
    <x:row r="141">
      <x:c r="A141" s="180" t="str">
        <x:f>IF(B141&lt;&gt;"","CLI-"&amp;TEXT(ROW()-5,"000"),"")</x:f>
      </x:c>
      <x:c r="B141" s="108"/>
      <x:c r="C141" s="108"/>
      <x:c r="D141" s="108"/>
      <x:c r="E141" s="108"/>
      <x:c r="F141" s="108"/>
      <x:c r="G141" s="108"/>
      <x:c r="H141" s="108"/>
      <x:c r="I141" s="108"/>
      <x:c r="J141" s="108"/>
      <x:c r="K141" s="108"/>
      <x:c r="L141" s="112"/>
      <x:c r="M141" s="124"/>
      <x:c r="N141" s="108"/>
      <x:c r="O141" s="161"/>
      <x:c r="P141" s="161"/>
      <x:c r="Q141" s="161"/>
      <x:c r="R141" s="161"/>
      <x:c r="S141" s="161"/>
      <x:c r="T141" s="161"/>
      <x:c r="U141" s="161"/>
      <x:c r="V141" s="161"/>
      <x:c r="W141" s="161"/>
      <x:c r="X141" s="161"/>
      <x:c r="Y141" s="161"/>
      <x:c r="Z141" s="161"/>
    </x:row>
    <x:row r="142">
      <x:c r="A142" s="180" t="str">
        <x:f>IF(B142&lt;&gt;"","CLI-"&amp;TEXT(ROW()-5,"000"),"")</x:f>
      </x:c>
      <x:c r="B142" s="108"/>
      <x:c r="C142" s="108"/>
      <x:c r="D142" s="108"/>
      <x:c r="E142" s="108"/>
      <x:c r="F142" s="108"/>
      <x:c r="G142" s="108"/>
      <x:c r="H142" s="108"/>
      <x:c r="I142" s="108"/>
      <x:c r="J142" s="108"/>
      <x:c r="K142" s="108"/>
      <x:c r="L142" s="112"/>
      <x:c r="M142" s="124"/>
      <x:c r="N142" s="108"/>
      <x:c r="O142" s="161"/>
      <x:c r="P142" s="161"/>
      <x:c r="Q142" s="161"/>
      <x:c r="R142" s="161"/>
      <x:c r="S142" s="161"/>
      <x:c r="T142" s="161"/>
      <x:c r="U142" s="161"/>
      <x:c r="V142" s="161"/>
      <x:c r="W142" s="161"/>
      <x:c r="X142" s="161"/>
      <x:c r="Y142" s="161"/>
      <x:c r="Z142" s="161"/>
    </x:row>
    <x:row r="143">
      <x:c r="A143" s="180" t="str">
        <x:f>IF(B143&lt;&gt;"","CLI-"&amp;TEXT(ROW()-5,"000"),"")</x:f>
      </x:c>
      <x:c r="B143" s="108"/>
      <x:c r="C143" s="108"/>
      <x:c r="D143" s="108"/>
      <x:c r="E143" s="108"/>
      <x:c r="F143" s="108"/>
      <x:c r="G143" s="108"/>
      <x:c r="H143" s="108"/>
      <x:c r="I143" s="108"/>
      <x:c r="J143" s="108"/>
      <x:c r="K143" s="108"/>
      <x:c r="L143" s="112"/>
      <x:c r="M143" s="124"/>
      <x:c r="N143" s="108"/>
      <x:c r="O143" s="161"/>
      <x:c r="P143" s="161"/>
      <x:c r="Q143" s="161"/>
      <x:c r="R143" s="161"/>
      <x:c r="S143" s="161"/>
      <x:c r="T143" s="161"/>
      <x:c r="U143" s="161"/>
      <x:c r="V143" s="161"/>
      <x:c r="W143" s="161"/>
      <x:c r="X143" s="161"/>
      <x:c r="Y143" s="161"/>
      <x:c r="Z143" s="161"/>
    </x:row>
    <x:row r="144">
      <x:c r="A144" s="180" t="str">
        <x:f>IF(B144&lt;&gt;"","CLI-"&amp;TEXT(ROW()-5,"000"),"")</x:f>
      </x:c>
      <x:c r="B144" s="108"/>
      <x:c r="C144" s="108"/>
      <x:c r="D144" s="108"/>
      <x:c r="E144" s="108"/>
      <x:c r="F144" s="108"/>
      <x:c r="G144" s="108"/>
      <x:c r="H144" s="108"/>
      <x:c r="I144" s="108"/>
      <x:c r="J144" s="108"/>
      <x:c r="K144" s="108"/>
      <x:c r="L144" s="112"/>
      <x:c r="M144" s="124"/>
      <x:c r="N144" s="108"/>
      <x:c r="O144" s="161"/>
      <x:c r="P144" s="161"/>
      <x:c r="Q144" s="161"/>
      <x:c r="R144" s="161"/>
      <x:c r="S144" s="161"/>
      <x:c r="T144" s="161"/>
      <x:c r="U144" s="161"/>
      <x:c r="V144" s="161"/>
      <x:c r="W144" s="161"/>
      <x:c r="X144" s="161"/>
      <x:c r="Y144" s="161"/>
      <x:c r="Z144" s="161"/>
    </x:row>
    <x:row r="145">
      <x:c r="A145" s="180" t="str">
        <x:f>IF(B145&lt;&gt;"","CLI-"&amp;TEXT(ROW()-5,"000"),"")</x:f>
      </x:c>
      <x:c r="B145" s="108"/>
      <x:c r="C145" s="108"/>
      <x:c r="D145" s="108"/>
      <x:c r="E145" s="108"/>
      <x:c r="F145" s="108"/>
      <x:c r="G145" s="108"/>
      <x:c r="H145" s="108"/>
      <x:c r="I145" s="108"/>
      <x:c r="J145" s="108"/>
      <x:c r="K145" s="108"/>
      <x:c r="L145" s="112"/>
      <x:c r="M145" s="124"/>
      <x:c r="N145" s="108"/>
      <x:c r="O145" s="161"/>
      <x:c r="P145" s="161"/>
      <x:c r="Q145" s="161"/>
      <x:c r="R145" s="161"/>
      <x:c r="S145" s="161"/>
      <x:c r="T145" s="161"/>
      <x:c r="U145" s="161"/>
      <x:c r="V145" s="161"/>
      <x:c r="W145" s="161"/>
      <x:c r="X145" s="161"/>
      <x:c r="Y145" s="161"/>
      <x:c r="Z145" s="161"/>
    </x:row>
    <x:row r="146">
      <x:c r="A146" s="180" t="str">
        <x:f>IF(B146&lt;&gt;"","CLI-"&amp;TEXT(ROW()-5,"000"),"")</x:f>
      </x:c>
      <x:c r="B146" s="108"/>
      <x:c r="C146" s="108"/>
      <x:c r="D146" s="108"/>
      <x:c r="E146" s="108"/>
      <x:c r="F146" s="108"/>
      <x:c r="G146" s="108"/>
      <x:c r="H146" s="108"/>
      <x:c r="I146" s="108"/>
      <x:c r="J146" s="108"/>
      <x:c r="K146" s="108"/>
      <x:c r="L146" s="112"/>
      <x:c r="M146" s="124"/>
      <x:c r="N146" s="108"/>
      <x:c r="O146" s="161"/>
      <x:c r="P146" s="161"/>
      <x:c r="Q146" s="161"/>
      <x:c r="R146" s="161"/>
      <x:c r="S146" s="161"/>
      <x:c r="T146" s="161"/>
      <x:c r="U146" s="161"/>
      <x:c r="V146" s="161"/>
      <x:c r="W146" s="161"/>
      <x:c r="X146" s="161"/>
      <x:c r="Y146" s="161"/>
      <x:c r="Z146" s="161"/>
    </x:row>
    <x:row r="147">
      <x:c r="A147" s="180" t="str">
        <x:f>IF(B147&lt;&gt;"","CLI-"&amp;TEXT(ROW()-5,"000"),"")</x:f>
      </x:c>
      <x:c r="B147" s="108"/>
      <x:c r="C147" s="108"/>
      <x:c r="D147" s="108"/>
      <x:c r="E147" s="108"/>
      <x:c r="F147" s="108"/>
      <x:c r="G147" s="108"/>
      <x:c r="H147" s="108"/>
      <x:c r="I147" s="108"/>
      <x:c r="J147" s="108"/>
      <x:c r="K147" s="108"/>
      <x:c r="L147" s="112"/>
      <x:c r="M147" s="124"/>
      <x:c r="N147" s="108"/>
      <x:c r="O147" s="161"/>
      <x:c r="P147" s="161"/>
      <x:c r="Q147" s="161"/>
      <x:c r="R147" s="161"/>
      <x:c r="S147" s="161"/>
      <x:c r="T147" s="161"/>
      <x:c r="U147" s="161"/>
      <x:c r="V147" s="161"/>
      <x:c r="W147" s="161"/>
      <x:c r="X147" s="161"/>
      <x:c r="Y147" s="161"/>
      <x:c r="Z147" s="161"/>
    </x:row>
    <x:row r="148">
      <x:c r="A148" s="180" t="str">
        <x:f>IF(B148&lt;&gt;"","CLI-"&amp;TEXT(ROW()-5,"000"),"")</x:f>
      </x:c>
      <x:c r="B148" s="108"/>
      <x:c r="C148" s="108"/>
      <x:c r="D148" s="108"/>
      <x:c r="E148" s="108"/>
      <x:c r="F148" s="108"/>
      <x:c r="G148" s="108"/>
      <x:c r="H148" s="108"/>
      <x:c r="I148" s="108"/>
      <x:c r="J148" s="108"/>
      <x:c r="K148" s="108"/>
      <x:c r="L148" s="112"/>
      <x:c r="M148" s="124"/>
      <x:c r="N148" s="108"/>
      <x:c r="O148" s="161"/>
      <x:c r="P148" s="161"/>
      <x:c r="Q148" s="161"/>
      <x:c r="R148" s="161"/>
      <x:c r="S148" s="161"/>
      <x:c r="T148" s="161"/>
      <x:c r="U148" s="161"/>
      <x:c r="V148" s="161"/>
      <x:c r="W148" s="161"/>
      <x:c r="X148" s="161"/>
      <x:c r="Y148" s="161"/>
      <x:c r="Z148" s="161"/>
    </x:row>
    <x:row r="149">
      <x:c r="A149" s="180" t="str">
        <x:f>IF(B149&lt;&gt;"","CLI-"&amp;TEXT(ROW()-5,"000"),"")</x:f>
      </x:c>
      <x:c r="B149" s="108"/>
      <x:c r="C149" s="108"/>
      <x:c r="D149" s="108"/>
      <x:c r="E149" s="108"/>
      <x:c r="F149" s="108"/>
      <x:c r="G149" s="108"/>
      <x:c r="H149" s="108"/>
      <x:c r="I149" s="108"/>
      <x:c r="J149" s="108"/>
      <x:c r="K149" s="108"/>
      <x:c r="L149" s="112"/>
      <x:c r="M149" s="124"/>
      <x:c r="N149" s="108"/>
      <x:c r="O149" s="161"/>
      <x:c r="P149" s="161"/>
      <x:c r="Q149" s="161"/>
      <x:c r="R149" s="161"/>
      <x:c r="S149" s="161"/>
      <x:c r="T149" s="161"/>
      <x:c r="U149" s="161"/>
      <x:c r="V149" s="161"/>
      <x:c r="W149" s="161"/>
      <x:c r="X149" s="161"/>
      <x:c r="Y149" s="161"/>
      <x:c r="Z149" s="161"/>
    </x:row>
    <x:row r="150">
      <x:c r="A150" s="180" t="str">
        <x:f>IF(B150&lt;&gt;"","CLI-"&amp;TEXT(ROW()-5,"000"),"")</x:f>
      </x:c>
      <x:c r="B150" s="108"/>
      <x:c r="C150" s="108"/>
      <x:c r="D150" s="108"/>
      <x:c r="E150" s="108"/>
      <x:c r="F150" s="108"/>
      <x:c r="G150" s="108"/>
      <x:c r="H150" s="108"/>
      <x:c r="I150" s="108"/>
      <x:c r="J150" s="108"/>
      <x:c r="K150" s="108"/>
      <x:c r="L150" s="112"/>
      <x:c r="M150" s="124"/>
      <x:c r="N150" s="108"/>
      <x:c r="O150" s="161"/>
      <x:c r="P150" s="161"/>
      <x:c r="Q150" s="161"/>
      <x:c r="R150" s="161"/>
      <x:c r="S150" s="161"/>
      <x:c r="T150" s="161"/>
      <x:c r="U150" s="161"/>
      <x:c r="V150" s="161"/>
      <x:c r="W150" s="161"/>
      <x:c r="X150" s="161"/>
      <x:c r="Y150" s="161"/>
      <x:c r="Z150" s="161"/>
    </x:row>
    <x:row r="151">
      <x:c r="A151" s="180" t="str">
        <x:f>IF(B151&lt;&gt;"","CLI-"&amp;TEXT(ROW()-5,"000"),"")</x:f>
      </x:c>
      <x:c r="B151" s="108"/>
      <x:c r="C151" s="108"/>
      <x:c r="D151" s="108"/>
      <x:c r="E151" s="108"/>
      <x:c r="F151" s="108"/>
      <x:c r="G151" s="108"/>
      <x:c r="H151" s="108"/>
      <x:c r="I151" s="108"/>
      <x:c r="J151" s="108"/>
      <x:c r="K151" s="108"/>
      <x:c r="L151" s="112"/>
      <x:c r="M151" s="124"/>
      <x:c r="N151" s="108"/>
      <x:c r="O151" s="161"/>
      <x:c r="P151" s="161"/>
      <x:c r="Q151" s="161"/>
      <x:c r="R151" s="161"/>
      <x:c r="S151" s="161"/>
      <x:c r="T151" s="161"/>
      <x:c r="U151" s="161"/>
      <x:c r="V151" s="161"/>
      <x:c r="W151" s="161"/>
      <x:c r="X151" s="161"/>
      <x:c r="Y151" s="161"/>
      <x:c r="Z151" s="161"/>
    </x:row>
    <x:row r="152">
      <x:c r="A152" s="180" t="str">
        <x:f>IF(B152&lt;&gt;"","CLI-"&amp;TEXT(ROW()-5,"000"),"")</x:f>
      </x:c>
      <x:c r="B152" s="108"/>
      <x:c r="C152" s="108"/>
      <x:c r="D152" s="108"/>
      <x:c r="E152" s="108"/>
      <x:c r="F152" s="108"/>
      <x:c r="G152" s="108"/>
      <x:c r="H152" s="108"/>
      <x:c r="I152" s="108"/>
      <x:c r="J152" s="108"/>
      <x:c r="K152" s="108"/>
      <x:c r="L152" s="112"/>
      <x:c r="M152" s="124"/>
      <x:c r="N152" s="108"/>
      <x:c r="O152" s="161"/>
      <x:c r="P152" s="161"/>
      <x:c r="Q152" s="161"/>
      <x:c r="R152" s="161"/>
      <x:c r="S152" s="161"/>
      <x:c r="T152" s="161"/>
      <x:c r="U152" s="161"/>
      <x:c r="V152" s="161"/>
      <x:c r="W152" s="161"/>
      <x:c r="X152" s="161"/>
      <x:c r="Y152" s="161"/>
      <x:c r="Z152" s="161"/>
    </x:row>
    <x:row r="153">
      <x:c r="A153" s="180" t="str">
        <x:f>IF(B153&lt;&gt;"","CLI-"&amp;TEXT(ROW()-5,"000"),"")</x:f>
      </x:c>
      <x:c r="B153" s="108"/>
      <x:c r="C153" s="108"/>
      <x:c r="D153" s="108"/>
      <x:c r="E153" s="108"/>
      <x:c r="F153" s="108"/>
      <x:c r="G153" s="108"/>
      <x:c r="H153" s="108"/>
      <x:c r="I153" s="108"/>
      <x:c r="J153" s="108"/>
      <x:c r="K153" s="108"/>
      <x:c r="L153" s="112"/>
      <x:c r="M153" s="124"/>
      <x:c r="N153" s="108"/>
      <x:c r="O153" s="161"/>
      <x:c r="P153" s="161"/>
      <x:c r="Q153" s="161"/>
      <x:c r="R153" s="161"/>
      <x:c r="S153" s="161"/>
      <x:c r="T153" s="161"/>
      <x:c r="U153" s="161"/>
      <x:c r="V153" s="161"/>
      <x:c r="W153" s="161"/>
      <x:c r="X153" s="161"/>
      <x:c r="Y153" s="161"/>
      <x:c r="Z153" s="161"/>
    </x:row>
    <x:row r="154">
      <x:c r="A154" s="180" t="str">
        <x:f>IF(B154&lt;&gt;"","CLI-"&amp;TEXT(ROW()-5,"000"),"")</x:f>
      </x:c>
      <x:c r="B154" s="108"/>
      <x:c r="C154" s="108"/>
      <x:c r="D154" s="108"/>
      <x:c r="E154" s="108"/>
      <x:c r="F154" s="108"/>
      <x:c r="G154" s="108"/>
      <x:c r="H154" s="108"/>
      <x:c r="I154" s="108"/>
      <x:c r="J154" s="108"/>
      <x:c r="K154" s="108"/>
      <x:c r="L154" s="112"/>
      <x:c r="M154" s="124"/>
      <x:c r="N154" s="108"/>
      <x:c r="O154" s="161"/>
      <x:c r="P154" s="161"/>
      <x:c r="Q154" s="161"/>
      <x:c r="R154" s="161"/>
      <x:c r="S154" s="161"/>
      <x:c r="T154" s="161"/>
      <x:c r="U154" s="161"/>
      <x:c r="V154" s="161"/>
      <x:c r="W154" s="161"/>
      <x:c r="X154" s="161"/>
      <x:c r="Y154" s="161"/>
      <x:c r="Z154" s="161"/>
    </x:row>
    <x:row r="155">
      <x:c r="A155" s="180" t="str">
        <x:f>IF(B155&lt;&gt;"","CLI-"&amp;TEXT(ROW()-5,"000"),"")</x:f>
      </x:c>
      <x:c r="B155" s="108"/>
      <x:c r="C155" s="108"/>
      <x:c r="D155" s="108"/>
      <x:c r="E155" s="108"/>
      <x:c r="F155" s="108"/>
      <x:c r="G155" s="108"/>
      <x:c r="H155" s="108"/>
      <x:c r="I155" s="108"/>
      <x:c r="J155" s="108"/>
      <x:c r="K155" s="108"/>
      <x:c r="L155" s="112"/>
      <x:c r="M155" s="124"/>
      <x:c r="N155" s="108"/>
      <x:c r="O155" s="161"/>
      <x:c r="P155" s="161"/>
      <x:c r="Q155" s="161"/>
      <x:c r="R155" s="161"/>
      <x:c r="S155" s="161"/>
      <x:c r="T155" s="161"/>
      <x:c r="U155" s="161"/>
      <x:c r="V155" s="161"/>
      <x:c r="W155" s="161"/>
      <x:c r="X155" s="161"/>
      <x:c r="Y155" s="161"/>
      <x:c r="Z155" s="161"/>
    </x:row>
    <x:row r="156">
      <x:c r="A156" s="180" t="str">
        <x:f>IF(B156&lt;&gt;"","CLI-"&amp;TEXT(ROW()-5,"000"),"")</x:f>
      </x:c>
      <x:c r="B156" s="108"/>
      <x:c r="C156" s="108"/>
      <x:c r="D156" s="108"/>
      <x:c r="E156" s="108"/>
      <x:c r="F156" s="108"/>
      <x:c r="G156" s="108"/>
      <x:c r="H156" s="108"/>
      <x:c r="I156" s="108"/>
      <x:c r="J156" s="108"/>
      <x:c r="K156" s="108"/>
      <x:c r="L156" s="112"/>
      <x:c r="M156" s="124"/>
      <x:c r="N156" s="108"/>
      <x:c r="O156" s="161"/>
      <x:c r="P156" s="161"/>
      <x:c r="Q156" s="161"/>
      <x:c r="R156" s="161"/>
      <x:c r="S156" s="161"/>
      <x:c r="T156" s="161"/>
      <x:c r="U156" s="161"/>
      <x:c r="V156" s="161"/>
      <x:c r="W156" s="161"/>
      <x:c r="X156" s="161"/>
      <x:c r="Y156" s="161"/>
      <x:c r="Z156" s="161"/>
    </x:row>
    <x:row r="157">
      <x:c r="A157" s="180" t="str">
        <x:f>IF(B157&lt;&gt;"","CLI-"&amp;TEXT(ROW()-5,"000"),"")</x:f>
      </x:c>
      <x:c r="B157" s="108"/>
      <x:c r="C157" s="108"/>
      <x:c r="D157" s="108"/>
      <x:c r="E157" s="108"/>
      <x:c r="F157" s="108"/>
      <x:c r="G157" s="108"/>
      <x:c r="H157" s="108"/>
      <x:c r="I157" s="108"/>
      <x:c r="J157" s="108"/>
      <x:c r="K157" s="108"/>
      <x:c r="L157" s="112"/>
      <x:c r="M157" s="124"/>
      <x:c r="N157" s="108"/>
      <x:c r="O157" s="161"/>
      <x:c r="P157" s="161"/>
      <x:c r="Q157" s="161"/>
      <x:c r="R157" s="161"/>
      <x:c r="S157" s="161"/>
      <x:c r="T157" s="161"/>
      <x:c r="U157" s="161"/>
      <x:c r="V157" s="161"/>
      <x:c r="W157" s="161"/>
      <x:c r="X157" s="161"/>
      <x:c r="Y157" s="161"/>
      <x:c r="Z157" s="161"/>
    </x:row>
    <x:row r="158">
      <x:c r="A158" s="180" t="str">
        <x:f>IF(B158&lt;&gt;"","CLI-"&amp;TEXT(ROW()-5,"000"),"")</x:f>
      </x:c>
      <x:c r="B158" s="108"/>
      <x:c r="C158" s="108"/>
      <x:c r="D158" s="108"/>
      <x:c r="E158" s="108"/>
      <x:c r="F158" s="108"/>
      <x:c r="G158" s="108"/>
      <x:c r="H158" s="108"/>
      <x:c r="I158" s="108"/>
      <x:c r="J158" s="108"/>
      <x:c r="K158" s="108"/>
      <x:c r="L158" s="112"/>
      <x:c r="M158" s="124"/>
      <x:c r="N158" s="108"/>
      <x:c r="O158" s="161"/>
      <x:c r="P158" s="161"/>
      <x:c r="Q158" s="161"/>
      <x:c r="R158" s="161"/>
      <x:c r="S158" s="161"/>
      <x:c r="T158" s="161"/>
      <x:c r="U158" s="161"/>
      <x:c r="V158" s="161"/>
      <x:c r="W158" s="161"/>
      <x:c r="X158" s="161"/>
      <x:c r="Y158" s="161"/>
      <x:c r="Z158" s="161"/>
    </x:row>
    <x:row r="159">
      <x:c r="A159" s="180" t="str">
        <x:f>IF(B159&lt;&gt;"","CLI-"&amp;TEXT(ROW()-5,"000"),"")</x:f>
      </x:c>
      <x:c r="B159" s="108"/>
      <x:c r="C159" s="108"/>
      <x:c r="D159" s="108"/>
      <x:c r="E159" s="108"/>
      <x:c r="F159" s="108"/>
      <x:c r="G159" s="108"/>
      <x:c r="H159" s="108"/>
      <x:c r="I159" s="108"/>
      <x:c r="J159" s="108"/>
      <x:c r="K159" s="108"/>
      <x:c r="L159" s="112"/>
      <x:c r="M159" s="124"/>
      <x:c r="N159" s="108"/>
      <x:c r="O159" s="161"/>
      <x:c r="P159" s="161"/>
      <x:c r="Q159" s="161"/>
      <x:c r="R159" s="161"/>
      <x:c r="S159" s="161"/>
      <x:c r="T159" s="161"/>
      <x:c r="U159" s="161"/>
      <x:c r="V159" s="161"/>
      <x:c r="W159" s="161"/>
      <x:c r="X159" s="161"/>
      <x:c r="Y159" s="161"/>
      <x:c r="Z159" s="161"/>
    </x:row>
    <x:row r="160">
      <x:c r="A160" s="180" t="str">
        <x:f>IF(B160&lt;&gt;"","CLI-"&amp;TEXT(ROW()-5,"000"),"")</x:f>
      </x:c>
      <x:c r="B160" s="108"/>
      <x:c r="C160" s="108"/>
      <x:c r="D160" s="108"/>
      <x:c r="E160" s="108"/>
      <x:c r="F160" s="108"/>
      <x:c r="G160" s="108"/>
      <x:c r="H160" s="108"/>
      <x:c r="I160" s="108"/>
      <x:c r="J160" s="108"/>
      <x:c r="K160" s="108"/>
      <x:c r="L160" s="112"/>
      <x:c r="M160" s="124"/>
      <x:c r="N160" s="108"/>
      <x:c r="O160" s="161"/>
      <x:c r="P160" s="161"/>
      <x:c r="Q160" s="161"/>
      <x:c r="R160" s="161"/>
      <x:c r="S160" s="161"/>
      <x:c r="T160" s="161"/>
      <x:c r="U160" s="161"/>
      <x:c r="V160" s="161"/>
      <x:c r="W160" s="161"/>
      <x:c r="X160" s="161"/>
      <x:c r="Y160" s="161"/>
      <x:c r="Z160" s="161"/>
    </x:row>
    <x:row r="161">
      <x:c r="A161" s="180" t="str">
        <x:f>IF(B161&lt;&gt;"","CLI-"&amp;TEXT(ROW()-5,"000"),"")</x:f>
      </x:c>
      <x:c r="B161" s="108"/>
      <x:c r="C161" s="108"/>
      <x:c r="D161" s="108"/>
      <x:c r="E161" s="108"/>
      <x:c r="F161" s="108"/>
      <x:c r="G161" s="108"/>
      <x:c r="H161" s="108"/>
      <x:c r="I161" s="108"/>
      <x:c r="J161" s="108"/>
      <x:c r="K161" s="108"/>
      <x:c r="L161" s="112"/>
      <x:c r="M161" s="124"/>
      <x:c r="N161" s="108"/>
      <x:c r="O161" s="161"/>
      <x:c r="P161" s="161"/>
      <x:c r="Q161" s="161"/>
      <x:c r="R161" s="161"/>
      <x:c r="S161" s="161"/>
      <x:c r="T161" s="161"/>
      <x:c r="U161" s="161"/>
      <x:c r="V161" s="161"/>
      <x:c r="W161" s="161"/>
      <x:c r="X161" s="161"/>
      <x:c r="Y161" s="161"/>
      <x:c r="Z161" s="161"/>
    </x:row>
    <x:row r="162">
      <x:c r="A162" s="180" t="str">
        <x:f>IF(B162&lt;&gt;"","CLI-"&amp;TEXT(ROW()-5,"000"),"")</x:f>
      </x:c>
      <x:c r="B162" s="108"/>
      <x:c r="C162" s="108"/>
      <x:c r="D162" s="108"/>
      <x:c r="E162" s="108"/>
      <x:c r="F162" s="108"/>
      <x:c r="G162" s="108"/>
      <x:c r="H162" s="108"/>
      <x:c r="I162" s="108"/>
      <x:c r="J162" s="108"/>
      <x:c r="K162" s="108"/>
      <x:c r="L162" s="112"/>
      <x:c r="M162" s="124"/>
      <x:c r="N162" s="108"/>
      <x:c r="O162" s="161"/>
      <x:c r="P162" s="161"/>
      <x:c r="Q162" s="161"/>
      <x:c r="R162" s="161"/>
      <x:c r="S162" s="161"/>
      <x:c r="T162" s="161"/>
      <x:c r="U162" s="161"/>
      <x:c r="V162" s="161"/>
      <x:c r="W162" s="161"/>
      <x:c r="X162" s="161"/>
      <x:c r="Y162" s="161"/>
      <x:c r="Z162" s="161"/>
    </x:row>
    <x:row r="163">
      <x:c r="A163" s="180" t="str">
        <x:f>IF(B163&lt;&gt;"","CLI-"&amp;TEXT(ROW()-5,"000"),"")</x:f>
      </x:c>
      <x:c r="B163" s="108"/>
      <x:c r="C163" s="108"/>
      <x:c r="D163" s="108"/>
      <x:c r="E163" s="108"/>
      <x:c r="F163" s="108"/>
      <x:c r="G163" s="108"/>
      <x:c r="H163" s="108"/>
      <x:c r="I163" s="108"/>
      <x:c r="J163" s="108"/>
      <x:c r="K163" s="108"/>
      <x:c r="L163" s="112"/>
      <x:c r="M163" s="124"/>
      <x:c r="N163" s="108"/>
      <x:c r="O163" s="161"/>
      <x:c r="P163" s="161"/>
      <x:c r="Q163" s="161"/>
      <x:c r="R163" s="161"/>
      <x:c r="S163" s="161"/>
      <x:c r="T163" s="161"/>
      <x:c r="U163" s="161"/>
      <x:c r="V163" s="161"/>
      <x:c r="W163" s="161"/>
      <x:c r="X163" s="161"/>
      <x:c r="Y163" s="161"/>
      <x:c r="Z163" s="161"/>
    </x:row>
    <x:row r="164">
      <x:c r="A164" s="180" t="str">
        <x:f>IF(B164&lt;&gt;"","CLI-"&amp;TEXT(ROW()-5,"000"),"")</x:f>
      </x:c>
      <x:c r="B164" s="108"/>
      <x:c r="C164" s="108"/>
      <x:c r="D164" s="108"/>
      <x:c r="E164" s="108"/>
      <x:c r="F164" s="108"/>
      <x:c r="G164" s="108"/>
      <x:c r="H164" s="108"/>
      <x:c r="I164" s="108"/>
      <x:c r="J164" s="108"/>
      <x:c r="K164" s="108"/>
      <x:c r="L164" s="112"/>
      <x:c r="M164" s="124"/>
      <x:c r="N164" s="108"/>
      <x:c r="O164" s="161"/>
      <x:c r="P164" s="161"/>
      <x:c r="Q164" s="161"/>
      <x:c r="R164" s="161"/>
      <x:c r="S164" s="161"/>
      <x:c r="T164" s="161"/>
      <x:c r="U164" s="161"/>
      <x:c r="V164" s="161"/>
      <x:c r="W164" s="161"/>
      <x:c r="X164" s="161"/>
      <x:c r="Y164" s="161"/>
      <x:c r="Z164" s="161"/>
    </x:row>
    <x:row r="165">
      <x:c r="A165" s="180" t="str">
        <x:f>IF(B165&lt;&gt;"","CLI-"&amp;TEXT(ROW()-5,"000"),"")</x:f>
      </x:c>
      <x:c r="B165" s="108"/>
      <x:c r="C165" s="108"/>
      <x:c r="D165" s="108"/>
      <x:c r="E165" s="108"/>
      <x:c r="F165" s="108"/>
      <x:c r="G165" s="108"/>
      <x:c r="H165" s="108"/>
      <x:c r="I165" s="108"/>
      <x:c r="J165" s="108"/>
      <x:c r="K165" s="108"/>
      <x:c r="L165" s="112"/>
      <x:c r="M165" s="124"/>
      <x:c r="N165" s="108"/>
      <x:c r="O165" s="161"/>
      <x:c r="P165" s="161"/>
      <x:c r="Q165" s="161"/>
      <x:c r="R165" s="161"/>
      <x:c r="S165" s="161"/>
      <x:c r="T165" s="161"/>
      <x:c r="U165" s="161"/>
      <x:c r="V165" s="161"/>
      <x:c r="W165" s="161"/>
      <x:c r="X165" s="161"/>
      <x:c r="Y165" s="161"/>
      <x:c r="Z165" s="161"/>
    </x:row>
    <x:row r="166">
      <x:c r="A166" s="180" t="str">
        <x:f>IF(B166&lt;&gt;"","CLI-"&amp;TEXT(ROW()-5,"000"),"")</x:f>
      </x:c>
      <x:c r="B166" s="108"/>
      <x:c r="C166" s="108"/>
      <x:c r="D166" s="108"/>
      <x:c r="E166" s="108"/>
      <x:c r="F166" s="108"/>
      <x:c r="G166" s="108"/>
      <x:c r="H166" s="108"/>
      <x:c r="I166" s="108"/>
      <x:c r="J166" s="108"/>
      <x:c r="K166" s="108"/>
      <x:c r="L166" s="112"/>
      <x:c r="M166" s="124"/>
      <x:c r="N166" s="108"/>
      <x:c r="O166" s="161"/>
      <x:c r="P166" s="161"/>
      <x:c r="Q166" s="161"/>
      <x:c r="R166" s="161"/>
      <x:c r="S166" s="161"/>
      <x:c r="T166" s="161"/>
      <x:c r="U166" s="161"/>
      <x:c r="V166" s="161"/>
      <x:c r="W166" s="161"/>
      <x:c r="X166" s="161"/>
      <x:c r="Y166" s="161"/>
      <x:c r="Z166" s="161"/>
    </x:row>
    <x:row r="167">
      <x:c r="A167" s="180" t="str">
        <x:f>IF(B167&lt;&gt;"","CLI-"&amp;TEXT(ROW()-5,"000"),"")</x:f>
      </x:c>
      <x:c r="B167" s="108"/>
      <x:c r="C167" s="108"/>
      <x:c r="D167" s="108"/>
      <x:c r="E167" s="108"/>
      <x:c r="F167" s="108"/>
      <x:c r="G167" s="108"/>
      <x:c r="H167" s="108"/>
      <x:c r="I167" s="108"/>
      <x:c r="J167" s="108"/>
      <x:c r="K167" s="108"/>
      <x:c r="L167" s="112"/>
      <x:c r="M167" s="124"/>
      <x:c r="N167" s="108"/>
      <x:c r="O167" s="161"/>
      <x:c r="P167" s="161"/>
      <x:c r="Q167" s="161"/>
      <x:c r="R167" s="161"/>
      <x:c r="S167" s="161"/>
      <x:c r="T167" s="161"/>
      <x:c r="U167" s="161"/>
      <x:c r="V167" s="161"/>
      <x:c r="W167" s="161"/>
      <x:c r="X167" s="161"/>
      <x:c r="Y167" s="161"/>
      <x:c r="Z167" s="161"/>
    </x:row>
    <x:row r="168">
      <x:c r="A168" s="180" t="str">
        <x:f>IF(B168&lt;&gt;"","CLI-"&amp;TEXT(ROW()-5,"000"),"")</x:f>
      </x:c>
      <x:c r="B168" s="108"/>
      <x:c r="C168" s="108"/>
      <x:c r="D168" s="108"/>
      <x:c r="E168" s="108"/>
      <x:c r="F168" s="108"/>
      <x:c r="G168" s="108"/>
      <x:c r="H168" s="108"/>
      <x:c r="I168" s="108"/>
      <x:c r="J168" s="108"/>
      <x:c r="K168" s="108"/>
      <x:c r="L168" s="112"/>
      <x:c r="M168" s="124"/>
      <x:c r="N168" s="108"/>
      <x:c r="O168" s="161"/>
      <x:c r="P168" s="161"/>
      <x:c r="Q168" s="161"/>
      <x:c r="R168" s="161"/>
      <x:c r="S168" s="161"/>
      <x:c r="T168" s="161"/>
      <x:c r="U168" s="161"/>
      <x:c r="V168" s="161"/>
      <x:c r="W168" s="161"/>
      <x:c r="X168" s="161"/>
      <x:c r="Y168" s="161"/>
      <x:c r="Z168" s="161"/>
    </x:row>
    <x:row r="169">
      <x:c r="A169" s="180" t="str">
        <x:f>IF(B169&lt;&gt;"","CLI-"&amp;TEXT(ROW()-5,"000"),"")</x:f>
      </x:c>
      <x:c r="B169" s="108"/>
      <x:c r="C169" s="108"/>
      <x:c r="D169" s="108"/>
      <x:c r="E169" s="108"/>
      <x:c r="F169" s="108"/>
      <x:c r="G169" s="108"/>
      <x:c r="H169" s="108"/>
      <x:c r="I169" s="108"/>
      <x:c r="J169" s="108"/>
      <x:c r="K169" s="108"/>
      <x:c r="L169" s="112"/>
      <x:c r="M169" s="124"/>
      <x:c r="N169" s="108"/>
      <x:c r="O169" s="161"/>
      <x:c r="P169" s="161"/>
      <x:c r="Q169" s="161"/>
      <x:c r="R169" s="161"/>
      <x:c r="S169" s="161"/>
      <x:c r="T169" s="161"/>
      <x:c r="U169" s="161"/>
      <x:c r="V169" s="161"/>
      <x:c r="W169" s="161"/>
      <x:c r="X169" s="161"/>
      <x:c r="Y169" s="161"/>
      <x:c r="Z169" s="161"/>
    </x:row>
    <x:row r="170">
      <x:c r="A170" s="180" t="str">
        <x:f>IF(B170&lt;&gt;"","CLI-"&amp;TEXT(ROW()-5,"000"),"")</x:f>
      </x:c>
      <x:c r="B170" s="108"/>
      <x:c r="C170" s="108"/>
      <x:c r="D170" s="108"/>
      <x:c r="E170" s="108"/>
      <x:c r="F170" s="108"/>
      <x:c r="G170" s="108"/>
      <x:c r="H170" s="108"/>
      <x:c r="I170" s="108"/>
      <x:c r="J170" s="108"/>
      <x:c r="K170" s="108"/>
      <x:c r="L170" s="112"/>
      <x:c r="M170" s="124"/>
      <x:c r="N170" s="108"/>
      <x:c r="O170" s="161"/>
      <x:c r="P170" s="161"/>
      <x:c r="Q170" s="161"/>
      <x:c r="R170" s="161"/>
      <x:c r="S170" s="161"/>
      <x:c r="T170" s="161"/>
      <x:c r="U170" s="161"/>
      <x:c r="V170" s="161"/>
      <x:c r="W170" s="161"/>
      <x:c r="X170" s="161"/>
      <x:c r="Y170" s="161"/>
      <x:c r="Z170" s="161"/>
    </x:row>
    <x:row r="171">
      <x:c r="A171" s="180" t="str">
        <x:f>IF(B171&lt;&gt;"","CLI-"&amp;TEXT(ROW()-5,"000"),"")</x:f>
      </x:c>
      <x:c r="B171" s="108"/>
      <x:c r="C171" s="108"/>
      <x:c r="D171" s="108"/>
      <x:c r="E171" s="108"/>
      <x:c r="F171" s="108"/>
      <x:c r="G171" s="108"/>
      <x:c r="H171" s="108"/>
      <x:c r="I171" s="108"/>
      <x:c r="J171" s="108"/>
      <x:c r="K171" s="108"/>
      <x:c r="L171" s="112"/>
      <x:c r="M171" s="124"/>
      <x:c r="N171" s="108"/>
      <x:c r="O171" s="161"/>
      <x:c r="P171" s="161"/>
      <x:c r="Q171" s="161"/>
      <x:c r="R171" s="161"/>
      <x:c r="S171" s="161"/>
      <x:c r="T171" s="161"/>
      <x:c r="U171" s="161"/>
      <x:c r="V171" s="161"/>
      <x:c r="W171" s="161"/>
      <x:c r="X171" s="161"/>
      <x:c r="Y171" s="161"/>
      <x:c r="Z171" s="161"/>
    </x:row>
    <x:row r="172">
      <x:c r="A172" s="180" t="str">
        <x:f>IF(B172&lt;&gt;"","CLI-"&amp;TEXT(ROW()-5,"000"),"")</x:f>
      </x:c>
      <x:c r="B172" s="108"/>
      <x:c r="C172" s="108"/>
      <x:c r="D172" s="108"/>
      <x:c r="E172" s="108"/>
      <x:c r="F172" s="108"/>
      <x:c r="G172" s="108"/>
      <x:c r="H172" s="108"/>
      <x:c r="I172" s="108"/>
      <x:c r="J172" s="108"/>
      <x:c r="K172" s="108"/>
      <x:c r="L172" s="112"/>
      <x:c r="M172" s="124"/>
      <x:c r="N172" s="108"/>
      <x:c r="O172" s="161"/>
      <x:c r="P172" s="161"/>
      <x:c r="Q172" s="161"/>
      <x:c r="R172" s="161"/>
      <x:c r="S172" s="161"/>
      <x:c r="T172" s="161"/>
      <x:c r="U172" s="161"/>
      <x:c r="V172" s="161"/>
      <x:c r="W172" s="161"/>
      <x:c r="X172" s="161"/>
      <x:c r="Y172" s="161"/>
      <x:c r="Z172" s="161"/>
    </x:row>
    <x:row r="173">
      <x:c r="A173" s="180" t="str">
        <x:f>IF(B173&lt;&gt;"","CLI-"&amp;TEXT(ROW()-5,"000"),"")</x:f>
      </x:c>
      <x:c r="B173" s="108"/>
      <x:c r="C173" s="108"/>
      <x:c r="D173" s="108"/>
      <x:c r="E173" s="108"/>
      <x:c r="F173" s="108"/>
      <x:c r="G173" s="108"/>
      <x:c r="H173" s="108"/>
      <x:c r="I173" s="108"/>
      <x:c r="J173" s="108"/>
      <x:c r="K173" s="108"/>
      <x:c r="L173" s="112"/>
      <x:c r="M173" s="124"/>
      <x:c r="N173" s="108"/>
      <x:c r="O173" s="161"/>
      <x:c r="P173" s="161"/>
      <x:c r="Q173" s="161"/>
      <x:c r="R173" s="161"/>
      <x:c r="S173" s="161"/>
      <x:c r="T173" s="161"/>
      <x:c r="U173" s="161"/>
      <x:c r="V173" s="161"/>
      <x:c r="W173" s="161"/>
      <x:c r="X173" s="161"/>
      <x:c r="Y173" s="161"/>
      <x:c r="Z173" s="161"/>
    </x:row>
    <x:row r="174">
      <x:c r="A174" s="180" t="str">
        <x:f>IF(B174&lt;&gt;"","CLI-"&amp;TEXT(ROW()-5,"000"),"")</x:f>
      </x:c>
      <x:c r="B174" s="108"/>
      <x:c r="C174" s="108"/>
      <x:c r="D174" s="108"/>
      <x:c r="E174" s="108"/>
      <x:c r="F174" s="108"/>
      <x:c r="G174" s="108"/>
      <x:c r="H174" s="108"/>
      <x:c r="I174" s="108"/>
      <x:c r="J174" s="108"/>
      <x:c r="K174" s="108"/>
      <x:c r="L174" s="112"/>
      <x:c r="M174" s="124"/>
      <x:c r="N174" s="108"/>
      <x:c r="O174" s="161"/>
      <x:c r="P174" s="161"/>
      <x:c r="Q174" s="161"/>
      <x:c r="R174" s="161"/>
      <x:c r="S174" s="161"/>
      <x:c r="T174" s="161"/>
      <x:c r="U174" s="161"/>
      <x:c r="V174" s="161"/>
      <x:c r="W174" s="161"/>
      <x:c r="X174" s="161"/>
      <x:c r="Y174" s="161"/>
      <x:c r="Z174" s="161"/>
    </x:row>
    <x:row r="175">
      <x:c r="A175" s="180" t="str">
        <x:f>IF(B175&lt;&gt;"","CLI-"&amp;TEXT(ROW()-5,"000"),"")</x:f>
      </x:c>
      <x:c r="B175" s="108"/>
      <x:c r="C175" s="108"/>
      <x:c r="D175" s="108"/>
      <x:c r="E175" s="108"/>
      <x:c r="F175" s="108"/>
      <x:c r="G175" s="108"/>
      <x:c r="H175" s="108"/>
      <x:c r="I175" s="108"/>
      <x:c r="J175" s="108"/>
      <x:c r="K175" s="108"/>
      <x:c r="L175" s="112"/>
      <x:c r="M175" s="124"/>
      <x:c r="N175" s="108"/>
      <x:c r="O175" s="161"/>
      <x:c r="P175" s="161"/>
      <x:c r="Q175" s="161"/>
      <x:c r="R175" s="161"/>
      <x:c r="S175" s="161"/>
      <x:c r="T175" s="161"/>
      <x:c r="U175" s="161"/>
      <x:c r="V175" s="161"/>
      <x:c r="W175" s="161"/>
      <x:c r="X175" s="161"/>
      <x:c r="Y175" s="161"/>
      <x:c r="Z175" s="161"/>
    </x:row>
    <x:row r="176">
      <x:c r="A176" s="180" t="str">
        <x:f>IF(B176&lt;&gt;"","CLI-"&amp;TEXT(ROW()-5,"000"),"")</x:f>
      </x:c>
      <x:c r="B176" s="108"/>
      <x:c r="C176" s="108"/>
      <x:c r="D176" s="108"/>
      <x:c r="E176" s="108"/>
      <x:c r="F176" s="108"/>
      <x:c r="G176" s="108"/>
      <x:c r="H176" s="108"/>
      <x:c r="I176" s="108"/>
      <x:c r="J176" s="108"/>
      <x:c r="K176" s="108"/>
      <x:c r="L176" s="112"/>
      <x:c r="M176" s="124"/>
      <x:c r="N176" s="108"/>
      <x:c r="O176" s="161"/>
      <x:c r="P176" s="161"/>
      <x:c r="Q176" s="161"/>
      <x:c r="R176" s="161"/>
      <x:c r="S176" s="161"/>
      <x:c r="T176" s="161"/>
      <x:c r="U176" s="161"/>
      <x:c r="V176" s="161"/>
      <x:c r="W176" s="161"/>
      <x:c r="X176" s="161"/>
      <x:c r="Y176" s="161"/>
      <x:c r="Z176" s="161"/>
    </x:row>
    <x:row r="177">
      <x:c r="A177" s="180" t="str">
        <x:f>IF(B177&lt;&gt;"","CLI-"&amp;TEXT(ROW()-5,"000"),"")</x:f>
      </x:c>
      <x:c r="B177" s="108"/>
      <x:c r="C177" s="108"/>
      <x:c r="D177" s="108"/>
      <x:c r="E177" s="108"/>
      <x:c r="F177" s="108"/>
      <x:c r="G177" s="108"/>
      <x:c r="H177" s="108"/>
      <x:c r="I177" s="108"/>
      <x:c r="J177" s="108"/>
      <x:c r="K177" s="108"/>
      <x:c r="L177" s="112"/>
      <x:c r="M177" s="124"/>
      <x:c r="N177" s="108"/>
      <x:c r="O177" s="161"/>
      <x:c r="P177" s="161"/>
      <x:c r="Q177" s="161"/>
      <x:c r="R177" s="161"/>
      <x:c r="S177" s="161"/>
      <x:c r="T177" s="161"/>
      <x:c r="U177" s="161"/>
      <x:c r="V177" s="161"/>
      <x:c r="W177" s="161"/>
      <x:c r="X177" s="161"/>
      <x:c r="Y177" s="161"/>
      <x:c r="Z177" s="161"/>
    </x:row>
    <x:row r="178">
      <x:c r="A178" s="180" t="str">
        <x:f>IF(B178&lt;&gt;"","CLI-"&amp;TEXT(ROW()-5,"000"),"")</x:f>
      </x:c>
      <x:c r="B178" s="108"/>
      <x:c r="C178" s="108"/>
      <x:c r="D178" s="108"/>
      <x:c r="E178" s="108"/>
      <x:c r="F178" s="108"/>
      <x:c r="G178" s="108"/>
      <x:c r="H178" s="108"/>
      <x:c r="I178" s="108"/>
      <x:c r="J178" s="108"/>
      <x:c r="K178" s="108"/>
      <x:c r="L178" s="112"/>
      <x:c r="M178" s="124"/>
      <x:c r="N178" s="108"/>
      <x:c r="O178" s="161"/>
      <x:c r="P178" s="161"/>
      <x:c r="Q178" s="161"/>
      <x:c r="R178" s="161"/>
      <x:c r="S178" s="161"/>
      <x:c r="T178" s="161"/>
      <x:c r="U178" s="161"/>
      <x:c r="V178" s="161"/>
      <x:c r="W178" s="161"/>
      <x:c r="X178" s="161"/>
      <x:c r="Y178" s="161"/>
      <x:c r="Z178" s="161"/>
    </x:row>
    <x:row r="179">
      <x:c r="A179" s="180" t="str">
        <x:f>IF(B179&lt;&gt;"","CLI-"&amp;TEXT(ROW()-5,"000"),"")</x:f>
      </x:c>
      <x:c r="B179" s="108"/>
      <x:c r="C179" s="108"/>
      <x:c r="D179" s="108"/>
      <x:c r="E179" s="108"/>
      <x:c r="F179" s="108"/>
      <x:c r="G179" s="108"/>
      <x:c r="H179" s="108"/>
      <x:c r="I179" s="108"/>
      <x:c r="J179" s="108"/>
      <x:c r="K179" s="108"/>
      <x:c r="L179" s="112"/>
      <x:c r="M179" s="124"/>
      <x:c r="N179" s="108"/>
      <x:c r="O179" s="161"/>
      <x:c r="P179" s="161"/>
      <x:c r="Q179" s="161"/>
      <x:c r="R179" s="161"/>
      <x:c r="S179" s="161"/>
      <x:c r="T179" s="161"/>
      <x:c r="U179" s="161"/>
      <x:c r="V179" s="161"/>
      <x:c r="W179" s="161"/>
      <x:c r="X179" s="161"/>
      <x:c r="Y179" s="161"/>
      <x:c r="Z179" s="161"/>
    </x:row>
    <x:row r="180">
      <x:c r="A180" s="180" t="str">
        <x:f>IF(B180&lt;&gt;"","CLI-"&amp;TEXT(ROW()-5,"000"),"")</x:f>
      </x:c>
      <x:c r="B180" s="108"/>
      <x:c r="C180" s="108"/>
      <x:c r="D180" s="108"/>
      <x:c r="E180" s="108"/>
      <x:c r="F180" s="108"/>
      <x:c r="G180" s="108"/>
      <x:c r="H180" s="108"/>
      <x:c r="I180" s="108"/>
      <x:c r="J180" s="108"/>
      <x:c r="K180" s="108"/>
      <x:c r="L180" s="112"/>
      <x:c r="M180" s="124"/>
      <x:c r="N180" s="108"/>
      <x:c r="O180" s="161"/>
      <x:c r="P180" s="161"/>
      <x:c r="Q180" s="161"/>
      <x:c r="R180" s="161"/>
      <x:c r="S180" s="161"/>
      <x:c r="T180" s="161"/>
      <x:c r="U180" s="161"/>
      <x:c r="V180" s="161"/>
      <x:c r="W180" s="161"/>
      <x:c r="X180" s="161"/>
      <x:c r="Y180" s="161"/>
      <x:c r="Z180" s="161"/>
    </x:row>
    <x:row r="181">
      <x:c r="A181" s="180" t="str">
        <x:f>IF(B181&lt;&gt;"","CLI-"&amp;TEXT(ROW()-5,"000"),"")</x:f>
      </x:c>
      <x:c r="B181" s="108"/>
      <x:c r="C181" s="108"/>
      <x:c r="D181" s="108"/>
      <x:c r="E181" s="108"/>
      <x:c r="F181" s="108"/>
      <x:c r="G181" s="108"/>
      <x:c r="H181" s="108"/>
      <x:c r="I181" s="108"/>
      <x:c r="J181" s="108"/>
      <x:c r="K181" s="108"/>
      <x:c r="L181" s="112"/>
      <x:c r="M181" s="124"/>
      <x:c r="N181" s="108"/>
      <x:c r="O181" s="161"/>
      <x:c r="P181" s="161"/>
      <x:c r="Q181" s="161"/>
      <x:c r="R181" s="161"/>
      <x:c r="S181" s="161"/>
      <x:c r="T181" s="161"/>
      <x:c r="U181" s="161"/>
      <x:c r="V181" s="161"/>
      <x:c r="W181" s="161"/>
      <x:c r="X181" s="161"/>
      <x:c r="Y181" s="161"/>
      <x:c r="Z181" s="161"/>
    </x:row>
    <x:row r="182">
      <x:c r="A182" s="180" t="str">
        <x:f>IF(B182&lt;&gt;"","CLI-"&amp;TEXT(ROW()-5,"000"),"")</x:f>
      </x:c>
      <x:c r="B182" s="108"/>
      <x:c r="C182" s="108"/>
      <x:c r="D182" s="108"/>
      <x:c r="E182" s="108"/>
      <x:c r="F182" s="108"/>
      <x:c r="G182" s="108"/>
      <x:c r="H182" s="108"/>
      <x:c r="I182" s="108"/>
      <x:c r="J182" s="108"/>
      <x:c r="K182" s="108"/>
      <x:c r="L182" s="112"/>
      <x:c r="M182" s="124"/>
      <x:c r="N182" s="108"/>
      <x:c r="O182" s="161"/>
      <x:c r="P182" s="161"/>
      <x:c r="Q182" s="161"/>
      <x:c r="R182" s="161"/>
      <x:c r="S182" s="161"/>
      <x:c r="T182" s="161"/>
      <x:c r="U182" s="161"/>
      <x:c r="V182" s="161"/>
      <x:c r="W182" s="161"/>
      <x:c r="X182" s="161"/>
      <x:c r="Y182" s="161"/>
      <x:c r="Z182" s="161"/>
    </x:row>
    <x:row r="183">
      <x:c r="A183" s="180" t="str">
        <x:f>IF(B183&lt;&gt;"","CLI-"&amp;TEXT(ROW()-5,"000"),"")</x:f>
      </x:c>
      <x:c r="B183" s="108"/>
      <x:c r="C183" s="108"/>
      <x:c r="D183" s="108"/>
      <x:c r="E183" s="108"/>
      <x:c r="F183" s="108"/>
      <x:c r="G183" s="108"/>
      <x:c r="H183" s="108"/>
      <x:c r="I183" s="108"/>
      <x:c r="J183" s="108"/>
      <x:c r="K183" s="108"/>
      <x:c r="L183" s="112"/>
      <x:c r="M183" s="124"/>
      <x:c r="N183" s="108"/>
      <x:c r="O183" s="161"/>
      <x:c r="P183" s="161"/>
      <x:c r="Q183" s="161"/>
      <x:c r="R183" s="161"/>
      <x:c r="S183" s="161"/>
      <x:c r="T183" s="161"/>
      <x:c r="U183" s="161"/>
      <x:c r="V183" s="161"/>
      <x:c r="W183" s="161"/>
      <x:c r="X183" s="161"/>
      <x:c r="Y183" s="161"/>
      <x:c r="Z183" s="161"/>
    </x:row>
    <x:row r="184">
      <x:c r="A184" s="180" t="str">
        <x:f>IF(B184&lt;&gt;"","CLI-"&amp;TEXT(ROW()-5,"000"),"")</x:f>
      </x:c>
      <x:c r="B184" s="108"/>
      <x:c r="C184" s="108"/>
      <x:c r="D184" s="108"/>
      <x:c r="E184" s="108"/>
      <x:c r="F184" s="108"/>
      <x:c r="G184" s="108"/>
      <x:c r="H184" s="108"/>
      <x:c r="I184" s="108"/>
      <x:c r="J184" s="108"/>
      <x:c r="K184" s="108"/>
      <x:c r="L184" s="112"/>
      <x:c r="M184" s="124"/>
      <x:c r="N184" s="108"/>
      <x:c r="O184" s="161"/>
      <x:c r="P184" s="161"/>
      <x:c r="Q184" s="161"/>
      <x:c r="R184" s="161"/>
      <x:c r="S184" s="161"/>
      <x:c r="T184" s="161"/>
      <x:c r="U184" s="161"/>
      <x:c r="V184" s="161"/>
      <x:c r="W184" s="161"/>
      <x:c r="X184" s="161"/>
      <x:c r="Y184" s="161"/>
      <x:c r="Z184" s="161"/>
    </x:row>
    <x:row r="185">
      <x:c r="A185" s="180" t="str">
        <x:f>IF(B185&lt;&gt;"","CLI-"&amp;TEXT(ROW()-5,"000"),"")</x:f>
      </x:c>
      <x:c r="B185" s="108"/>
      <x:c r="C185" s="108"/>
      <x:c r="D185" s="108"/>
      <x:c r="E185" s="108"/>
      <x:c r="F185" s="108"/>
      <x:c r="G185" s="108"/>
      <x:c r="H185" s="108"/>
      <x:c r="I185" s="108"/>
      <x:c r="J185" s="108"/>
      <x:c r="K185" s="108"/>
      <x:c r="L185" s="112"/>
      <x:c r="M185" s="124"/>
      <x:c r="N185" s="108"/>
      <x:c r="O185" s="161"/>
      <x:c r="P185" s="161"/>
      <x:c r="Q185" s="161"/>
      <x:c r="R185" s="161"/>
      <x:c r="S185" s="161"/>
      <x:c r="T185" s="161"/>
      <x:c r="U185" s="161"/>
      <x:c r="V185" s="161"/>
      <x:c r="W185" s="161"/>
      <x:c r="X185" s="161"/>
      <x:c r="Y185" s="161"/>
      <x:c r="Z185" s="161"/>
    </x:row>
    <x:row r="186">
      <x:c r="A186" s="180" t="str">
        <x:f>IF(B186&lt;&gt;"","CLI-"&amp;TEXT(ROW()-5,"000"),"")</x:f>
      </x:c>
      <x:c r="B186" s="108"/>
      <x:c r="C186" s="108"/>
      <x:c r="D186" s="108"/>
      <x:c r="E186" s="108"/>
      <x:c r="F186" s="108"/>
      <x:c r="G186" s="108"/>
      <x:c r="H186" s="108"/>
      <x:c r="I186" s="108"/>
      <x:c r="J186" s="108"/>
      <x:c r="K186" s="108"/>
      <x:c r="L186" s="112"/>
      <x:c r="M186" s="124"/>
      <x:c r="N186" s="108"/>
      <x:c r="O186" s="161"/>
      <x:c r="P186" s="161"/>
      <x:c r="Q186" s="161"/>
      <x:c r="R186" s="161"/>
      <x:c r="S186" s="161"/>
      <x:c r="T186" s="161"/>
      <x:c r="U186" s="161"/>
      <x:c r="V186" s="161"/>
      <x:c r="W186" s="161"/>
      <x:c r="X186" s="161"/>
      <x:c r="Y186" s="161"/>
      <x:c r="Z186" s="161"/>
    </x:row>
    <x:row r="187">
      <x:c r="A187" s="180" t="str">
        <x:f>IF(B187&lt;&gt;"","CLI-"&amp;TEXT(ROW()-5,"000"),"")</x:f>
      </x:c>
      <x:c r="B187" s="108"/>
      <x:c r="C187" s="108"/>
      <x:c r="D187" s="108"/>
      <x:c r="E187" s="108"/>
      <x:c r="F187" s="108"/>
      <x:c r="G187" s="108"/>
      <x:c r="H187" s="108"/>
      <x:c r="I187" s="108"/>
      <x:c r="J187" s="108"/>
      <x:c r="K187" s="108"/>
      <x:c r="L187" s="112"/>
      <x:c r="M187" s="124"/>
      <x:c r="N187" s="108"/>
      <x:c r="O187" s="161"/>
      <x:c r="P187" s="161"/>
      <x:c r="Q187" s="161"/>
      <x:c r="R187" s="161"/>
      <x:c r="S187" s="161"/>
      <x:c r="T187" s="161"/>
      <x:c r="U187" s="161"/>
      <x:c r="V187" s="161"/>
      <x:c r="W187" s="161"/>
      <x:c r="X187" s="161"/>
      <x:c r="Y187" s="161"/>
      <x:c r="Z187" s="161"/>
    </x:row>
    <x:row r="188">
      <x:c r="A188" s="180" t="str">
        <x:f>IF(B188&lt;&gt;"","CLI-"&amp;TEXT(ROW()-5,"000"),"")</x:f>
      </x:c>
      <x:c r="B188" s="108"/>
      <x:c r="C188" s="108"/>
      <x:c r="D188" s="108"/>
      <x:c r="E188" s="108"/>
      <x:c r="F188" s="108"/>
      <x:c r="G188" s="108"/>
      <x:c r="H188" s="108"/>
      <x:c r="I188" s="108"/>
      <x:c r="J188" s="108"/>
      <x:c r="K188" s="108"/>
      <x:c r="L188" s="112"/>
      <x:c r="M188" s="124"/>
      <x:c r="N188" s="108"/>
      <x:c r="O188" s="161"/>
      <x:c r="P188" s="161"/>
      <x:c r="Q188" s="161"/>
      <x:c r="R188" s="161"/>
      <x:c r="S188" s="161"/>
      <x:c r="T188" s="161"/>
      <x:c r="U188" s="161"/>
      <x:c r="V188" s="161"/>
      <x:c r="W188" s="161"/>
      <x:c r="X188" s="161"/>
      <x:c r="Y188" s="161"/>
      <x:c r="Z188" s="161"/>
    </x:row>
    <x:row r="189">
      <x:c r="A189" s="180" t="str">
        <x:f>IF(B189&lt;&gt;"","CLI-"&amp;TEXT(ROW()-5,"000"),"")</x:f>
      </x:c>
      <x:c r="B189" s="108"/>
      <x:c r="C189" s="108"/>
      <x:c r="D189" s="108"/>
      <x:c r="E189" s="108"/>
      <x:c r="F189" s="108"/>
      <x:c r="G189" s="108"/>
      <x:c r="H189" s="108"/>
      <x:c r="I189" s="108"/>
      <x:c r="J189" s="108"/>
      <x:c r="K189" s="108"/>
      <x:c r="L189" s="112"/>
      <x:c r="M189" s="124"/>
      <x:c r="N189" s="108"/>
      <x:c r="O189" s="161"/>
      <x:c r="P189" s="161"/>
      <x:c r="Q189" s="161"/>
      <x:c r="R189" s="161"/>
      <x:c r="S189" s="161"/>
      <x:c r="T189" s="161"/>
      <x:c r="U189" s="161"/>
      <x:c r="V189" s="161"/>
      <x:c r="W189" s="161"/>
      <x:c r="X189" s="161"/>
      <x:c r="Y189" s="161"/>
      <x:c r="Z189" s="161"/>
    </x:row>
    <x:row r="190">
      <x:c r="A190" s="180" t="str">
        <x:f>IF(B190&lt;&gt;"","CLI-"&amp;TEXT(ROW()-5,"000"),"")</x:f>
      </x:c>
      <x:c r="B190" s="108"/>
      <x:c r="C190" s="108"/>
      <x:c r="D190" s="108"/>
      <x:c r="E190" s="108"/>
      <x:c r="F190" s="108"/>
      <x:c r="G190" s="108"/>
      <x:c r="H190" s="108"/>
      <x:c r="I190" s="108"/>
      <x:c r="J190" s="108"/>
      <x:c r="K190" s="108"/>
      <x:c r="L190" s="112"/>
      <x:c r="M190" s="124"/>
      <x:c r="N190" s="108"/>
      <x:c r="O190" s="161"/>
      <x:c r="P190" s="161"/>
      <x:c r="Q190" s="161"/>
      <x:c r="R190" s="161"/>
      <x:c r="S190" s="161"/>
      <x:c r="T190" s="161"/>
      <x:c r="U190" s="161"/>
      <x:c r="V190" s="161"/>
      <x:c r="W190" s="161"/>
      <x:c r="X190" s="161"/>
      <x:c r="Y190" s="161"/>
      <x:c r="Z190" s="161"/>
    </x:row>
    <x:row r="191">
      <x:c r="A191" s="180" t="str">
        <x:f>IF(B191&lt;&gt;"","CLI-"&amp;TEXT(ROW()-5,"000"),"")</x:f>
      </x:c>
      <x:c r="B191" s="108"/>
      <x:c r="C191" s="108"/>
      <x:c r="D191" s="108"/>
      <x:c r="E191" s="108"/>
      <x:c r="F191" s="108"/>
      <x:c r="G191" s="108"/>
      <x:c r="H191" s="108"/>
      <x:c r="I191" s="108"/>
      <x:c r="J191" s="108"/>
      <x:c r="K191" s="108"/>
      <x:c r="L191" s="112"/>
      <x:c r="M191" s="124"/>
      <x:c r="N191" s="108"/>
      <x:c r="O191" s="161"/>
      <x:c r="P191" s="161"/>
      <x:c r="Q191" s="161"/>
      <x:c r="R191" s="161"/>
      <x:c r="S191" s="161"/>
      <x:c r="T191" s="161"/>
      <x:c r="U191" s="161"/>
      <x:c r="V191" s="161"/>
      <x:c r="W191" s="161"/>
      <x:c r="X191" s="161"/>
      <x:c r="Y191" s="161"/>
      <x:c r="Z191" s="161"/>
    </x:row>
    <x:row r="192">
      <x:c r="A192" s="180" t="str">
        <x:f>IF(B192&lt;&gt;"","CLI-"&amp;TEXT(ROW()-5,"000"),"")</x:f>
      </x:c>
      <x:c r="B192" s="108"/>
      <x:c r="C192" s="108"/>
      <x:c r="D192" s="108"/>
      <x:c r="E192" s="108"/>
      <x:c r="F192" s="108"/>
      <x:c r="G192" s="108"/>
      <x:c r="H192" s="108"/>
      <x:c r="I192" s="108"/>
      <x:c r="J192" s="108"/>
      <x:c r="K192" s="108"/>
      <x:c r="L192" s="112"/>
      <x:c r="M192" s="124"/>
      <x:c r="N192" s="108"/>
      <x:c r="O192" s="161"/>
      <x:c r="P192" s="161"/>
      <x:c r="Q192" s="161"/>
      <x:c r="R192" s="161"/>
      <x:c r="S192" s="161"/>
      <x:c r="T192" s="161"/>
      <x:c r="U192" s="161"/>
      <x:c r="V192" s="161"/>
      <x:c r="W192" s="161"/>
      <x:c r="X192" s="161"/>
      <x:c r="Y192" s="161"/>
      <x:c r="Z192" s="161"/>
    </x:row>
    <x:row r="193">
      <x:c r="A193" s="180" t="str">
        <x:f>IF(B193&lt;&gt;"","CLI-"&amp;TEXT(ROW()-5,"000"),"")</x:f>
      </x:c>
      <x:c r="B193" s="108"/>
      <x:c r="C193" s="108"/>
      <x:c r="D193" s="108"/>
      <x:c r="E193" s="108"/>
      <x:c r="F193" s="108"/>
      <x:c r="G193" s="108"/>
      <x:c r="H193" s="108"/>
      <x:c r="I193" s="108"/>
      <x:c r="J193" s="108"/>
      <x:c r="K193" s="108"/>
      <x:c r="L193" s="112"/>
      <x:c r="M193" s="124"/>
      <x:c r="N193" s="108"/>
      <x:c r="O193" s="161"/>
      <x:c r="P193" s="161"/>
      <x:c r="Q193" s="161"/>
      <x:c r="R193" s="161"/>
      <x:c r="S193" s="161"/>
      <x:c r="T193" s="161"/>
      <x:c r="U193" s="161"/>
      <x:c r="V193" s="161"/>
      <x:c r="W193" s="161"/>
      <x:c r="X193" s="161"/>
      <x:c r="Y193" s="161"/>
      <x:c r="Z193" s="161"/>
    </x:row>
    <x:row r="194">
      <x:c r="A194" s="180" t="str">
        <x:f>IF(B194&lt;&gt;"","CLI-"&amp;TEXT(ROW()-5,"000"),"")</x:f>
      </x:c>
      <x:c r="B194" s="108"/>
      <x:c r="C194" s="108"/>
      <x:c r="D194" s="108"/>
      <x:c r="E194" s="108"/>
      <x:c r="F194" s="108"/>
      <x:c r="G194" s="108"/>
      <x:c r="H194" s="108"/>
      <x:c r="I194" s="108"/>
      <x:c r="J194" s="108"/>
      <x:c r="K194" s="108"/>
      <x:c r="L194" s="112"/>
      <x:c r="M194" s="124"/>
      <x:c r="N194" s="108"/>
      <x:c r="O194" s="161"/>
      <x:c r="P194" s="161"/>
      <x:c r="Q194" s="161"/>
      <x:c r="R194" s="161"/>
      <x:c r="S194" s="161"/>
      <x:c r="T194" s="161"/>
      <x:c r="U194" s="161"/>
      <x:c r="V194" s="161"/>
      <x:c r="W194" s="161"/>
      <x:c r="X194" s="161"/>
      <x:c r="Y194" s="161"/>
      <x:c r="Z194" s="161"/>
    </x:row>
    <x:row r="195">
      <x:c r="A195" s="180" t="str">
        <x:f>IF(B195&lt;&gt;"","CLI-"&amp;TEXT(ROW()-5,"000"),"")</x:f>
      </x:c>
      <x:c r="B195" s="108"/>
      <x:c r="C195" s="108"/>
      <x:c r="D195" s="108"/>
      <x:c r="E195" s="108"/>
      <x:c r="F195" s="108"/>
      <x:c r="G195" s="108"/>
      <x:c r="H195" s="108"/>
      <x:c r="I195" s="108"/>
      <x:c r="J195" s="108"/>
      <x:c r="K195" s="108"/>
      <x:c r="L195" s="112"/>
      <x:c r="M195" s="124"/>
      <x:c r="N195" s="108"/>
      <x:c r="O195" s="161"/>
      <x:c r="P195" s="161"/>
      <x:c r="Q195" s="161"/>
      <x:c r="R195" s="161"/>
      <x:c r="S195" s="161"/>
      <x:c r="T195" s="161"/>
      <x:c r="U195" s="161"/>
      <x:c r="V195" s="161"/>
      <x:c r="W195" s="161"/>
      <x:c r="X195" s="161"/>
      <x:c r="Y195" s="161"/>
      <x:c r="Z195" s="161"/>
    </x:row>
    <x:row r="196">
      <x:c r="A196" s="180" t="str">
        <x:f>IF(B196&lt;&gt;"","CLI-"&amp;TEXT(ROW()-5,"000"),"")</x:f>
      </x:c>
      <x:c r="B196" s="108"/>
      <x:c r="C196" s="108"/>
      <x:c r="D196" s="108"/>
      <x:c r="E196" s="108"/>
      <x:c r="F196" s="108"/>
      <x:c r="G196" s="108"/>
      <x:c r="H196" s="108"/>
      <x:c r="I196" s="108"/>
      <x:c r="J196" s="108"/>
      <x:c r="K196" s="108"/>
      <x:c r="L196" s="112"/>
      <x:c r="M196" s="124"/>
      <x:c r="N196" s="108"/>
      <x:c r="O196" s="161"/>
      <x:c r="P196" s="161"/>
      <x:c r="Q196" s="161"/>
      <x:c r="R196" s="161"/>
      <x:c r="S196" s="161"/>
      <x:c r="T196" s="161"/>
      <x:c r="U196" s="161"/>
      <x:c r="V196" s="161"/>
      <x:c r="W196" s="161"/>
      <x:c r="X196" s="161"/>
      <x:c r="Y196" s="161"/>
      <x:c r="Z196" s="161"/>
    </x:row>
    <x:row r="197">
      <x:c r="A197" s="180" t="str">
        <x:f>IF(B197&lt;&gt;"","CLI-"&amp;TEXT(ROW()-5,"000"),"")</x:f>
      </x:c>
      <x:c r="B197" s="108"/>
      <x:c r="C197" s="108"/>
      <x:c r="D197" s="108"/>
      <x:c r="E197" s="108"/>
      <x:c r="F197" s="108"/>
      <x:c r="G197" s="108"/>
      <x:c r="H197" s="108"/>
      <x:c r="I197" s="108"/>
      <x:c r="J197" s="108"/>
      <x:c r="K197" s="108"/>
      <x:c r="L197" s="112"/>
      <x:c r="M197" s="124"/>
      <x:c r="N197" s="108"/>
      <x:c r="O197" s="161"/>
      <x:c r="P197" s="161"/>
      <x:c r="Q197" s="161"/>
      <x:c r="R197" s="161"/>
      <x:c r="S197" s="161"/>
      <x:c r="T197" s="161"/>
      <x:c r="U197" s="161"/>
      <x:c r="V197" s="161"/>
      <x:c r="W197" s="161"/>
      <x:c r="X197" s="161"/>
      <x:c r="Y197" s="161"/>
      <x:c r="Z197" s="161"/>
    </x:row>
    <x:row r="198">
      <x:c r="A198" s="180" t="str">
        <x:f>IF(B198&lt;&gt;"","CLI-"&amp;TEXT(ROW()-5,"000"),"")</x:f>
      </x:c>
      <x:c r="B198" s="108"/>
      <x:c r="C198" s="108"/>
      <x:c r="D198" s="108"/>
      <x:c r="E198" s="108"/>
      <x:c r="F198" s="108"/>
      <x:c r="G198" s="108"/>
      <x:c r="H198" s="108"/>
      <x:c r="I198" s="108"/>
      <x:c r="J198" s="108"/>
      <x:c r="K198" s="108"/>
      <x:c r="L198" s="112"/>
      <x:c r="M198" s="124"/>
      <x:c r="N198" s="108"/>
      <x:c r="O198" s="161"/>
      <x:c r="P198" s="161"/>
      <x:c r="Q198" s="161"/>
      <x:c r="R198" s="161"/>
      <x:c r="S198" s="161"/>
      <x:c r="T198" s="161"/>
      <x:c r="U198" s="161"/>
      <x:c r="V198" s="161"/>
      <x:c r="W198" s="161"/>
      <x:c r="X198" s="161"/>
      <x:c r="Y198" s="161"/>
      <x:c r="Z198" s="161"/>
    </x:row>
    <x:row r="199">
      <x:c r="A199" s="180" t="str">
        <x:f>IF(B199&lt;&gt;"","CLI-"&amp;TEXT(ROW()-5,"000"),"")</x:f>
      </x:c>
      <x:c r="B199" s="108"/>
      <x:c r="C199" s="108"/>
      <x:c r="D199" s="108"/>
      <x:c r="E199" s="108"/>
      <x:c r="F199" s="108"/>
      <x:c r="G199" s="108"/>
      <x:c r="H199" s="108"/>
      <x:c r="I199" s="108"/>
      <x:c r="J199" s="108"/>
      <x:c r="K199" s="108"/>
      <x:c r="L199" s="112"/>
      <x:c r="M199" s="124"/>
      <x:c r="N199" s="108"/>
      <x:c r="O199" s="161"/>
      <x:c r="P199" s="161"/>
      <x:c r="Q199" s="161"/>
      <x:c r="R199" s="161"/>
      <x:c r="S199" s="161"/>
      <x:c r="T199" s="161"/>
      <x:c r="U199" s="161"/>
      <x:c r="V199" s="161"/>
      <x:c r="W199" s="161"/>
      <x:c r="X199" s="161"/>
      <x:c r="Y199" s="161"/>
      <x:c r="Z199" s="161"/>
    </x:row>
    <x:row r="200">
      <x:c r="A200" s="180" t="str">
        <x:f>IF(B200&lt;&gt;"","CLI-"&amp;TEXT(ROW()-5,"000"),"")</x:f>
      </x:c>
      <x:c r="B200" s="108"/>
      <x:c r="C200" s="108"/>
      <x:c r="D200" s="108"/>
      <x:c r="E200" s="108"/>
      <x:c r="F200" s="108"/>
      <x:c r="G200" s="108"/>
      <x:c r="H200" s="108"/>
      <x:c r="I200" s="108"/>
      <x:c r="J200" s="108"/>
      <x:c r="K200" s="108"/>
      <x:c r="L200" s="112"/>
      <x:c r="M200" s="124"/>
      <x:c r="N200" s="108"/>
      <x:c r="O200" s="161"/>
      <x:c r="P200" s="161"/>
      <x:c r="Q200" s="161"/>
      <x:c r="R200" s="161"/>
      <x:c r="S200" s="161"/>
      <x:c r="T200" s="161"/>
      <x:c r="U200" s="161"/>
      <x:c r="V200" s="161"/>
      <x:c r="W200" s="161"/>
      <x:c r="X200" s="161"/>
      <x:c r="Y200" s="161"/>
      <x:c r="Z200" s="161"/>
    </x:row>
    <x:row r="201">
      <x:c r="A201" s="160"/>
      <x:c r="B201" s="160"/>
      <x:c r="C201" s="160"/>
      <x:c r="D201" s="160"/>
      <x:c r="E201" s="160"/>
      <x:c r="F201" s="160"/>
      <x:c r="G201" s="160"/>
      <x:c r="H201" s="160"/>
      <x:c r="I201" s="160"/>
      <x:c r="J201" s="160"/>
      <x:c r="K201" s="160"/>
      <x:c r="L201" s="160"/>
      <x:c r="M201" s="160"/>
      <x:c r="N201" s="160"/>
      <x:c r="O201" s="161"/>
      <x:c r="P201" s="161"/>
      <x:c r="Q201" s="161"/>
      <x:c r="R201" s="161"/>
      <x:c r="S201" s="161"/>
      <x:c r="T201" s="161"/>
      <x:c r="U201" s="161"/>
      <x:c r="V201" s="161"/>
      <x:c r="W201" s="161"/>
      <x:c r="X201" s="161"/>
      <x:c r="Y201" s="161"/>
      <x:c r="Z201" s="161"/>
    </x:row>
    <x:row r="202">
      <x:c r="A202" s="160"/>
      <x:c r="B202" s="160"/>
      <x:c r="C202" s="160"/>
      <x:c r="D202" s="160"/>
      <x:c r="E202" s="160"/>
      <x:c r="F202" s="160"/>
      <x:c r="G202" s="160"/>
      <x:c r="H202" s="160"/>
      <x:c r="I202" s="160"/>
      <x:c r="J202" s="160"/>
      <x:c r="K202" s="160"/>
      <x:c r="L202" s="160"/>
      <x:c r="M202" s="160"/>
      <x:c r="N202" s="160"/>
      <x:c r="O202" s="161"/>
      <x:c r="P202" s="161"/>
      <x:c r="Q202" s="161"/>
      <x:c r="R202" s="161"/>
      <x:c r="S202" s="161"/>
      <x:c r="T202" s="161"/>
      <x:c r="U202" s="161"/>
      <x:c r="V202" s="161"/>
      <x:c r="W202" s="161"/>
      <x:c r="X202" s="161"/>
      <x:c r="Y202" s="161"/>
      <x:c r="Z202" s="161"/>
    </x:row>
    <x:row r="203">
      <x:c r="A203" s="160"/>
      <x:c r="B203" s="160"/>
      <x:c r="C203" s="160"/>
      <x:c r="D203" s="160"/>
      <x:c r="E203" s="160"/>
      <x:c r="F203" s="160"/>
      <x:c r="G203" s="160"/>
      <x:c r="H203" s="160"/>
      <x:c r="I203" s="160"/>
      <x:c r="J203" s="160"/>
      <x:c r="K203" s="160"/>
      <x:c r="L203" s="160"/>
      <x:c r="M203" s="160"/>
      <x:c r="N203" s="160"/>
      <x:c r="O203" s="161"/>
      <x:c r="P203" s="161"/>
      <x:c r="Q203" s="161"/>
      <x:c r="R203" s="161"/>
      <x:c r="S203" s="161"/>
      <x:c r="T203" s="161"/>
      <x:c r="U203" s="161"/>
      <x:c r="V203" s="161"/>
      <x:c r="W203" s="161"/>
      <x:c r="X203" s="161"/>
      <x:c r="Y203" s="161"/>
      <x:c r="Z203" s="161"/>
    </x:row>
    <x:row r="204">
      <x:c r="A204" s="160"/>
      <x:c r="B204" s="160"/>
      <x:c r="C204" s="160"/>
      <x:c r="D204" s="160"/>
      <x:c r="E204" s="160"/>
      <x:c r="F204" s="160"/>
      <x:c r="G204" s="160"/>
      <x:c r="H204" s="160"/>
      <x:c r="I204" s="160"/>
      <x:c r="J204" s="160"/>
      <x:c r="K204" s="160"/>
      <x:c r="L204" s="160"/>
      <x:c r="M204" s="160"/>
      <x:c r="N204" s="160"/>
      <x:c r="O204" s="161"/>
      <x:c r="P204" s="161"/>
      <x:c r="Q204" s="161"/>
      <x:c r="R204" s="161"/>
      <x:c r="S204" s="161"/>
      <x:c r="T204" s="161"/>
      <x:c r="U204" s="161"/>
      <x:c r="V204" s="161"/>
      <x:c r="W204" s="161"/>
      <x:c r="X204" s="161"/>
      <x:c r="Y204" s="161"/>
      <x:c r="Z204" s="161"/>
    </x:row>
    <x:row r="205">
      <x:c r="A205" s="160"/>
      <x:c r="B205" s="160"/>
      <x:c r="C205" s="160"/>
      <x:c r="D205" s="160"/>
      <x:c r="E205" s="160"/>
      <x:c r="F205" s="160"/>
      <x:c r="G205" s="160"/>
      <x:c r="H205" s="160"/>
      <x:c r="I205" s="160"/>
      <x:c r="J205" s="160"/>
      <x:c r="K205" s="160"/>
      <x:c r="L205" s="160"/>
      <x:c r="M205" s="160"/>
      <x:c r="N205" s="160"/>
      <x:c r="O205" s="161"/>
      <x:c r="P205" s="161"/>
      <x:c r="Q205" s="161"/>
      <x:c r="R205" s="161"/>
      <x:c r="S205" s="161"/>
      <x:c r="T205" s="161"/>
      <x:c r="U205" s="161"/>
      <x:c r="V205" s="161"/>
      <x:c r="W205" s="161"/>
      <x:c r="X205" s="161"/>
      <x:c r="Y205" s="161"/>
      <x:c r="Z205" s="161"/>
    </x:row>
    <x:row r="206">
      <x:c r="A206" s="160"/>
      <x:c r="B206" s="160"/>
      <x:c r="C206" s="160"/>
      <x:c r="D206" s="160"/>
      <x:c r="E206" s="160"/>
      <x:c r="F206" s="160"/>
      <x:c r="G206" s="160"/>
      <x:c r="H206" s="160"/>
      <x:c r="I206" s="160"/>
      <x:c r="J206" s="160"/>
      <x:c r="K206" s="160"/>
      <x:c r="L206" s="160"/>
      <x:c r="M206" s="160"/>
      <x:c r="N206" s="160"/>
      <x:c r="O206" s="161"/>
      <x:c r="P206" s="161"/>
      <x:c r="Q206" s="161"/>
      <x:c r="R206" s="161"/>
      <x:c r="S206" s="161"/>
      <x:c r="T206" s="161"/>
      <x:c r="U206" s="161"/>
      <x:c r="V206" s="161"/>
      <x:c r="W206" s="161"/>
      <x:c r="X206" s="161"/>
      <x:c r="Y206" s="161"/>
      <x:c r="Z206" s="161"/>
    </x:row>
    <x:row r="207">
      <x:c r="A207" s="160"/>
      <x:c r="B207" s="160"/>
      <x:c r="C207" s="160"/>
      <x:c r="D207" s="160"/>
      <x:c r="E207" s="160"/>
      <x:c r="F207" s="160"/>
      <x:c r="G207" s="160"/>
      <x:c r="H207" s="160"/>
      <x:c r="I207" s="160"/>
      <x:c r="J207" s="160"/>
      <x:c r="K207" s="160"/>
      <x:c r="L207" s="160"/>
      <x:c r="M207" s="160"/>
      <x:c r="N207" s="160"/>
      <x:c r="O207" s="161"/>
      <x:c r="P207" s="161"/>
      <x:c r="Q207" s="161"/>
      <x:c r="R207" s="161"/>
      <x:c r="S207" s="161"/>
      <x:c r="T207" s="161"/>
      <x:c r="U207" s="161"/>
      <x:c r="V207" s="161"/>
      <x:c r="W207" s="161"/>
      <x:c r="X207" s="161"/>
      <x:c r="Y207" s="161"/>
      <x:c r="Z207" s="161"/>
    </x:row>
    <x:row r="208">
      <x:c r="A208" s="160"/>
      <x:c r="B208" s="160"/>
      <x:c r="C208" s="160"/>
      <x:c r="D208" s="160"/>
      <x:c r="E208" s="160"/>
      <x:c r="F208" s="160"/>
      <x:c r="G208" s="160"/>
      <x:c r="H208" s="160"/>
      <x:c r="I208" s="160"/>
      <x:c r="J208" s="160"/>
      <x:c r="K208" s="160"/>
      <x:c r="L208" s="160"/>
      <x:c r="M208" s="160"/>
      <x:c r="N208" s="160"/>
      <x:c r="O208" s="161"/>
      <x:c r="P208" s="161"/>
      <x:c r="Q208" s="161"/>
      <x:c r="R208" s="161"/>
      <x:c r="S208" s="161"/>
      <x:c r="T208" s="161"/>
      <x:c r="U208" s="161"/>
      <x:c r="V208" s="161"/>
      <x:c r="W208" s="161"/>
      <x:c r="X208" s="161"/>
      <x:c r="Y208" s="161"/>
      <x:c r="Z208" s="161"/>
    </x:row>
    <x:row r="209">
      <x:c r="A209" s="160"/>
      <x:c r="B209" s="160"/>
      <x:c r="C209" s="160"/>
      <x:c r="D209" s="160"/>
      <x:c r="E209" s="160"/>
      <x:c r="F209" s="160"/>
      <x:c r="G209" s="160"/>
      <x:c r="H209" s="160"/>
      <x:c r="I209" s="160"/>
      <x:c r="J209" s="160"/>
      <x:c r="K209" s="160"/>
      <x:c r="L209" s="160"/>
      <x:c r="M209" s="160"/>
      <x:c r="N209" s="160"/>
      <x:c r="O209" s="161"/>
      <x:c r="P209" s="161"/>
      <x:c r="Q209" s="161"/>
      <x:c r="R209" s="161"/>
      <x:c r="S209" s="161"/>
      <x:c r="T209" s="161"/>
      <x:c r="U209" s="161"/>
      <x:c r="V209" s="161"/>
      <x:c r="W209" s="161"/>
      <x:c r="X209" s="161"/>
      <x:c r="Y209" s="161"/>
      <x:c r="Z209" s="161"/>
    </x:row>
    <x:row r="210">
      <x:c r="A210" s="160"/>
      <x:c r="B210" s="160"/>
      <x:c r="C210" s="160"/>
      <x:c r="D210" s="160"/>
      <x:c r="E210" s="160"/>
      <x:c r="F210" s="160"/>
      <x:c r="G210" s="160"/>
      <x:c r="H210" s="160"/>
      <x:c r="I210" s="160"/>
      <x:c r="J210" s="160"/>
      <x:c r="K210" s="160"/>
      <x:c r="L210" s="160"/>
      <x:c r="M210" s="160"/>
      <x:c r="N210" s="160"/>
      <x:c r="O210" s="161"/>
      <x:c r="P210" s="161"/>
      <x:c r="Q210" s="161"/>
      <x:c r="R210" s="161"/>
      <x:c r="S210" s="161"/>
      <x:c r="T210" s="161"/>
      <x:c r="U210" s="161"/>
      <x:c r="V210" s="161"/>
      <x:c r="W210" s="161"/>
      <x:c r="X210" s="161"/>
      <x:c r="Y210" s="161"/>
      <x:c r="Z210" s="161"/>
    </x:row>
    <x:row r="211">
      <x:c r="A211" s="160"/>
      <x:c r="B211" s="160"/>
      <x:c r="C211" s="160"/>
      <x:c r="D211" s="160"/>
      <x:c r="E211" s="160"/>
      <x:c r="F211" s="160"/>
      <x:c r="G211" s="160"/>
      <x:c r="H211" s="160"/>
      <x:c r="I211" s="160"/>
      <x:c r="J211" s="160"/>
      <x:c r="K211" s="160"/>
      <x:c r="L211" s="160"/>
      <x:c r="M211" s="160"/>
      <x:c r="N211" s="160"/>
      <x:c r="O211" s="161"/>
      <x:c r="P211" s="161"/>
      <x:c r="Q211" s="161"/>
      <x:c r="R211" s="161"/>
      <x:c r="S211" s="161"/>
      <x:c r="T211" s="161"/>
      <x:c r="U211" s="161"/>
      <x:c r="V211" s="161"/>
      <x:c r="W211" s="161"/>
      <x:c r="X211" s="161"/>
      <x:c r="Y211" s="161"/>
      <x:c r="Z211" s="161"/>
    </x:row>
    <x:row r="212">
      <x:c r="A212" s="160"/>
      <x:c r="B212" s="160"/>
      <x:c r="C212" s="160"/>
      <x:c r="D212" s="160"/>
      <x:c r="E212" s="160"/>
      <x:c r="F212" s="160"/>
      <x:c r="G212" s="160"/>
      <x:c r="H212" s="160"/>
      <x:c r="I212" s="160"/>
      <x:c r="J212" s="160"/>
      <x:c r="K212" s="160"/>
      <x:c r="L212" s="160"/>
      <x:c r="M212" s="160"/>
      <x:c r="N212" s="160"/>
      <x:c r="O212" s="161"/>
      <x:c r="P212" s="161"/>
      <x:c r="Q212" s="161"/>
      <x:c r="R212" s="161"/>
      <x:c r="S212" s="161"/>
      <x:c r="T212" s="161"/>
      <x:c r="U212" s="161"/>
      <x:c r="V212" s="161"/>
      <x:c r="W212" s="161"/>
      <x:c r="X212" s="161"/>
      <x:c r="Y212" s="161"/>
      <x:c r="Z212" s="161"/>
    </x:row>
    <x:row r="213">
      <x:c r="A213" s="160"/>
      <x:c r="B213" s="160"/>
      <x:c r="C213" s="160"/>
      <x:c r="D213" s="160"/>
      <x:c r="E213" s="160"/>
      <x:c r="F213" s="160"/>
      <x:c r="G213" s="160"/>
      <x:c r="H213" s="160"/>
      <x:c r="I213" s="160"/>
      <x:c r="J213" s="160"/>
      <x:c r="K213" s="160"/>
      <x:c r="L213" s="160"/>
      <x:c r="M213" s="160"/>
      <x:c r="N213" s="160"/>
      <x:c r="O213" s="161"/>
      <x:c r="P213" s="161"/>
      <x:c r="Q213" s="161"/>
      <x:c r="R213" s="161"/>
      <x:c r="S213" s="161"/>
      <x:c r="T213" s="161"/>
      <x:c r="U213" s="161"/>
      <x:c r="V213" s="161"/>
      <x:c r="W213" s="161"/>
      <x:c r="X213" s="161"/>
      <x:c r="Y213" s="161"/>
      <x:c r="Z213" s="161"/>
    </x:row>
    <x:row r="214">
      <x:c r="A214" s="160"/>
      <x:c r="B214" s="160"/>
      <x:c r="C214" s="160"/>
      <x:c r="D214" s="160"/>
      <x:c r="E214" s="160"/>
      <x:c r="F214" s="160"/>
      <x:c r="G214" s="160"/>
      <x:c r="H214" s="160"/>
      <x:c r="I214" s="160"/>
      <x:c r="J214" s="160"/>
      <x:c r="K214" s="160"/>
      <x:c r="L214" s="160"/>
      <x:c r="M214" s="160"/>
      <x:c r="N214" s="160"/>
      <x:c r="O214" s="161"/>
      <x:c r="P214" s="161"/>
      <x:c r="Q214" s="161"/>
      <x:c r="R214" s="161"/>
      <x:c r="S214" s="161"/>
      <x:c r="T214" s="161"/>
      <x:c r="U214" s="161"/>
      <x:c r="V214" s="161"/>
      <x:c r="W214" s="161"/>
      <x:c r="X214" s="161"/>
      <x:c r="Y214" s="161"/>
      <x:c r="Z214" s="161"/>
    </x:row>
    <x:row r="215">
      <x:c r="A215" s="160"/>
      <x:c r="B215" s="160"/>
      <x:c r="C215" s="160"/>
      <x:c r="D215" s="160"/>
      <x:c r="E215" s="160"/>
      <x:c r="F215" s="160"/>
      <x:c r="G215" s="160"/>
      <x:c r="H215" s="160"/>
      <x:c r="I215" s="160"/>
      <x:c r="J215" s="160"/>
      <x:c r="K215" s="160"/>
      <x:c r="L215" s="160"/>
      <x:c r="M215" s="160"/>
      <x:c r="N215" s="160"/>
      <x:c r="O215" s="161"/>
      <x:c r="P215" s="161"/>
      <x:c r="Q215" s="161"/>
      <x:c r="R215" s="161"/>
      <x:c r="S215" s="161"/>
      <x:c r="T215" s="161"/>
      <x:c r="U215" s="161"/>
      <x:c r="V215" s="161"/>
      <x:c r="W215" s="161"/>
      <x:c r="X215" s="161"/>
      <x:c r="Y215" s="161"/>
      <x:c r="Z215" s="161"/>
    </x:row>
    <x:row r="216">
      <x:c r="A216" s="160"/>
      <x:c r="B216" s="160"/>
      <x:c r="C216" s="160"/>
      <x:c r="D216" s="160"/>
      <x:c r="E216" s="160"/>
      <x:c r="F216" s="160"/>
      <x:c r="G216" s="160"/>
      <x:c r="H216" s="160"/>
      <x:c r="I216" s="160"/>
      <x:c r="J216" s="160"/>
      <x:c r="K216" s="160"/>
      <x:c r="L216" s="160"/>
      <x:c r="M216" s="160"/>
      <x:c r="N216" s="160"/>
      <x:c r="O216" s="161"/>
      <x:c r="P216" s="161"/>
      <x:c r="Q216" s="161"/>
      <x:c r="R216" s="161"/>
      <x:c r="S216" s="161"/>
      <x:c r="T216" s="161"/>
      <x:c r="U216" s="161"/>
      <x:c r="V216" s="161"/>
      <x:c r="W216" s="161"/>
      <x:c r="X216" s="161"/>
      <x:c r="Y216" s="161"/>
      <x:c r="Z216" s="161"/>
    </x:row>
    <x:row r="217">
      <x:c r="A217" s="160"/>
      <x:c r="B217" s="160"/>
      <x:c r="C217" s="160"/>
      <x:c r="D217" s="160"/>
      <x:c r="E217" s="160"/>
      <x:c r="F217" s="160"/>
      <x:c r="G217" s="160"/>
      <x:c r="H217" s="160"/>
      <x:c r="I217" s="160"/>
      <x:c r="J217" s="160"/>
      <x:c r="K217" s="160"/>
      <x:c r="L217" s="160"/>
      <x:c r="M217" s="160"/>
      <x:c r="N217" s="160"/>
      <x:c r="O217" s="161"/>
      <x:c r="P217" s="161"/>
      <x:c r="Q217" s="161"/>
      <x:c r="R217" s="161"/>
      <x:c r="S217" s="161"/>
      <x:c r="T217" s="161"/>
      <x:c r="U217" s="161"/>
      <x:c r="V217" s="161"/>
      <x:c r="W217" s="161"/>
      <x:c r="X217" s="161"/>
      <x:c r="Y217" s="161"/>
      <x:c r="Z217" s="161"/>
    </x:row>
    <x:row r="218">
      <x:c r="A218" s="160"/>
      <x:c r="B218" s="160"/>
      <x:c r="C218" s="160"/>
      <x:c r="D218" s="160"/>
      <x:c r="E218" s="160"/>
      <x:c r="F218" s="160"/>
      <x:c r="G218" s="160"/>
      <x:c r="H218" s="160"/>
      <x:c r="I218" s="160"/>
      <x:c r="J218" s="160"/>
      <x:c r="K218" s="160"/>
      <x:c r="L218" s="160"/>
      <x:c r="M218" s="160"/>
      <x:c r="N218" s="160"/>
      <x:c r="O218" s="161"/>
      <x:c r="P218" s="161"/>
      <x:c r="Q218" s="161"/>
      <x:c r="R218" s="161"/>
      <x:c r="S218" s="161"/>
      <x:c r="T218" s="161"/>
      <x:c r="U218" s="161"/>
      <x:c r="V218" s="161"/>
      <x:c r="W218" s="161"/>
      <x:c r="X218" s="161"/>
      <x:c r="Y218" s="161"/>
      <x:c r="Z218" s="161"/>
    </x:row>
    <x:row r="219">
      <x:c r="A219" s="160"/>
      <x:c r="B219" s="160"/>
      <x:c r="C219" s="160"/>
      <x:c r="D219" s="160"/>
      <x:c r="E219" s="160"/>
      <x:c r="F219" s="160"/>
      <x:c r="G219" s="160"/>
      <x:c r="H219" s="160"/>
      <x:c r="I219" s="160"/>
      <x:c r="J219" s="160"/>
      <x:c r="K219" s="160"/>
      <x:c r="L219" s="160"/>
      <x:c r="M219" s="160"/>
      <x:c r="N219" s="160"/>
      <x:c r="O219" s="161"/>
      <x:c r="P219" s="161"/>
      <x:c r="Q219" s="161"/>
      <x:c r="R219" s="161"/>
      <x:c r="S219" s="161"/>
      <x:c r="T219" s="161"/>
      <x:c r="U219" s="161"/>
      <x:c r="V219" s="161"/>
      <x:c r="W219" s="161"/>
      <x:c r="X219" s="161"/>
      <x:c r="Y219" s="161"/>
      <x:c r="Z219" s="161"/>
    </x:row>
    <x:row r="220">
      <x:c r="A220" s="160"/>
      <x:c r="B220" s="160"/>
      <x:c r="C220" s="160"/>
      <x:c r="D220" s="160"/>
      <x:c r="E220" s="160"/>
      <x:c r="F220" s="160"/>
      <x:c r="G220" s="160"/>
      <x:c r="H220" s="160"/>
      <x:c r="I220" s="160"/>
      <x:c r="J220" s="160"/>
      <x:c r="K220" s="160"/>
      <x:c r="L220" s="160"/>
      <x:c r="M220" s="160"/>
      <x:c r="N220" s="160"/>
      <x:c r="O220" s="161"/>
      <x:c r="P220" s="161"/>
      <x:c r="Q220" s="161"/>
      <x:c r="R220" s="161"/>
      <x:c r="S220" s="161"/>
      <x:c r="T220" s="161"/>
      <x:c r="U220" s="161"/>
      <x:c r="V220" s="161"/>
      <x:c r="W220" s="161"/>
      <x:c r="X220" s="161"/>
      <x:c r="Y220" s="161"/>
      <x:c r="Z220" s="161"/>
    </x:row>
    <x:row r="221">
      <x:c r="A221" s="161"/>
      <x:c r="B221" s="161"/>
      <x:c r="C221" s="161"/>
      <x:c r="D221" s="161"/>
      <x:c r="E221" s="161"/>
      <x:c r="F221" s="161"/>
      <x:c r="G221" s="161"/>
      <x:c r="H221" s="161"/>
      <x:c r="I221" s="161"/>
      <x:c r="J221" s="161"/>
      <x:c r="K221" s="161"/>
      <x:c r="L221" s="161"/>
      <x:c r="M221" s="161"/>
      <x:c r="N221" s="161"/>
      <x:c r="O221" s="161"/>
      <x:c r="P221" s="161"/>
      <x:c r="Q221" s="161"/>
      <x:c r="R221" s="161"/>
      <x:c r="S221" s="161"/>
      <x:c r="T221" s="161"/>
      <x:c r="U221" s="161"/>
      <x:c r="V221" s="161"/>
      <x:c r="W221" s="161"/>
      <x:c r="X221" s="161"/>
      <x:c r="Y221" s="161"/>
      <x:c r="Z221" s="161"/>
    </x:row>
    <x:row r="222">
      <x:c r="A222" s="161"/>
      <x:c r="B222" s="161"/>
      <x:c r="C222" s="161"/>
      <x:c r="D222" s="161"/>
      <x:c r="E222" s="161"/>
      <x:c r="F222" s="161"/>
      <x:c r="G222" s="161"/>
      <x:c r="H222" s="161"/>
      <x:c r="I222" s="161"/>
      <x:c r="J222" s="161"/>
      <x:c r="K222" s="161"/>
      <x:c r="L222" s="161"/>
      <x:c r="M222" s="161"/>
      <x:c r="N222" s="161"/>
      <x:c r="O222" s="161"/>
      <x:c r="P222" s="161"/>
      <x:c r="Q222" s="161"/>
      <x:c r="R222" s="161"/>
      <x:c r="S222" s="161"/>
      <x:c r="T222" s="161"/>
      <x:c r="U222" s="161"/>
      <x:c r="V222" s="161"/>
      <x:c r="W222" s="161"/>
      <x:c r="X222" s="161"/>
      <x:c r="Y222" s="161"/>
      <x:c r="Z222" s="161"/>
    </x:row>
    <x:row r="223">
      <x:c r="A223" s="161"/>
      <x:c r="B223" s="161"/>
      <x:c r="C223" s="161"/>
      <x:c r="D223" s="161"/>
      <x:c r="E223" s="161"/>
      <x:c r="F223" s="161"/>
      <x:c r="G223" s="161"/>
      <x:c r="H223" s="161"/>
      <x:c r="I223" s="161"/>
      <x:c r="J223" s="161"/>
      <x:c r="K223" s="161"/>
      <x:c r="L223" s="161"/>
      <x:c r="M223" s="161"/>
      <x:c r="N223" s="161"/>
      <x:c r="O223" s="161"/>
      <x:c r="P223" s="161"/>
      <x:c r="Q223" s="161"/>
      <x:c r="R223" s="161"/>
      <x:c r="S223" s="161"/>
      <x:c r="T223" s="161"/>
      <x:c r="U223" s="161"/>
      <x:c r="V223" s="161"/>
      <x:c r="W223" s="161"/>
      <x:c r="X223" s="161"/>
      <x:c r="Y223" s="161"/>
      <x:c r="Z223" s="161"/>
    </x:row>
    <x:row r="224">
      <x:c r="A224" s="161"/>
      <x:c r="B224" s="161"/>
      <x:c r="C224" s="161"/>
      <x:c r="D224" s="161"/>
      <x:c r="E224" s="161"/>
      <x:c r="F224" s="161"/>
      <x:c r="G224" s="161"/>
      <x:c r="H224" s="161"/>
      <x:c r="I224" s="161"/>
      <x:c r="J224" s="161"/>
      <x:c r="K224" s="161"/>
      <x:c r="L224" s="161"/>
      <x:c r="M224" s="161"/>
      <x:c r="N224" s="161"/>
      <x:c r="O224" s="161"/>
      <x:c r="P224" s="161"/>
      <x:c r="Q224" s="161"/>
      <x:c r="R224" s="161"/>
      <x:c r="S224" s="161"/>
      <x:c r="T224" s="161"/>
      <x:c r="U224" s="161"/>
      <x:c r="V224" s="161"/>
      <x:c r="W224" s="161"/>
      <x:c r="X224" s="161"/>
      <x:c r="Y224" s="161"/>
      <x:c r="Z224" s="161"/>
    </x:row>
    <x:row r="225">
      <x:c r="A225" s="161"/>
      <x:c r="B225" s="161"/>
      <x:c r="C225" s="161"/>
      <x:c r="D225" s="161"/>
      <x:c r="E225" s="161"/>
      <x:c r="F225" s="161"/>
      <x:c r="G225" s="161"/>
      <x:c r="H225" s="161"/>
      <x:c r="I225" s="161"/>
      <x:c r="J225" s="161"/>
      <x:c r="K225" s="161"/>
      <x:c r="L225" s="161"/>
      <x:c r="M225" s="161"/>
      <x:c r="N225" s="161"/>
      <x:c r="O225" s="161"/>
      <x:c r="P225" s="161"/>
      <x:c r="Q225" s="161"/>
      <x:c r="R225" s="161"/>
      <x:c r="S225" s="161"/>
      <x:c r="T225" s="161"/>
      <x:c r="U225" s="161"/>
      <x:c r="V225" s="161"/>
      <x:c r="W225" s="161"/>
      <x:c r="X225" s="161"/>
      <x:c r="Y225" s="161"/>
      <x:c r="Z225" s="161"/>
    </x:row>
    <x:row r="226">
      <x:c r="A226" s="161"/>
      <x:c r="B226" s="161"/>
      <x:c r="C226" s="161"/>
      <x:c r="D226" s="161"/>
      <x:c r="E226" s="161"/>
      <x:c r="F226" s="161"/>
      <x:c r="G226" s="161"/>
      <x:c r="H226" s="161"/>
      <x:c r="I226" s="161"/>
      <x:c r="J226" s="161"/>
      <x:c r="K226" s="161"/>
      <x:c r="L226" s="161"/>
      <x:c r="M226" s="161"/>
      <x:c r="N226" s="161"/>
      <x:c r="O226" s="161"/>
      <x:c r="P226" s="161"/>
      <x:c r="Q226" s="161"/>
      <x:c r="R226" s="161"/>
      <x:c r="S226" s="161"/>
      <x:c r="T226" s="161"/>
      <x:c r="U226" s="161"/>
      <x:c r="V226" s="161"/>
      <x:c r="W226" s="161"/>
      <x:c r="X226" s="161"/>
      <x:c r="Y226" s="161"/>
      <x:c r="Z226" s="161"/>
    </x:row>
    <x:row r="227">
      <x:c r="A227" s="161"/>
      <x:c r="B227" s="161"/>
      <x:c r="C227" s="161"/>
      <x:c r="D227" s="161"/>
      <x:c r="E227" s="161"/>
      <x:c r="F227" s="161"/>
      <x:c r="G227" s="161"/>
      <x:c r="H227" s="161"/>
      <x:c r="I227" s="161"/>
      <x:c r="J227" s="161"/>
      <x:c r="K227" s="161"/>
      <x:c r="L227" s="161"/>
      <x:c r="M227" s="161"/>
      <x:c r="N227" s="161"/>
      <x:c r="O227" s="161"/>
      <x:c r="P227" s="161"/>
      <x:c r="Q227" s="161"/>
      <x:c r="R227" s="161"/>
      <x:c r="S227" s="161"/>
      <x:c r="T227" s="161"/>
      <x:c r="U227" s="161"/>
      <x:c r="V227" s="161"/>
      <x:c r="W227" s="161"/>
      <x:c r="X227" s="161"/>
      <x:c r="Y227" s="161"/>
      <x:c r="Z227" s="161"/>
    </x:row>
    <x:row r="228">
      <x:c r="A228" s="161"/>
      <x:c r="B228" s="161"/>
      <x:c r="C228" s="161"/>
      <x:c r="D228" s="161"/>
      <x:c r="E228" s="161"/>
      <x:c r="F228" s="161"/>
      <x:c r="G228" s="161"/>
      <x:c r="H228" s="161"/>
      <x:c r="I228" s="161"/>
      <x:c r="J228" s="161"/>
      <x:c r="K228" s="161"/>
      <x:c r="L228" s="161"/>
      <x:c r="M228" s="161"/>
      <x:c r="N228" s="161"/>
      <x:c r="O228" s="161"/>
      <x:c r="P228" s="161"/>
      <x:c r="Q228" s="161"/>
      <x:c r="R228" s="161"/>
      <x:c r="S228" s="161"/>
      <x:c r="T228" s="161"/>
      <x:c r="U228" s="161"/>
      <x:c r="V228" s="161"/>
      <x:c r="W228" s="161"/>
      <x:c r="X228" s="161"/>
      <x:c r="Y228" s="161"/>
      <x:c r="Z228" s="161"/>
    </x:row>
    <x:row r="229">
      <x:c r="A229" s="161"/>
      <x:c r="B229" s="161"/>
      <x:c r="C229" s="161"/>
      <x:c r="D229" s="161"/>
      <x:c r="E229" s="161"/>
      <x:c r="F229" s="161"/>
      <x:c r="G229" s="161"/>
      <x:c r="H229" s="161"/>
      <x:c r="I229" s="161"/>
      <x:c r="J229" s="161"/>
      <x:c r="K229" s="161"/>
      <x:c r="L229" s="161"/>
      <x:c r="M229" s="161"/>
      <x:c r="N229" s="161"/>
      <x:c r="O229" s="161"/>
      <x:c r="P229" s="161"/>
      <x:c r="Q229" s="161"/>
      <x:c r="R229" s="161"/>
      <x:c r="S229" s="161"/>
      <x:c r="T229" s="161"/>
      <x:c r="U229" s="161"/>
      <x:c r="V229" s="161"/>
      <x:c r="W229" s="161"/>
      <x:c r="X229" s="161"/>
      <x:c r="Y229" s="161"/>
      <x:c r="Z229" s="161"/>
    </x:row>
    <x:row r="230">
      <x:c r="A230" s="161"/>
      <x:c r="B230" s="161"/>
      <x:c r="C230" s="161"/>
      <x:c r="D230" s="161"/>
      <x:c r="E230" s="161"/>
      <x:c r="F230" s="161"/>
      <x:c r="G230" s="161"/>
      <x:c r="H230" s="161"/>
      <x:c r="I230" s="161"/>
      <x:c r="J230" s="161"/>
      <x:c r="K230" s="161"/>
      <x:c r="L230" s="161"/>
      <x:c r="M230" s="161"/>
      <x:c r="N230" s="161"/>
      <x:c r="O230" s="161"/>
      <x:c r="P230" s="161"/>
      <x:c r="Q230" s="161"/>
      <x:c r="R230" s="161"/>
      <x:c r="S230" s="161"/>
      <x:c r="T230" s="161"/>
      <x:c r="U230" s="161"/>
      <x:c r="V230" s="161"/>
      <x:c r="W230" s="161"/>
      <x:c r="X230" s="161"/>
      <x:c r="Y230" s="161"/>
      <x:c r="Z230" s="161"/>
    </x:row>
    <x:row r="231">
      <x:c r="A231" s="161"/>
      <x:c r="B231" s="161"/>
      <x:c r="C231" s="161"/>
      <x:c r="D231" s="161"/>
      <x:c r="E231" s="161"/>
      <x:c r="F231" s="161"/>
      <x:c r="G231" s="161"/>
      <x:c r="H231" s="161"/>
      <x:c r="I231" s="161"/>
      <x:c r="J231" s="161"/>
      <x:c r="K231" s="161"/>
      <x:c r="L231" s="161"/>
      <x:c r="M231" s="161"/>
      <x:c r="N231" s="161"/>
      <x:c r="O231" s="161"/>
      <x:c r="P231" s="161"/>
      <x:c r="Q231" s="161"/>
      <x:c r="R231" s="161"/>
      <x:c r="S231" s="161"/>
      <x:c r="T231" s="161"/>
      <x:c r="U231" s="161"/>
      <x:c r="V231" s="161"/>
      <x:c r="W231" s="161"/>
      <x:c r="X231" s="161"/>
      <x:c r="Y231" s="161"/>
      <x:c r="Z231" s="161"/>
    </x:row>
    <x:row r="232">
      <x:c r="A232" s="161"/>
      <x:c r="B232" s="161"/>
      <x:c r="C232" s="161"/>
      <x:c r="D232" s="161"/>
      <x:c r="E232" s="161"/>
      <x:c r="F232" s="161"/>
      <x:c r="G232" s="161"/>
      <x:c r="H232" s="161"/>
      <x:c r="I232" s="161"/>
      <x:c r="J232" s="161"/>
      <x:c r="K232" s="161"/>
      <x:c r="L232" s="161"/>
      <x:c r="M232" s="161"/>
      <x:c r="N232" s="161"/>
      <x:c r="O232" s="161"/>
      <x:c r="P232" s="161"/>
      <x:c r="Q232" s="161"/>
      <x:c r="R232" s="161"/>
      <x:c r="S232" s="161"/>
      <x:c r="T232" s="161"/>
      <x:c r="U232" s="161"/>
      <x:c r="V232" s="161"/>
      <x:c r="W232" s="161"/>
      <x:c r="X232" s="161"/>
      <x:c r="Y232" s="161"/>
      <x:c r="Z232" s="161"/>
    </x:row>
    <x:row r="233">
      <x:c r="A233" s="161"/>
      <x:c r="B233" s="161"/>
      <x:c r="C233" s="161"/>
      <x:c r="D233" s="161"/>
      <x:c r="E233" s="161"/>
      <x:c r="F233" s="161"/>
      <x:c r="G233" s="161"/>
      <x:c r="H233" s="161"/>
      <x:c r="I233" s="161"/>
      <x:c r="J233" s="161"/>
      <x:c r="K233" s="161"/>
      <x:c r="L233" s="161"/>
      <x:c r="M233" s="161"/>
      <x:c r="N233" s="161"/>
      <x:c r="O233" s="161"/>
      <x:c r="P233" s="161"/>
      <x:c r="Q233" s="161"/>
      <x:c r="R233" s="161"/>
      <x:c r="S233" s="161"/>
      <x:c r="T233" s="161"/>
      <x:c r="U233" s="161"/>
      <x:c r="V233" s="161"/>
      <x:c r="W233" s="161"/>
      <x:c r="X233" s="161"/>
      <x:c r="Y233" s="161"/>
      <x:c r="Z233" s="161"/>
    </x:row>
    <x:row r="234">
      <x:c r="A234" s="161"/>
      <x:c r="B234" s="161"/>
      <x:c r="C234" s="161"/>
      <x:c r="D234" s="161"/>
      <x:c r="E234" s="161"/>
      <x:c r="F234" s="161"/>
      <x:c r="G234" s="161"/>
      <x:c r="H234" s="161"/>
      <x:c r="I234" s="161"/>
      <x:c r="J234" s="161"/>
      <x:c r="K234" s="161"/>
      <x:c r="L234" s="161"/>
      <x:c r="M234" s="161"/>
      <x:c r="N234" s="161"/>
      <x:c r="O234" s="161"/>
      <x:c r="P234" s="161"/>
      <x:c r="Q234" s="161"/>
      <x:c r="R234" s="161"/>
      <x:c r="S234" s="161"/>
      <x:c r="T234" s="161"/>
      <x:c r="U234" s="161"/>
      <x:c r="V234" s="161"/>
      <x:c r="W234" s="161"/>
      <x:c r="X234" s="161"/>
      <x:c r="Y234" s="161"/>
      <x:c r="Z234" s="161"/>
    </x:row>
    <x:row r="235">
      <x:c r="A235" s="161"/>
      <x:c r="B235" s="161"/>
      <x:c r="C235" s="161"/>
      <x:c r="D235" s="161"/>
      <x:c r="E235" s="161"/>
      <x:c r="F235" s="161"/>
      <x:c r="G235" s="161"/>
      <x:c r="H235" s="161"/>
      <x:c r="I235" s="161"/>
      <x:c r="J235" s="161"/>
      <x:c r="K235" s="161"/>
      <x:c r="L235" s="161"/>
      <x:c r="M235" s="161"/>
      <x:c r="N235" s="161"/>
      <x:c r="O235" s="161"/>
      <x:c r="P235" s="161"/>
      <x:c r="Q235" s="161"/>
      <x:c r="R235" s="161"/>
      <x:c r="S235" s="161"/>
      <x:c r="T235" s="161"/>
      <x:c r="U235" s="161"/>
      <x:c r="V235" s="161"/>
      <x:c r="W235" s="161"/>
      <x:c r="X235" s="161"/>
      <x:c r="Y235" s="161"/>
      <x:c r="Z235" s="161"/>
    </x:row>
    <x:row r="236">
      <x:c r="A236" s="161"/>
      <x:c r="B236" s="161"/>
      <x:c r="C236" s="161"/>
      <x:c r="D236" s="161"/>
      <x:c r="E236" s="161"/>
      <x:c r="F236" s="161"/>
      <x:c r="G236" s="161"/>
      <x:c r="H236" s="161"/>
      <x:c r="I236" s="161"/>
      <x:c r="J236" s="161"/>
      <x:c r="K236" s="161"/>
      <x:c r="L236" s="161"/>
      <x:c r="M236" s="161"/>
      <x:c r="N236" s="161"/>
      <x:c r="O236" s="161"/>
      <x:c r="P236" s="161"/>
      <x:c r="Q236" s="161"/>
      <x:c r="R236" s="161"/>
      <x:c r="S236" s="161"/>
      <x:c r="T236" s="161"/>
      <x:c r="U236" s="161"/>
      <x:c r="V236" s="161"/>
      <x:c r="W236" s="161"/>
      <x:c r="X236" s="161"/>
      <x:c r="Y236" s="161"/>
      <x:c r="Z236" s="161"/>
    </x:row>
    <x:row r="237">
      <x:c r="A237" s="161"/>
      <x:c r="B237" s="161"/>
      <x:c r="C237" s="161"/>
      <x:c r="D237" s="161"/>
      <x:c r="E237" s="161"/>
      <x:c r="F237" s="161"/>
      <x:c r="G237" s="161"/>
      <x:c r="H237" s="161"/>
      <x:c r="I237" s="161"/>
      <x:c r="J237" s="161"/>
      <x:c r="K237" s="161"/>
      <x:c r="L237" s="161"/>
      <x:c r="M237" s="161"/>
      <x:c r="N237" s="161"/>
      <x:c r="O237" s="161"/>
      <x:c r="P237" s="161"/>
      <x:c r="Q237" s="161"/>
      <x:c r="R237" s="161"/>
      <x:c r="S237" s="161"/>
      <x:c r="T237" s="161"/>
      <x:c r="U237" s="161"/>
      <x:c r="V237" s="161"/>
      <x:c r="W237" s="161"/>
      <x:c r="X237" s="161"/>
      <x:c r="Y237" s="161"/>
      <x:c r="Z237" s="161"/>
    </x:row>
    <x:row r="238">
      <x:c r="A238" s="161"/>
      <x:c r="B238" s="161"/>
      <x:c r="C238" s="161"/>
      <x:c r="D238" s="161"/>
      <x:c r="E238" s="161"/>
      <x:c r="F238" s="161"/>
      <x:c r="G238" s="161"/>
      <x:c r="H238" s="161"/>
      <x:c r="I238" s="161"/>
      <x:c r="J238" s="161"/>
      <x:c r="K238" s="161"/>
      <x:c r="L238" s="161"/>
      <x:c r="M238" s="161"/>
      <x:c r="N238" s="161"/>
      <x:c r="O238" s="161"/>
      <x:c r="P238" s="161"/>
      <x:c r="Q238" s="161"/>
      <x:c r="R238" s="161"/>
      <x:c r="S238" s="161"/>
      <x:c r="T238" s="161"/>
      <x:c r="U238" s="161"/>
      <x:c r="V238" s="161"/>
      <x:c r="W238" s="161"/>
      <x:c r="X238" s="161"/>
      <x:c r="Y238" s="161"/>
      <x:c r="Z238" s="161"/>
    </x:row>
    <x:row r="239">
      <x:c r="A239" s="161"/>
      <x:c r="B239" s="161"/>
      <x:c r="C239" s="161"/>
      <x:c r="D239" s="161"/>
      <x:c r="E239" s="161"/>
      <x:c r="F239" s="161"/>
      <x:c r="G239" s="161"/>
      <x:c r="H239" s="161"/>
      <x:c r="I239" s="161"/>
      <x:c r="J239" s="161"/>
      <x:c r="K239" s="161"/>
      <x:c r="L239" s="161"/>
      <x:c r="M239" s="161"/>
      <x:c r="N239" s="161"/>
      <x:c r="O239" s="161"/>
      <x:c r="P239" s="161"/>
      <x:c r="Q239" s="161"/>
      <x:c r="R239" s="161"/>
      <x:c r="S239" s="161"/>
      <x:c r="T239" s="161"/>
      <x:c r="U239" s="161"/>
      <x:c r="V239" s="161"/>
      <x:c r="W239" s="161"/>
      <x:c r="X239" s="161"/>
      <x:c r="Y239" s="161"/>
      <x:c r="Z239" s="161"/>
    </x:row>
    <x:row r="240">
      <x:c r="A240" s="161"/>
      <x:c r="B240" s="161"/>
      <x:c r="C240" s="161"/>
      <x:c r="D240" s="161"/>
      <x:c r="E240" s="161"/>
      <x:c r="F240" s="161"/>
      <x:c r="G240" s="161"/>
      <x:c r="H240" s="161"/>
      <x:c r="I240" s="161"/>
      <x:c r="J240" s="161"/>
      <x:c r="K240" s="161"/>
      <x:c r="L240" s="161"/>
      <x:c r="M240" s="161"/>
      <x:c r="N240" s="161"/>
      <x:c r="O240" s="161"/>
      <x:c r="P240" s="161"/>
      <x:c r="Q240" s="161"/>
      <x:c r="R240" s="161"/>
      <x:c r="S240" s="161"/>
      <x:c r="T240" s="161"/>
      <x:c r="U240" s="161"/>
      <x:c r="V240" s="161"/>
      <x:c r="W240" s="161"/>
      <x:c r="X240" s="161"/>
      <x:c r="Y240" s="161"/>
      <x:c r="Z240" s="161"/>
    </x:row>
    <x:row r="241">
      <x:c r="A241" s="161"/>
      <x:c r="B241" s="161"/>
      <x:c r="C241" s="161"/>
      <x:c r="D241" s="161"/>
      <x:c r="E241" s="161"/>
      <x:c r="F241" s="161"/>
      <x:c r="G241" s="161"/>
      <x:c r="H241" s="161"/>
      <x:c r="I241" s="161"/>
      <x:c r="J241" s="161"/>
      <x:c r="K241" s="161"/>
      <x:c r="L241" s="161"/>
      <x:c r="M241" s="161"/>
      <x:c r="N241" s="161"/>
      <x:c r="O241" s="161"/>
      <x:c r="P241" s="161"/>
      <x:c r="Q241" s="161"/>
      <x:c r="R241" s="161"/>
      <x:c r="S241" s="161"/>
      <x:c r="T241" s="161"/>
      <x:c r="U241" s="161"/>
      <x:c r="V241" s="161"/>
      <x:c r="W241" s="161"/>
      <x:c r="X241" s="161"/>
      <x:c r="Y241" s="161"/>
      <x:c r="Z241" s="161"/>
    </x:row>
    <x:row r="242">
      <x:c r="A242" s="161"/>
      <x:c r="B242" s="161"/>
      <x:c r="C242" s="161"/>
      <x:c r="D242" s="161"/>
      <x:c r="E242" s="161"/>
      <x:c r="F242" s="161"/>
      <x:c r="G242" s="161"/>
      <x:c r="H242" s="161"/>
      <x:c r="I242" s="161"/>
      <x:c r="J242" s="161"/>
      <x:c r="K242" s="161"/>
      <x:c r="L242" s="161"/>
      <x:c r="M242" s="161"/>
      <x:c r="N242" s="161"/>
      <x:c r="O242" s="161"/>
      <x:c r="P242" s="161"/>
      <x:c r="Q242" s="161"/>
      <x:c r="R242" s="161"/>
      <x:c r="S242" s="161"/>
      <x:c r="T242" s="161"/>
      <x:c r="U242" s="161"/>
      <x:c r="V242" s="161"/>
      <x:c r="W242" s="161"/>
      <x:c r="X242" s="161"/>
      <x:c r="Y242" s="161"/>
      <x:c r="Z242" s="161"/>
    </x:row>
    <x:row r="243">
      <x:c r="A243" s="161"/>
      <x:c r="B243" s="161"/>
      <x:c r="C243" s="161"/>
      <x:c r="D243" s="161"/>
      <x:c r="E243" s="161"/>
      <x:c r="F243" s="161"/>
      <x:c r="G243" s="161"/>
      <x:c r="H243" s="161"/>
      <x:c r="I243" s="161"/>
      <x:c r="J243" s="161"/>
      <x:c r="K243" s="161"/>
      <x:c r="L243" s="161"/>
      <x:c r="M243" s="161"/>
      <x:c r="N243" s="161"/>
      <x:c r="O243" s="161"/>
      <x:c r="P243" s="161"/>
      <x:c r="Q243" s="161"/>
      <x:c r="R243" s="161"/>
      <x:c r="S243" s="161"/>
      <x:c r="T243" s="161"/>
      <x:c r="U243" s="161"/>
      <x:c r="V243" s="161"/>
      <x:c r="W243" s="161"/>
      <x:c r="X243" s="161"/>
      <x:c r="Y243" s="161"/>
      <x:c r="Z243" s="161"/>
    </x:row>
    <x:row r="244">
      <x:c r="A244" s="161"/>
      <x:c r="B244" s="161"/>
      <x:c r="C244" s="161"/>
      <x:c r="D244" s="161"/>
      <x:c r="E244" s="161"/>
      <x:c r="F244" s="161"/>
      <x:c r="G244" s="161"/>
      <x:c r="H244" s="161"/>
      <x:c r="I244" s="161"/>
      <x:c r="J244" s="161"/>
      <x:c r="K244" s="161"/>
      <x:c r="L244" s="161"/>
      <x:c r="M244" s="161"/>
      <x:c r="N244" s="161"/>
      <x:c r="O244" s="161"/>
      <x:c r="P244" s="161"/>
      <x:c r="Q244" s="161"/>
      <x:c r="R244" s="161"/>
      <x:c r="S244" s="161"/>
      <x:c r="T244" s="161"/>
      <x:c r="U244" s="161"/>
      <x:c r="V244" s="161"/>
      <x:c r="W244" s="161"/>
      <x:c r="X244" s="161"/>
      <x:c r="Y244" s="161"/>
      <x:c r="Z244" s="161"/>
    </x:row>
    <x:row r="245">
      <x:c r="A245" s="161"/>
      <x:c r="B245" s="161"/>
      <x:c r="C245" s="161"/>
      <x:c r="D245" s="161"/>
      <x:c r="E245" s="161"/>
      <x:c r="F245" s="161"/>
      <x:c r="G245" s="161"/>
      <x:c r="H245" s="161"/>
      <x:c r="I245" s="161"/>
      <x:c r="J245" s="161"/>
      <x:c r="K245" s="161"/>
      <x:c r="L245" s="161"/>
      <x:c r="M245" s="161"/>
      <x:c r="N245" s="161"/>
      <x:c r="O245" s="161"/>
      <x:c r="P245" s="161"/>
      <x:c r="Q245" s="161"/>
      <x:c r="R245" s="161"/>
      <x:c r="S245" s="161"/>
      <x:c r="T245" s="161"/>
      <x:c r="U245" s="161"/>
      <x:c r="V245" s="161"/>
      <x:c r="W245" s="161"/>
      <x:c r="X245" s="161"/>
      <x:c r="Y245" s="161"/>
      <x:c r="Z245" s="161"/>
    </x:row>
    <x:row r="246">
      <x:c r="A246" s="161"/>
      <x:c r="B246" s="161"/>
      <x:c r="C246" s="161"/>
      <x:c r="D246" s="161"/>
      <x:c r="E246" s="161"/>
      <x:c r="F246" s="161"/>
      <x:c r="G246" s="161"/>
      <x:c r="H246" s="161"/>
      <x:c r="I246" s="161"/>
      <x:c r="J246" s="161"/>
      <x:c r="K246" s="161"/>
      <x:c r="L246" s="161"/>
      <x:c r="M246" s="161"/>
      <x:c r="N246" s="161"/>
      <x:c r="O246" s="161"/>
      <x:c r="P246" s="161"/>
      <x:c r="Q246" s="161"/>
      <x:c r="R246" s="161"/>
      <x:c r="S246" s="161"/>
      <x:c r="T246" s="161"/>
      <x:c r="U246" s="161"/>
      <x:c r="V246" s="161"/>
      <x:c r="W246" s="161"/>
      <x:c r="X246" s="161"/>
      <x:c r="Y246" s="161"/>
      <x:c r="Z246" s="161"/>
    </x:row>
    <x:row r="247">
      <x:c r="A247" s="161"/>
      <x:c r="B247" s="161"/>
      <x:c r="C247" s="161"/>
      <x:c r="D247" s="161"/>
      <x:c r="E247" s="161"/>
      <x:c r="F247" s="161"/>
      <x:c r="G247" s="161"/>
      <x:c r="H247" s="161"/>
      <x:c r="I247" s="161"/>
      <x:c r="J247" s="161"/>
      <x:c r="K247" s="161"/>
      <x:c r="L247" s="161"/>
      <x:c r="M247" s="161"/>
      <x:c r="N247" s="161"/>
      <x:c r="O247" s="161"/>
      <x:c r="P247" s="161"/>
      <x:c r="Q247" s="161"/>
      <x:c r="R247" s="161"/>
      <x:c r="S247" s="161"/>
      <x:c r="T247" s="161"/>
      <x:c r="U247" s="161"/>
      <x:c r="V247" s="161"/>
      <x:c r="W247" s="161"/>
      <x:c r="X247" s="161"/>
      <x:c r="Y247" s="161"/>
      <x:c r="Z247" s="161"/>
    </x:row>
    <x:row r="248">
      <x:c r="A248" s="161"/>
      <x:c r="B248" s="161"/>
      <x:c r="C248" s="161"/>
      <x:c r="D248" s="161"/>
      <x:c r="E248" s="161"/>
      <x:c r="F248" s="161"/>
      <x:c r="G248" s="161"/>
      <x:c r="H248" s="161"/>
      <x:c r="I248" s="161"/>
      <x:c r="J248" s="161"/>
      <x:c r="K248" s="161"/>
      <x:c r="L248" s="161"/>
      <x:c r="M248" s="161"/>
      <x:c r="N248" s="161"/>
      <x:c r="O248" s="161"/>
      <x:c r="P248" s="161"/>
      <x:c r="Q248" s="161"/>
      <x:c r="R248" s="161"/>
      <x:c r="S248" s="161"/>
      <x:c r="T248" s="161"/>
      <x:c r="U248" s="161"/>
      <x:c r="V248" s="161"/>
      <x:c r="W248" s="161"/>
      <x:c r="X248" s="161"/>
      <x:c r="Y248" s="161"/>
      <x:c r="Z248" s="161"/>
    </x:row>
    <x:row r="249">
      <x:c r="A249" s="161"/>
      <x:c r="B249" s="161"/>
      <x:c r="C249" s="161"/>
      <x:c r="D249" s="161"/>
      <x:c r="E249" s="161"/>
      <x:c r="F249" s="161"/>
      <x:c r="G249" s="161"/>
      <x:c r="H249" s="161"/>
      <x:c r="I249" s="161"/>
      <x:c r="J249" s="161"/>
      <x:c r="K249" s="161"/>
      <x:c r="L249" s="161"/>
      <x:c r="M249" s="161"/>
      <x:c r="N249" s="161"/>
      <x:c r="O249" s="161"/>
      <x:c r="P249" s="161"/>
      <x:c r="Q249" s="161"/>
      <x:c r="R249" s="161"/>
      <x:c r="S249" s="161"/>
      <x:c r="T249" s="161"/>
      <x:c r="U249" s="161"/>
      <x:c r="V249" s="161"/>
      <x:c r="W249" s="161"/>
      <x:c r="X249" s="161"/>
      <x:c r="Y249" s="161"/>
      <x:c r="Z249" s="161"/>
    </x:row>
    <x:row r="250">
      <x:c r="A250" s="161"/>
      <x:c r="B250" s="161"/>
      <x:c r="C250" s="161"/>
      <x:c r="D250" s="161"/>
      <x:c r="E250" s="161"/>
      <x:c r="F250" s="161"/>
      <x:c r="G250" s="161"/>
      <x:c r="H250" s="161"/>
      <x:c r="I250" s="161"/>
      <x:c r="J250" s="161"/>
      <x:c r="K250" s="161"/>
      <x:c r="L250" s="161"/>
      <x:c r="M250" s="161"/>
      <x:c r="N250" s="161"/>
      <x:c r="O250" s="161"/>
      <x:c r="P250" s="161"/>
      <x:c r="Q250" s="161"/>
      <x:c r="R250" s="161"/>
      <x:c r="S250" s="161"/>
      <x:c r="T250" s="161"/>
      <x:c r="U250" s="161"/>
      <x:c r="V250" s="161"/>
      <x:c r="W250" s="161"/>
      <x:c r="X250" s="161"/>
      <x:c r="Y250" s="161"/>
      <x:c r="Z250" s="161"/>
    </x:row>
  </x:sheetData>
  <x:mergeCells>
    <x:mergeCell ref="A1:H1"/>
    <x:mergeCell ref="A2:H3"/>
    <x:mergeCell ref="I1:J1"/>
  </x:mergeCells>
  <x:dataValidations count="4">
    <x:dataValidation type="list" sqref="C6:C200">
      <x:formula1>"Cliente,Prospecto,Aliado,Proveedor"</x:formula1>
    </x:dataValidation>
    <x:dataValidation type="list" sqref="I6:I200">
      <x:formula1>'02 Config'!$J$6:$J$12</x:formula1>
    </x:dataValidation>
    <x:dataValidation type="list" sqref="J6:J200">
      <x:formula1>'02 Config'!$F$19:$F$22</x:formula1>
    </x:dataValidation>
    <x:dataValidation type="list" sqref="K6:K200">
      <x:formula1>'02 Config'!$D$19:$D$25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d07ecb9f024b7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4" hidden="0" customWidth="1"/>
    <x:col min="4" max="4" width="14" hidden="0" customWidth="1"/>
    <x:col min="5" max="5" width="22" hidden="0" customWidth="1"/>
    <x:col min="6" max="6" width="32" hidden="0" customWidth="1"/>
    <x:col min="7" max="7" width="18" hidden="0" customWidth="1"/>
    <x:col min="8" max="8" width="24" hidden="0" customWidth="1"/>
    <x:col min="9" max="9" width="18" hidden="0" customWidth="1"/>
    <x:col min="10" max="10" width="12" hidden="0" customWidth="1"/>
    <x:col min="11" max="11" width="34" hidden="0" customWidth="1"/>
  </x:cols>
  <x:sheetData>
    <x:row r="1" ht="42" customHeight="1">
      <x:c r="A1" s="45" t="str">
        <x:v>Historial de contacto</x:v>
      </x:c>
      <x:c r="B1" s="160"/>
      <x:c r="C1" s="160"/>
      <x:c r="D1" s="160"/>
      <x:c r="E1" s="160"/>
      <x:c r="F1" s="160"/>
      <x:c r="G1" s="160"/>
      <x:c r="H1" s="160"/>
      <x:c r="I1" s="58" t="str">
        <x:v>CAPTURA</x:v>
      </x:c>
      <x:c r="J1" s="160"/>
      <x:c r="K1" s="160"/>
      <x:c r="L1" s="161"/>
      <x:c r="M1" s="161"/>
      <x:c r="N1" s="161"/>
      <x:c r="O1" s="161"/>
      <x:c r="P1" s="161"/>
      <x:c r="Q1" s="161"/>
      <x:c r="R1" s="161"/>
      <x:c r="S1" s="161"/>
      <x:c r="T1" s="161"/>
      <x:c r="U1" s="161"/>
      <x:c r="V1" s="161"/>
      <x:c r="W1" s="161"/>
      <x:c r="X1" s="161"/>
      <x:c r="Y1" s="161"/>
      <x:c r="Z1" s="161"/>
    </x:row>
    <x:row r="2">
      <x:c r="A2" s="166" t="str">
        <x:v>Registra cada interacción con clientes y prospectos para no perder contexto comercial.</x:v>
      </x:c>
      <x:c r="B2" s="160"/>
      <x:c r="C2" s="160"/>
      <x:c r="D2" s="160"/>
      <x:c r="E2" s="160"/>
      <x:c r="F2" s="160"/>
      <x:c r="G2" s="160"/>
      <x:c r="H2" s="160"/>
      <x:c r="I2" s="160"/>
      <x:c r="J2" s="160"/>
      <x:c r="K2" s="160"/>
      <x:c r="L2" s="161"/>
      <x:c r="M2" s="161"/>
      <x:c r="N2" s="161"/>
      <x:c r="O2" s="161"/>
      <x:c r="P2" s="161"/>
      <x:c r="Q2" s="161"/>
      <x:c r="R2" s="161"/>
      <x:c r="S2" s="161"/>
      <x:c r="T2" s="161"/>
      <x:c r="U2" s="161"/>
      <x:c r="V2" s="161"/>
      <x:c r="W2" s="161"/>
      <x:c r="X2" s="161"/>
      <x:c r="Y2" s="161"/>
      <x:c r="Z2" s="161"/>
    </x:row>
    <x:row r="3">
      <x:c r="A3" s="160"/>
      <x:c r="B3" s="160"/>
      <x:c r="C3" s="160"/>
      <x:c r="D3" s="160"/>
      <x:c r="E3" s="160"/>
      <x:c r="F3" s="160"/>
      <x:c r="G3" s="160"/>
      <x:c r="H3" s="160"/>
      <x:c r="I3" s="160"/>
      <x:c r="J3" s="160"/>
      <x:c r="K3" s="160"/>
      <x:c r="L3" s="161"/>
      <x:c r="M3" s="161"/>
      <x:c r="N3" s="161"/>
      <x:c r="O3" s="161"/>
      <x:c r="P3" s="161"/>
      <x:c r="Q3" s="161"/>
      <x:c r="R3" s="161"/>
      <x:c r="S3" s="161"/>
      <x:c r="T3" s="161"/>
      <x:c r="U3" s="161"/>
      <x:c r="V3" s="161"/>
      <x:c r="W3" s="161"/>
      <x:c r="X3" s="161"/>
      <x:c r="Y3" s="161"/>
      <x:c r="Z3" s="161"/>
    </x:row>
    <x:row r="4">
      <x:c r="A4" s="160"/>
      <x:c r="B4" s="160"/>
      <x:c r="C4" s="160"/>
      <x:c r="D4" s="160"/>
      <x:c r="E4" s="160"/>
      <x:c r="F4" s="160"/>
      <x:c r="G4" s="160"/>
      <x:c r="H4" s="160"/>
      <x:c r="I4" s="160"/>
      <x:c r="J4" s="160"/>
      <x:c r="K4" s="160"/>
      <x:c r="L4" s="161"/>
      <x:c r="M4" s="161"/>
      <x:c r="N4" s="161"/>
      <x:c r="O4" s="161"/>
      <x:c r="P4" s="161"/>
      <x:c r="Q4" s="161"/>
      <x:c r="R4" s="161"/>
      <x:c r="S4" s="161"/>
      <x:c r="T4" s="161"/>
      <x:c r="U4" s="161"/>
      <x:c r="V4" s="161"/>
      <x:c r="W4" s="161"/>
      <x:c r="X4" s="161"/>
      <x:c r="Y4" s="161"/>
      <x:c r="Z4" s="161"/>
    </x:row>
    <x:row r="5">
      <x:c r="A5" s="65" t="str">
        <x:v>Fecha</x:v>
      </x:c>
      <x:c r="B5" s="65" t="str">
        <x:v>ID Cliente</x:v>
      </x:c>
      <x:c r="C5" s="65" t="str">
        <x:v>Cliente</x:v>
      </x:c>
      <x:c r="D5" s="65" t="str">
        <x:v>Canal</x:v>
      </x:c>
      <x:c r="E5" s="65" t="str">
        <x:v>Motivo</x:v>
      </x:c>
      <x:c r="F5" s="65" t="str">
        <x:v>Resultado</x:v>
      </x:c>
      <x:c r="G5" s="65" t="str">
        <x:v>Responsable</x:v>
      </x:c>
      <x:c r="H5" s="65" t="str">
        <x:v>Próxima acción</x:v>
      </x:c>
      <x:c r="I5" s="65" t="str">
        <x:v>Fecha próxima acción</x:v>
      </x:c>
      <x:c r="J5" s="65" t="str">
        <x:v>Prioridad</x:v>
      </x:c>
      <x:c r="K5" s="65" t="str">
        <x:v>Notas</x:v>
      </x:c>
      <x:c r="L5" s="161"/>
      <x:c r="M5" s="161"/>
      <x:c r="N5" s="161"/>
      <x:c r="O5" s="161"/>
      <x:c r="P5" s="161"/>
      <x:c r="Q5" s="161"/>
      <x:c r="R5" s="161"/>
      <x:c r="S5" s="161"/>
      <x:c r="T5" s="161"/>
      <x:c r="U5" s="161"/>
      <x:c r="V5" s="161"/>
      <x:c r="W5" s="161"/>
      <x:c r="X5" s="161"/>
      <x:c r="Y5" s="161"/>
      <x:c r="Z5" s="161"/>
    </x:row>
    <x:row r="6">
      <x:c r="A6" s="124" t="n">
        <x:v>46145</x:v>
      </x:c>
      <x:c r="B6" s="108" t="str">
        <x:v>CLI-001</x:v>
      </x:c>
      <x:c r="C6" s="129" t="str">
        <x:v>Clínica Dermalysse</x:v>
      </x:c>
      <x:c r="D6" s="108" t="str">
        <x:v>WhatsApp</x:v>
      </x:c>
      <x:c r="E6" s="108" t="str">
        <x:v>Seguimiento propuesta</x:v>
      </x:c>
      <x:c r="F6" s="108" t="str">
        <x:v>Interesada, pide ajuste de alcance</x:v>
      </x:c>
      <x:c r="G6" s="108" t="str">
        <x:v>Ejecutivo 1</x:v>
      </x:c>
      <x:c r="H6" s="108" t="str">
        <x:v>Enviar nueva propuesta</x:v>
      </x:c>
      <x:c r="I6" s="124" t="n">
        <x:v>46157</x:v>
      </x:c>
      <x:c r="J6" s="108" t="str">
        <x:v>Alta</x:v>
      </x:c>
      <x:c r="K6" s="108" t="str">
        <x:v>Agregar módulo de recordatorios.</x:v>
      </x:c>
      <x:c r="L6" s="161"/>
      <x:c r="M6" s="161"/>
      <x:c r="N6" s="161"/>
      <x:c r="O6" s="161"/>
      <x:c r="P6" s="161"/>
      <x:c r="Q6" s="161"/>
      <x:c r="R6" s="161"/>
      <x:c r="S6" s="161"/>
      <x:c r="T6" s="161"/>
      <x:c r="U6" s="161"/>
      <x:c r="V6" s="161"/>
      <x:c r="W6" s="161"/>
      <x:c r="X6" s="161"/>
      <x:c r="Y6" s="161"/>
      <x:c r="Z6" s="161"/>
    </x:row>
    <x:row r="7">
      <x:c r="A7" s="124" t="n">
        <x:v>46147</x:v>
      </x:c>
      <x:c r="B7" s="108" t="str">
        <x:v>CLI-002</x:v>
      </x:c>
      <x:c r="C7" s="129" t="str">
        <x:v>AgroMarket MX</x:v>
      </x:c>
      <x:c r="D7" s="108" t="str">
        <x:v>Llamada</x:v>
      </x:c>
      <x:c r="E7" s="108" t="str">
        <x:v>Primer contacto</x:v>
      </x:c>
      <x:c r="F7" s="108" t="str">
        <x:v>Solicita demo</x:v>
      </x:c>
      <x:c r="G7" s="108" t="str">
        <x:v>Ejecutivo 2</x:v>
      </x:c>
      <x:c r="H7" s="108" t="str">
        <x:v>Agendar demo</x:v>
      </x:c>
      <x:c r="I7" s="124" t="n">
        <x:v>46160</x:v>
      </x:c>
      <x:c r="J7" s="108" t="str">
        <x:v>Media</x:v>
      </x:c>
      <x:c r="K7" s="108" t="str">
        <x:v>Enviar resumen de beneficios.</x:v>
      </x:c>
      <x:c r="L7" s="161"/>
      <x:c r="M7" s="161"/>
      <x:c r="N7" s="161"/>
      <x:c r="O7" s="161"/>
      <x:c r="P7" s="161"/>
      <x:c r="Q7" s="161"/>
      <x:c r="R7" s="161"/>
      <x:c r="S7" s="161"/>
      <x:c r="T7" s="161"/>
      <x:c r="U7" s="161"/>
      <x:c r="V7" s="161"/>
      <x:c r="W7" s="161"/>
      <x:c r="X7" s="161"/>
      <x:c r="Y7" s="161"/>
      <x:c r="Z7" s="161"/>
    </x:row>
    <x:row r="8">
      <x:c r="A8" s="124"/>
      <x:c r="B8" s="108"/>
      <x:c r="C8" s="129" t="str">
        <x:f>IFERROR(VLOOKUP(B8,'03 Clientes'!$A$6:$N$200,2,FALSE),"")</x:f>
      </x:c>
      <x:c r="D8" s="108"/>
      <x:c r="E8" s="108"/>
      <x:c r="F8" s="108"/>
      <x:c r="G8" s="108"/>
      <x:c r="H8" s="108"/>
      <x:c r="I8" s="124"/>
      <x:c r="J8" s="108"/>
      <x:c r="K8" s="108"/>
      <x:c r="L8" s="161"/>
      <x:c r="M8" s="161"/>
      <x:c r="N8" s="161"/>
      <x:c r="O8" s="161"/>
      <x:c r="P8" s="161"/>
      <x:c r="Q8" s="161"/>
      <x:c r="R8" s="161"/>
      <x:c r="S8" s="161"/>
      <x:c r="T8" s="161"/>
      <x:c r="U8" s="161"/>
      <x:c r="V8" s="161"/>
      <x:c r="W8" s="161"/>
      <x:c r="X8" s="161"/>
      <x:c r="Y8" s="161"/>
      <x:c r="Z8" s="161"/>
    </x:row>
    <x:row r="9">
      <x:c r="A9" s="124"/>
      <x:c r="B9" s="108"/>
      <x:c r="C9" s="129" t="str">
        <x:f>IFERROR(VLOOKUP(B9,'03 Clientes'!$A$6:$N$200,2,FALSE),"")</x:f>
      </x:c>
      <x:c r="D9" s="108"/>
      <x:c r="E9" s="108"/>
      <x:c r="F9" s="108"/>
      <x:c r="G9" s="108"/>
      <x:c r="H9" s="108"/>
      <x:c r="I9" s="124"/>
      <x:c r="J9" s="108"/>
      <x:c r="K9" s="108"/>
      <x:c r="L9" s="161"/>
      <x:c r="M9" s="161"/>
      <x:c r="N9" s="161"/>
      <x:c r="O9" s="161"/>
      <x:c r="P9" s="161"/>
      <x:c r="Q9" s="161"/>
      <x:c r="R9" s="161"/>
      <x:c r="S9" s="161"/>
      <x:c r="T9" s="161"/>
      <x:c r="U9" s="161"/>
      <x:c r="V9" s="161"/>
      <x:c r="W9" s="161"/>
      <x:c r="X9" s="161"/>
      <x:c r="Y9" s="161"/>
      <x:c r="Z9" s="161"/>
    </x:row>
    <x:row r="10">
      <x:c r="A10" s="124"/>
      <x:c r="B10" s="108"/>
      <x:c r="C10" s="129" t="str">
        <x:f>IFERROR(VLOOKUP(B10,'03 Clientes'!$A$6:$N$200,2,FALSE),"")</x:f>
      </x:c>
      <x:c r="D10" s="108"/>
      <x:c r="E10" s="108"/>
      <x:c r="F10" s="108"/>
      <x:c r="G10" s="108"/>
      <x:c r="H10" s="108"/>
      <x:c r="I10" s="124"/>
      <x:c r="J10" s="108"/>
      <x:c r="K10" s="108"/>
      <x:c r="L10" s="161"/>
      <x:c r="M10" s="161"/>
      <x:c r="N10" s="161"/>
      <x:c r="O10" s="161"/>
      <x:c r="P10" s="161"/>
      <x:c r="Q10" s="161"/>
      <x:c r="R10" s="161"/>
      <x:c r="S10" s="161"/>
      <x:c r="T10" s="161"/>
      <x:c r="U10" s="161"/>
      <x:c r="V10" s="161"/>
      <x:c r="W10" s="161"/>
      <x:c r="X10" s="161"/>
      <x:c r="Y10" s="161"/>
      <x:c r="Z10" s="161"/>
    </x:row>
    <x:row r="11">
      <x:c r="A11" s="124"/>
      <x:c r="B11" s="108"/>
      <x:c r="C11" s="129" t="str">
        <x:f>IFERROR(VLOOKUP(B11,'03 Clientes'!$A$6:$N$200,2,FALSE),"")</x:f>
      </x:c>
      <x:c r="D11" s="108"/>
      <x:c r="E11" s="108"/>
      <x:c r="F11" s="108"/>
      <x:c r="G11" s="108"/>
      <x:c r="H11" s="108"/>
      <x:c r="I11" s="124"/>
      <x:c r="J11" s="108"/>
      <x:c r="K11" s="108"/>
      <x:c r="L11" s="161"/>
      <x:c r="M11" s="161"/>
      <x:c r="N11" s="161"/>
      <x:c r="O11" s="161"/>
      <x:c r="P11" s="161"/>
      <x:c r="Q11" s="161"/>
      <x:c r="R11" s="161"/>
      <x:c r="S11" s="161"/>
      <x:c r="T11" s="161"/>
      <x:c r="U11" s="161"/>
      <x:c r="V11" s="161"/>
      <x:c r="W11" s="161"/>
      <x:c r="X11" s="161"/>
      <x:c r="Y11" s="161"/>
      <x:c r="Z11" s="161"/>
    </x:row>
    <x:row r="12">
      <x:c r="A12" s="124"/>
      <x:c r="B12" s="108"/>
      <x:c r="C12" s="129" t="str">
        <x:f>IFERROR(VLOOKUP(B12,'03 Clientes'!$A$6:$N$200,2,FALSE),"")</x:f>
      </x:c>
      <x:c r="D12" s="108"/>
      <x:c r="E12" s="108"/>
      <x:c r="F12" s="108"/>
      <x:c r="G12" s="108"/>
      <x:c r="H12" s="108"/>
      <x:c r="I12" s="124"/>
      <x:c r="J12" s="108"/>
      <x:c r="K12" s="108"/>
      <x:c r="L12" s="161"/>
      <x:c r="M12" s="161"/>
      <x:c r="N12" s="161"/>
      <x:c r="O12" s="161"/>
      <x:c r="P12" s="161"/>
      <x:c r="Q12" s="161"/>
      <x:c r="R12" s="161"/>
      <x:c r="S12" s="161"/>
      <x:c r="T12" s="161"/>
      <x:c r="U12" s="161"/>
      <x:c r="V12" s="161"/>
      <x:c r="W12" s="161"/>
      <x:c r="X12" s="161"/>
      <x:c r="Y12" s="161"/>
      <x:c r="Z12" s="161"/>
    </x:row>
    <x:row r="13">
      <x:c r="A13" s="124"/>
      <x:c r="B13" s="108"/>
      <x:c r="C13" s="129" t="str">
        <x:f>IFERROR(VLOOKUP(B13,'03 Clientes'!$A$6:$N$200,2,FALSE),"")</x:f>
      </x:c>
      <x:c r="D13" s="108"/>
      <x:c r="E13" s="108"/>
      <x:c r="F13" s="108"/>
      <x:c r="G13" s="108"/>
      <x:c r="H13" s="108"/>
      <x:c r="I13" s="124"/>
      <x:c r="J13" s="108"/>
      <x:c r="K13" s="108"/>
      <x:c r="L13" s="161"/>
      <x:c r="M13" s="161"/>
      <x:c r="N13" s="161"/>
      <x:c r="O13" s="161"/>
      <x:c r="P13" s="161"/>
      <x:c r="Q13" s="161"/>
      <x:c r="R13" s="161"/>
      <x:c r="S13" s="161"/>
      <x:c r="T13" s="161"/>
      <x:c r="U13" s="161"/>
      <x:c r="V13" s="161"/>
      <x:c r="W13" s="161"/>
      <x:c r="X13" s="161"/>
      <x:c r="Y13" s="161"/>
      <x:c r="Z13" s="161"/>
    </x:row>
    <x:row r="14">
      <x:c r="A14" s="124"/>
      <x:c r="B14" s="108"/>
      <x:c r="C14" s="129" t="str">
        <x:f>IFERROR(VLOOKUP(B14,'03 Clientes'!$A$6:$N$200,2,FALSE),"")</x:f>
      </x:c>
      <x:c r="D14" s="108"/>
      <x:c r="E14" s="108"/>
      <x:c r="F14" s="108"/>
      <x:c r="G14" s="108"/>
      <x:c r="H14" s="108"/>
      <x:c r="I14" s="124"/>
      <x:c r="J14" s="108"/>
      <x:c r="K14" s="108"/>
      <x:c r="L14" s="161"/>
      <x:c r="M14" s="161"/>
      <x:c r="N14" s="161"/>
      <x:c r="O14" s="161"/>
      <x:c r="P14" s="161"/>
      <x:c r="Q14" s="161"/>
      <x:c r="R14" s="161"/>
      <x:c r="S14" s="161"/>
      <x:c r="T14" s="161"/>
      <x:c r="U14" s="161"/>
      <x:c r="V14" s="161"/>
      <x:c r="W14" s="161"/>
      <x:c r="X14" s="161"/>
      <x:c r="Y14" s="161"/>
      <x:c r="Z14" s="161"/>
    </x:row>
    <x:row r="15">
      <x:c r="A15" s="124"/>
      <x:c r="B15" s="108"/>
      <x:c r="C15" s="129" t="str">
        <x:f>IFERROR(VLOOKUP(B15,'03 Clientes'!$A$6:$N$200,2,FALSE),"")</x:f>
      </x:c>
      <x:c r="D15" s="108"/>
      <x:c r="E15" s="108"/>
      <x:c r="F15" s="108"/>
      <x:c r="G15" s="108"/>
      <x:c r="H15" s="108"/>
      <x:c r="I15" s="124"/>
      <x:c r="J15" s="108"/>
      <x:c r="K15" s="108"/>
      <x:c r="L15" s="161"/>
      <x:c r="M15" s="161"/>
      <x:c r="N15" s="161"/>
      <x:c r="O15" s="161"/>
      <x:c r="P15" s="161"/>
      <x:c r="Q15" s="161"/>
      <x:c r="R15" s="161"/>
      <x:c r="S15" s="161"/>
      <x:c r="T15" s="161"/>
      <x:c r="U15" s="161"/>
      <x:c r="V15" s="161"/>
      <x:c r="W15" s="161"/>
      <x:c r="X15" s="161"/>
      <x:c r="Y15" s="161"/>
      <x:c r="Z15" s="161"/>
    </x:row>
    <x:row r="16">
      <x:c r="A16" s="124"/>
      <x:c r="B16" s="108"/>
      <x:c r="C16" s="129" t="str">
        <x:f>IFERROR(VLOOKUP(B16,'03 Clientes'!$A$6:$N$200,2,FALSE),"")</x:f>
      </x:c>
      <x:c r="D16" s="108"/>
      <x:c r="E16" s="108"/>
      <x:c r="F16" s="108"/>
      <x:c r="G16" s="108"/>
      <x:c r="H16" s="108"/>
      <x:c r="I16" s="124"/>
      <x:c r="J16" s="108"/>
      <x:c r="K16" s="108"/>
      <x:c r="L16" s="161"/>
      <x:c r="M16" s="161"/>
      <x:c r="N16" s="161"/>
      <x:c r="O16" s="161"/>
      <x:c r="P16" s="161"/>
      <x:c r="Q16" s="161"/>
      <x:c r="R16" s="161"/>
      <x:c r="S16" s="161"/>
      <x:c r="T16" s="161"/>
      <x:c r="U16" s="161"/>
      <x:c r="V16" s="161"/>
      <x:c r="W16" s="161"/>
      <x:c r="X16" s="161"/>
      <x:c r="Y16" s="161"/>
      <x:c r="Z16" s="161"/>
    </x:row>
    <x:row r="17">
      <x:c r="A17" s="124"/>
      <x:c r="B17" s="108"/>
      <x:c r="C17" s="129" t="str">
        <x:f>IFERROR(VLOOKUP(B17,'03 Clientes'!$A$6:$N$200,2,FALSE),"")</x:f>
      </x:c>
      <x:c r="D17" s="108"/>
      <x:c r="E17" s="108"/>
      <x:c r="F17" s="108"/>
      <x:c r="G17" s="108"/>
      <x:c r="H17" s="108"/>
      <x:c r="I17" s="124"/>
      <x:c r="J17" s="108"/>
      <x:c r="K17" s="108"/>
      <x:c r="L17" s="161"/>
      <x:c r="M17" s="161"/>
      <x:c r="N17" s="161"/>
      <x:c r="O17" s="161"/>
      <x:c r="P17" s="161"/>
      <x:c r="Q17" s="161"/>
      <x:c r="R17" s="161"/>
      <x:c r="S17" s="161"/>
      <x:c r="T17" s="161"/>
      <x:c r="U17" s="161"/>
      <x:c r="V17" s="161"/>
      <x:c r="W17" s="161"/>
      <x:c r="X17" s="161"/>
      <x:c r="Y17" s="161"/>
      <x:c r="Z17" s="161"/>
    </x:row>
    <x:row r="18">
      <x:c r="A18" s="124"/>
      <x:c r="B18" s="108"/>
      <x:c r="C18" s="129" t="str">
        <x:f>IFERROR(VLOOKUP(B18,'03 Clientes'!$A$6:$N$200,2,FALSE),"")</x:f>
      </x:c>
      <x:c r="D18" s="108"/>
      <x:c r="E18" s="108"/>
      <x:c r="F18" s="108"/>
      <x:c r="G18" s="108"/>
      <x:c r="H18" s="108"/>
      <x:c r="I18" s="124"/>
      <x:c r="J18" s="108"/>
      <x:c r="K18" s="108"/>
      <x:c r="L18" s="161"/>
      <x:c r="M18" s="161"/>
      <x:c r="N18" s="161"/>
      <x:c r="O18" s="161"/>
      <x:c r="P18" s="161"/>
      <x:c r="Q18" s="161"/>
      <x:c r="R18" s="161"/>
      <x:c r="S18" s="161"/>
      <x:c r="T18" s="161"/>
      <x:c r="U18" s="161"/>
      <x:c r="V18" s="161"/>
      <x:c r="W18" s="161"/>
      <x:c r="X18" s="161"/>
      <x:c r="Y18" s="161"/>
      <x:c r="Z18" s="161"/>
    </x:row>
    <x:row r="19">
      <x:c r="A19" s="124"/>
      <x:c r="B19" s="108"/>
      <x:c r="C19" s="129" t="str">
        <x:f>IFERROR(VLOOKUP(B19,'03 Clientes'!$A$6:$N$200,2,FALSE),"")</x:f>
      </x:c>
      <x:c r="D19" s="108"/>
      <x:c r="E19" s="108"/>
      <x:c r="F19" s="108"/>
      <x:c r="G19" s="108"/>
      <x:c r="H19" s="108"/>
      <x:c r="I19" s="124"/>
      <x:c r="J19" s="108"/>
      <x:c r="K19" s="108"/>
      <x:c r="L19" s="161"/>
      <x:c r="M19" s="161"/>
      <x:c r="N19" s="161"/>
      <x:c r="O19" s="161"/>
      <x:c r="P19" s="161"/>
      <x:c r="Q19" s="161"/>
      <x:c r="R19" s="161"/>
      <x:c r="S19" s="161"/>
      <x:c r="T19" s="161"/>
      <x:c r="U19" s="161"/>
      <x:c r="V19" s="161"/>
      <x:c r="W19" s="161"/>
      <x:c r="X19" s="161"/>
      <x:c r="Y19" s="161"/>
      <x:c r="Z19" s="161"/>
    </x:row>
    <x:row r="20">
      <x:c r="A20" s="124"/>
      <x:c r="B20" s="108"/>
      <x:c r="C20" s="129" t="str">
        <x:f>IFERROR(VLOOKUP(B20,'03 Clientes'!$A$6:$N$200,2,FALSE),"")</x:f>
      </x:c>
      <x:c r="D20" s="108"/>
      <x:c r="E20" s="108"/>
      <x:c r="F20" s="108"/>
      <x:c r="G20" s="108"/>
      <x:c r="H20" s="108"/>
      <x:c r="I20" s="124"/>
      <x:c r="J20" s="108"/>
      <x:c r="K20" s="108"/>
      <x:c r="L20" s="161"/>
      <x:c r="M20" s="161"/>
      <x:c r="N20" s="161"/>
      <x:c r="O20" s="161"/>
      <x:c r="P20" s="161"/>
      <x:c r="Q20" s="161"/>
      <x:c r="R20" s="161"/>
      <x:c r="S20" s="161"/>
      <x:c r="T20" s="161"/>
      <x:c r="U20" s="161"/>
      <x:c r="V20" s="161"/>
      <x:c r="W20" s="161"/>
      <x:c r="X20" s="161"/>
      <x:c r="Y20" s="161"/>
      <x:c r="Z20" s="161"/>
    </x:row>
    <x:row r="21">
      <x:c r="A21" s="124"/>
      <x:c r="B21" s="108"/>
      <x:c r="C21" s="129" t="str">
        <x:f>IFERROR(VLOOKUP(B21,'03 Clientes'!$A$6:$N$200,2,FALSE),"")</x:f>
      </x:c>
      <x:c r="D21" s="108"/>
      <x:c r="E21" s="108"/>
      <x:c r="F21" s="108"/>
      <x:c r="G21" s="108"/>
      <x:c r="H21" s="108"/>
      <x:c r="I21" s="124"/>
      <x:c r="J21" s="108"/>
      <x:c r="K21" s="108"/>
      <x:c r="L21" s="161"/>
      <x:c r="M21" s="161"/>
      <x:c r="N21" s="161"/>
      <x:c r="O21" s="161"/>
      <x:c r="P21" s="161"/>
      <x:c r="Q21" s="161"/>
      <x:c r="R21" s="161"/>
      <x:c r="S21" s="161"/>
      <x:c r="T21" s="161"/>
      <x:c r="U21" s="161"/>
      <x:c r="V21" s="161"/>
      <x:c r="W21" s="161"/>
      <x:c r="X21" s="161"/>
      <x:c r="Y21" s="161"/>
      <x:c r="Z21" s="161"/>
    </x:row>
    <x:row r="22">
      <x:c r="A22" s="124"/>
      <x:c r="B22" s="108"/>
      <x:c r="C22" s="129" t="str">
        <x:f>IFERROR(VLOOKUP(B22,'03 Clientes'!$A$6:$N$200,2,FALSE),"")</x:f>
      </x:c>
      <x:c r="D22" s="108"/>
      <x:c r="E22" s="108"/>
      <x:c r="F22" s="108"/>
      <x:c r="G22" s="108"/>
      <x:c r="H22" s="108"/>
      <x:c r="I22" s="124"/>
      <x:c r="J22" s="108"/>
      <x:c r="K22" s="108"/>
      <x:c r="L22" s="161"/>
      <x:c r="M22" s="161"/>
      <x:c r="N22" s="161"/>
      <x:c r="O22" s="161"/>
      <x:c r="P22" s="161"/>
      <x:c r="Q22" s="161"/>
      <x:c r="R22" s="161"/>
      <x:c r="S22" s="161"/>
      <x:c r="T22" s="161"/>
      <x:c r="U22" s="161"/>
      <x:c r="V22" s="161"/>
      <x:c r="W22" s="161"/>
      <x:c r="X22" s="161"/>
      <x:c r="Y22" s="161"/>
      <x:c r="Z22" s="161"/>
    </x:row>
    <x:row r="23">
      <x:c r="A23" s="124"/>
      <x:c r="B23" s="108"/>
      <x:c r="C23" s="129" t="str">
        <x:f>IFERROR(VLOOKUP(B23,'03 Clientes'!$A$6:$N$200,2,FALSE),"")</x:f>
      </x:c>
      <x:c r="D23" s="108"/>
      <x:c r="E23" s="108"/>
      <x:c r="F23" s="108"/>
      <x:c r="G23" s="108"/>
      <x:c r="H23" s="108"/>
      <x:c r="I23" s="124"/>
      <x:c r="J23" s="108"/>
      <x:c r="K23" s="108"/>
      <x:c r="L23" s="161"/>
      <x:c r="M23" s="161"/>
      <x:c r="N23" s="161"/>
      <x:c r="O23" s="161"/>
      <x:c r="P23" s="161"/>
      <x:c r="Q23" s="161"/>
      <x:c r="R23" s="161"/>
      <x:c r="S23" s="161"/>
      <x:c r="T23" s="161"/>
      <x:c r="U23" s="161"/>
      <x:c r="V23" s="161"/>
      <x:c r="W23" s="161"/>
      <x:c r="X23" s="161"/>
      <x:c r="Y23" s="161"/>
      <x:c r="Z23" s="161"/>
    </x:row>
    <x:row r="24">
      <x:c r="A24" s="124"/>
      <x:c r="B24" s="108"/>
      <x:c r="C24" s="129" t="str">
        <x:f>IFERROR(VLOOKUP(B24,'03 Clientes'!$A$6:$N$200,2,FALSE),"")</x:f>
      </x:c>
      <x:c r="D24" s="108"/>
      <x:c r="E24" s="108"/>
      <x:c r="F24" s="108"/>
      <x:c r="G24" s="108"/>
      <x:c r="H24" s="108"/>
      <x:c r="I24" s="124"/>
      <x:c r="J24" s="108"/>
      <x:c r="K24" s="108"/>
      <x:c r="L24" s="161"/>
      <x:c r="M24" s="161"/>
      <x:c r="N24" s="161"/>
      <x:c r="O24" s="161"/>
      <x:c r="P24" s="161"/>
      <x:c r="Q24" s="161"/>
      <x:c r="R24" s="161"/>
      <x:c r="S24" s="161"/>
      <x:c r="T24" s="161"/>
      <x:c r="U24" s="161"/>
      <x:c r="V24" s="161"/>
      <x:c r="W24" s="161"/>
      <x:c r="X24" s="161"/>
      <x:c r="Y24" s="161"/>
      <x:c r="Z24" s="161"/>
    </x:row>
    <x:row r="25">
      <x:c r="A25" s="124"/>
      <x:c r="B25" s="108"/>
      <x:c r="C25" s="129" t="str">
        <x:f>IFERROR(VLOOKUP(B25,'03 Clientes'!$A$6:$N$200,2,FALSE),"")</x:f>
      </x:c>
      <x:c r="D25" s="108"/>
      <x:c r="E25" s="108"/>
      <x:c r="F25" s="108"/>
      <x:c r="G25" s="108"/>
      <x:c r="H25" s="108"/>
      <x:c r="I25" s="124"/>
      <x:c r="J25" s="108"/>
      <x:c r="K25" s="108"/>
      <x:c r="L25" s="161"/>
      <x:c r="M25" s="161"/>
      <x:c r="N25" s="161"/>
      <x:c r="O25" s="161"/>
      <x:c r="P25" s="161"/>
      <x:c r="Q25" s="161"/>
      <x:c r="R25" s="161"/>
      <x:c r="S25" s="161"/>
      <x:c r="T25" s="161"/>
      <x:c r="U25" s="161"/>
      <x:c r="V25" s="161"/>
      <x:c r="W25" s="161"/>
      <x:c r="X25" s="161"/>
      <x:c r="Y25" s="161"/>
      <x:c r="Z25" s="161"/>
    </x:row>
    <x:row r="26">
      <x:c r="A26" s="124"/>
      <x:c r="B26" s="108"/>
      <x:c r="C26" s="129" t="str">
        <x:f>IFERROR(VLOOKUP(B26,'03 Clientes'!$A$6:$N$200,2,FALSE),"")</x:f>
      </x:c>
      <x:c r="D26" s="108"/>
      <x:c r="E26" s="108"/>
      <x:c r="F26" s="108"/>
      <x:c r="G26" s="108"/>
      <x:c r="H26" s="108"/>
      <x:c r="I26" s="124"/>
      <x:c r="J26" s="108"/>
      <x:c r="K26" s="108"/>
      <x:c r="L26" s="161"/>
      <x:c r="M26" s="161"/>
      <x:c r="N26" s="161"/>
      <x:c r="O26" s="161"/>
      <x:c r="P26" s="161"/>
      <x:c r="Q26" s="161"/>
      <x:c r="R26" s="161"/>
      <x:c r="S26" s="161"/>
      <x:c r="T26" s="161"/>
      <x:c r="U26" s="161"/>
      <x:c r="V26" s="161"/>
      <x:c r="W26" s="161"/>
      <x:c r="X26" s="161"/>
      <x:c r="Y26" s="161"/>
      <x:c r="Z26" s="161"/>
    </x:row>
    <x:row r="27">
      <x:c r="A27" s="124"/>
      <x:c r="B27" s="108"/>
      <x:c r="C27" s="129" t="str">
        <x:f>IFERROR(VLOOKUP(B27,'03 Clientes'!$A$6:$N$200,2,FALSE),"")</x:f>
      </x:c>
      <x:c r="D27" s="108"/>
      <x:c r="E27" s="108"/>
      <x:c r="F27" s="108"/>
      <x:c r="G27" s="108"/>
      <x:c r="H27" s="108"/>
      <x:c r="I27" s="124"/>
      <x:c r="J27" s="108"/>
      <x:c r="K27" s="108"/>
      <x:c r="L27" s="161"/>
      <x:c r="M27" s="161"/>
      <x:c r="N27" s="161"/>
      <x:c r="O27" s="161"/>
      <x:c r="P27" s="161"/>
      <x:c r="Q27" s="161"/>
      <x:c r="R27" s="161"/>
      <x:c r="S27" s="161"/>
      <x:c r="T27" s="161"/>
      <x:c r="U27" s="161"/>
      <x:c r="V27" s="161"/>
      <x:c r="W27" s="161"/>
      <x:c r="X27" s="161"/>
      <x:c r="Y27" s="161"/>
      <x:c r="Z27" s="161"/>
    </x:row>
    <x:row r="28">
      <x:c r="A28" s="124"/>
      <x:c r="B28" s="108"/>
      <x:c r="C28" s="129" t="str">
        <x:f>IFERROR(VLOOKUP(B28,'03 Clientes'!$A$6:$N$200,2,FALSE),"")</x:f>
      </x:c>
      <x:c r="D28" s="108"/>
      <x:c r="E28" s="108"/>
      <x:c r="F28" s="108"/>
      <x:c r="G28" s="108"/>
      <x:c r="H28" s="108"/>
      <x:c r="I28" s="124"/>
      <x:c r="J28" s="108"/>
      <x:c r="K28" s="108"/>
      <x:c r="L28" s="161"/>
      <x:c r="M28" s="161"/>
      <x:c r="N28" s="161"/>
      <x:c r="O28" s="161"/>
      <x:c r="P28" s="161"/>
      <x:c r="Q28" s="161"/>
      <x:c r="R28" s="161"/>
      <x:c r="S28" s="161"/>
      <x:c r="T28" s="161"/>
      <x:c r="U28" s="161"/>
      <x:c r="V28" s="161"/>
      <x:c r="W28" s="161"/>
      <x:c r="X28" s="161"/>
      <x:c r="Y28" s="161"/>
      <x:c r="Z28" s="161"/>
    </x:row>
    <x:row r="29">
      <x:c r="A29" s="124"/>
      <x:c r="B29" s="108"/>
      <x:c r="C29" s="129" t="str">
        <x:f>IFERROR(VLOOKUP(B29,'03 Clientes'!$A$6:$N$200,2,FALSE),"")</x:f>
      </x:c>
      <x:c r="D29" s="108"/>
      <x:c r="E29" s="108"/>
      <x:c r="F29" s="108"/>
      <x:c r="G29" s="108"/>
      <x:c r="H29" s="108"/>
      <x:c r="I29" s="124"/>
      <x:c r="J29" s="108"/>
      <x:c r="K29" s="108"/>
      <x:c r="L29" s="161"/>
      <x:c r="M29" s="161"/>
      <x:c r="N29" s="161"/>
      <x:c r="O29" s="161"/>
      <x:c r="P29" s="161"/>
      <x:c r="Q29" s="161"/>
      <x:c r="R29" s="161"/>
      <x:c r="S29" s="161"/>
      <x:c r="T29" s="161"/>
      <x:c r="U29" s="161"/>
      <x:c r="V29" s="161"/>
      <x:c r="W29" s="161"/>
      <x:c r="X29" s="161"/>
      <x:c r="Y29" s="161"/>
      <x:c r="Z29" s="161"/>
    </x:row>
    <x:row r="30">
      <x:c r="A30" s="124"/>
      <x:c r="B30" s="108"/>
      <x:c r="C30" s="129" t="str">
        <x:f>IFERROR(VLOOKUP(B30,'03 Clientes'!$A$6:$N$200,2,FALSE),"")</x:f>
      </x:c>
      <x:c r="D30" s="108"/>
      <x:c r="E30" s="108"/>
      <x:c r="F30" s="108"/>
      <x:c r="G30" s="108"/>
      <x:c r="H30" s="108"/>
      <x:c r="I30" s="124"/>
      <x:c r="J30" s="108"/>
      <x:c r="K30" s="108"/>
      <x:c r="L30" s="161"/>
      <x:c r="M30" s="161"/>
      <x:c r="N30" s="161"/>
      <x:c r="O30" s="161"/>
      <x:c r="P30" s="161"/>
      <x:c r="Q30" s="161"/>
      <x:c r="R30" s="161"/>
      <x:c r="S30" s="161"/>
      <x:c r="T30" s="161"/>
      <x:c r="U30" s="161"/>
      <x:c r="V30" s="161"/>
      <x:c r="W30" s="161"/>
      <x:c r="X30" s="161"/>
      <x:c r="Y30" s="161"/>
      <x:c r="Z30" s="161"/>
    </x:row>
    <x:row r="31">
      <x:c r="A31" s="124"/>
      <x:c r="B31" s="108"/>
      <x:c r="C31" s="129" t="str">
        <x:f>IFERROR(VLOOKUP(B31,'03 Clientes'!$A$6:$N$200,2,FALSE),"")</x:f>
      </x:c>
      <x:c r="D31" s="108"/>
      <x:c r="E31" s="108"/>
      <x:c r="F31" s="108"/>
      <x:c r="G31" s="108"/>
      <x:c r="H31" s="108"/>
      <x:c r="I31" s="124"/>
      <x:c r="J31" s="108"/>
      <x:c r="K31" s="108"/>
      <x:c r="L31" s="161"/>
      <x:c r="M31" s="161"/>
      <x:c r="N31" s="161"/>
      <x:c r="O31" s="161"/>
      <x:c r="P31" s="161"/>
      <x:c r="Q31" s="161"/>
      <x:c r="R31" s="161"/>
      <x:c r="S31" s="161"/>
      <x:c r="T31" s="161"/>
      <x:c r="U31" s="161"/>
      <x:c r="V31" s="161"/>
      <x:c r="W31" s="161"/>
      <x:c r="X31" s="161"/>
      <x:c r="Y31" s="161"/>
      <x:c r="Z31" s="161"/>
    </x:row>
    <x:row r="32">
      <x:c r="A32" s="124"/>
      <x:c r="B32" s="108"/>
      <x:c r="C32" s="129" t="str">
        <x:f>IFERROR(VLOOKUP(B32,'03 Clientes'!$A$6:$N$200,2,FALSE),"")</x:f>
      </x:c>
      <x:c r="D32" s="108"/>
      <x:c r="E32" s="108"/>
      <x:c r="F32" s="108"/>
      <x:c r="G32" s="108"/>
      <x:c r="H32" s="108"/>
      <x:c r="I32" s="124"/>
      <x:c r="J32" s="108"/>
      <x:c r="K32" s="108"/>
      <x:c r="L32" s="161"/>
      <x:c r="M32" s="161"/>
      <x:c r="N32" s="161"/>
      <x:c r="O32" s="161"/>
      <x:c r="P32" s="161"/>
      <x:c r="Q32" s="161"/>
      <x:c r="R32" s="161"/>
      <x:c r="S32" s="161"/>
      <x:c r="T32" s="161"/>
      <x:c r="U32" s="161"/>
      <x:c r="V32" s="161"/>
      <x:c r="W32" s="161"/>
      <x:c r="X32" s="161"/>
      <x:c r="Y32" s="161"/>
      <x:c r="Z32" s="161"/>
    </x:row>
    <x:row r="33">
      <x:c r="A33" s="124"/>
      <x:c r="B33" s="108"/>
      <x:c r="C33" s="129" t="str">
        <x:f>IFERROR(VLOOKUP(B33,'03 Clientes'!$A$6:$N$200,2,FALSE),"")</x:f>
      </x:c>
      <x:c r="D33" s="108"/>
      <x:c r="E33" s="108"/>
      <x:c r="F33" s="108"/>
      <x:c r="G33" s="108"/>
      <x:c r="H33" s="108"/>
      <x:c r="I33" s="124"/>
      <x:c r="J33" s="108"/>
      <x:c r="K33" s="108"/>
      <x:c r="L33" s="161"/>
      <x:c r="M33" s="161"/>
      <x:c r="N33" s="161"/>
      <x:c r="O33" s="161"/>
      <x:c r="P33" s="161"/>
      <x:c r="Q33" s="161"/>
      <x:c r="R33" s="161"/>
      <x:c r="S33" s="161"/>
      <x:c r="T33" s="161"/>
      <x:c r="U33" s="161"/>
      <x:c r="V33" s="161"/>
      <x:c r="W33" s="161"/>
      <x:c r="X33" s="161"/>
      <x:c r="Y33" s="161"/>
      <x:c r="Z33" s="161"/>
    </x:row>
    <x:row r="34">
      <x:c r="A34" s="124"/>
      <x:c r="B34" s="108"/>
      <x:c r="C34" s="129" t="str">
        <x:f>IFERROR(VLOOKUP(B34,'03 Clientes'!$A$6:$N$200,2,FALSE),"")</x:f>
      </x:c>
      <x:c r="D34" s="108"/>
      <x:c r="E34" s="108"/>
      <x:c r="F34" s="108"/>
      <x:c r="G34" s="108"/>
      <x:c r="H34" s="108"/>
      <x:c r="I34" s="124"/>
      <x:c r="J34" s="108"/>
      <x:c r="K34" s="108"/>
      <x:c r="L34" s="161"/>
      <x:c r="M34" s="161"/>
      <x:c r="N34" s="161"/>
      <x:c r="O34" s="161"/>
      <x:c r="P34" s="161"/>
      <x:c r="Q34" s="161"/>
      <x:c r="R34" s="161"/>
      <x:c r="S34" s="161"/>
      <x:c r="T34" s="161"/>
      <x:c r="U34" s="161"/>
      <x:c r="V34" s="161"/>
      <x:c r="W34" s="161"/>
      <x:c r="X34" s="161"/>
      <x:c r="Y34" s="161"/>
      <x:c r="Z34" s="161"/>
    </x:row>
    <x:row r="35">
      <x:c r="A35" s="124"/>
      <x:c r="B35" s="108"/>
      <x:c r="C35" s="129" t="str">
        <x:f>IFERROR(VLOOKUP(B35,'03 Clientes'!$A$6:$N$200,2,FALSE),"")</x:f>
      </x:c>
      <x:c r="D35" s="108"/>
      <x:c r="E35" s="108"/>
      <x:c r="F35" s="108"/>
      <x:c r="G35" s="108"/>
      <x:c r="H35" s="108"/>
      <x:c r="I35" s="124"/>
      <x:c r="J35" s="108"/>
      <x:c r="K35" s="108"/>
      <x:c r="L35" s="161"/>
      <x:c r="M35" s="161"/>
      <x:c r="N35" s="161"/>
      <x:c r="O35" s="161"/>
      <x:c r="P35" s="161"/>
      <x:c r="Q35" s="161"/>
      <x:c r="R35" s="161"/>
      <x:c r="S35" s="161"/>
      <x:c r="T35" s="161"/>
      <x:c r="U35" s="161"/>
      <x:c r="V35" s="161"/>
      <x:c r="W35" s="161"/>
      <x:c r="X35" s="161"/>
      <x:c r="Y35" s="161"/>
      <x:c r="Z35" s="161"/>
    </x:row>
    <x:row r="36">
      <x:c r="A36" s="124"/>
      <x:c r="B36" s="108"/>
      <x:c r="C36" s="129" t="str">
        <x:f>IFERROR(VLOOKUP(B36,'03 Clientes'!$A$6:$N$200,2,FALSE),"")</x:f>
      </x:c>
      <x:c r="D36" s="108"/>
      <x:c r="E36" s="108"/>
      <x:c r="F36" s="108"/>
      <x:c r="G36" s="108"/>
      <x:c r="H36" s="108"/>
      <x:c r="I36" s="124"/>
      <x:c r="J36" s="108"/>
      <x:c r="K36" s="108"/>
      <x:c r="L36" s="161"/>
      <x:c r="M36" s="161"/>
      <x:c r="N36" s="161"/>
      <x:c r="O36" s="161"/>
      <x:c r="P36" s="161"/>
      <x:c r="Q36" s="161"/>
      <x:c r="R36" s="161"/>
      <x:c r="S36" s="161"/>
      <x:c r="T36" s="161"/>
      <x:c r="U36" s="161"/>
      <x:c r="V36" s="161"/>
      <x:c r="W36" s="161"/>
      <x:c r="X36" s="161"/>
      <x:c r="Y36" s="161"/>
      <x:c r="Z36" s="161"/>
    </x:row>
    <x:row r="37">
      <x:c r="A37" s="124"/>
      <x:c r="B37" s="108"/>
      <x:c r="C37" s="129" t="str">
        <x:f>IFERROR(VLOOKUP(B37,'03 Clientes'!$A$6:$N$200,2,FALSE),"")</x:f>
      </x:c>
      <x:c r="D37" s="108"/>
      <x:c r="E37" s="108"/>
      <x:c r="F37" s="108"/>
      <x:c r="G37" s="108"/>
      <x:c r="H37" s="108"/>
      <x:c r="I37" s="124"/>
      <x:c r="J37" s="108"/>
      <x:c r="K37" s="108"/>
      <x:c r="L37" s="161"/>
      <x:c r="M37" s="161"/>
      <x:c r="N37" s="161"/>
      <x:c r="O37" s="161"/>
      <x:c r="P37" s="161"/>
      <x:c r="Q37" s="161"/>
      <x:c r="R37" s="161"/>
      <x:c r="S37" s="161"/>
      <x:c r="T37" s="161"/>
      <x:c r="U37" s="161"/>
      <x:c r="V37" s="161"/>
      <x:c r="W37" s="161"/>
      <x:c r="X37" s="161"/>
      <x:c r="Y37" s="161"/>
      <x:c r="Z37" s="161"/>
    </x:row>
    <x:row r="38">
      <x:c r="A38" s="124"/>
      <x:c r="B38" s="108"/>
      <x:c r="C38" s="129" t="str">
        <x:f>IFERROR(VLOOKUP(B38,'03 Clientes'!$A$6:$N$200,2,FALSE),"")</x:f>
      </x:c>
      <x:c r="D38" s="108"/>
      <x:c r="E38" s="108"/>
      <x:c r="F38" s="108"/>
      <x:c r="G38" s="108"/>
      <x:c r="H38" s="108"/>
      <x:c r="I38" s="124"/>
      <x:c r="J38" s="108"/>
      <x:c r="K38" s="108"/>
      <x:c r="L38" s="161"/>
      <x:c r="M38" s="161"/>
      <x:c r="N38" s="161"/>
      <x:c r="O38" s="161"/>
      <x:c r="P38" s="161"/>
      <x:c r="Q38" s="161"/>
      <x:c r="R38" s="161"/>
      <x:c r="S38" s="161"/>
      <x:c r="T38" s="161"/>
      <x:c r="U38" s="161"/>
      <x:c r="V38" s="161"/>
      <x:c r="W38" s="161"/>
      <x:c r="X38" s="161"/>
      <x:c r="Y38" s="161"/>
      <x:c r="Z38" s="161"/>
    </x:row>
    <x:row r="39">
      <x:c r="A39" s="124"/>
      <x:c r="B39" s="108"/>
      <x:c r="C39" s="129" t="str">
        <x:f>IFERROR(VLOOKUP(B39,'03 Clientes'!$A$6:$N$200,2,FALSE),"")</x:f>
      </x:c>
      <x:c r="D39" s="108"/>
      <x:c r="E39" s="108"/>
      <x:c r="F39" s="108"/>
      <x:c r="G39" s="108"/>
      <x:c r="H39" s="108"/>
      <x:c r="I39" s="124"/>
      <x:c r="J39" s="108"/>
      <x:c r="K39" s="108"/>
      <x:c r="L39" s="161"/>
      <x:c r="M39" s="161"/>
      <x:c r="N39" s="161"/>
      <x:c r="O39" s="161"/>
      <x:c r="P39" s="161"/>
      <x:c r="Q39" s="161"/>
      <x:c r="R39" s="161"/>
      <x:c r="S39" s="161"/>
      <x:c r="T39" s="161"/>
      <x:c r="U39" s="161"/>
      <x:c r="V39" s="161"/>
      <x:c r="W39" s="161"/>
      <x:c r="X39" s="161"/>
      <x:c r="Y39" s="161"/>
      <x:c r="Z39" s="161"/>
    </x:row>
    <x:row r="40">
      <x:c r="A40" s="124"/>
      <x:c r="B40" s="108"/>
      <x:c r="C40" s="129" t="str">
        <x:f>IFERROR(VLOOKUP(B40,'03 Clientes'!$A$6:$N$200,2,FALSE),"")</x:f>
      </x:c>
      <x:c r="D40" s="108"/>
      <x:c r="E40" s="108"/>
      <x:c r="F40" s="108"/>
      <x:c r="G40" s="108"/>
      <x:c r="H40" s="108"/>
      <x:c r="I40" s="124"/>
      <x:c r="J40" s="108"/>
      <x:c r="K40" s="108"/>
      <x:c r="L40" s="161"/>
      <x:c r="M40" s="161"/>
      <x:c r="N40" s="161"/>
      <x:c r="O40" s="161"/>
      <x:c r="P40" s="161"/>
      <x:c r="Q40" s="161"/>
      <x:c r="R40" s="161"/>
      <x:c r="S40" s="161"/>
      <x:c r="T40" s="161"/>
      <x:c r="U40" s="161"/>
      <x:c r="V40" s="161"/>
      <x:c r="W40" s="161"/>
      <x:c r="X40" s="161"/>
      <x:c r="Y40" s="161"/>
      <x:c r="Z40" s="161"/>
    </x:row>
    <x:row r="41">
      <x:c r="A41" s="124"/>
      <x:c r="B41" s="108"/>
      <x:c r="C41" s="129" t="str">
        <x:f>IFERROR(VLOOKUP(B41,'03 Clientes'!$A$6:$N$200,2,FALSE),"")</x:f>
      </x:c>
      <x:c r="D41" s="108"/>
      <x:c r="E41" s="108"/>
      <x:c r="F41" s="108"/>
      <x:c r="G41" s="108"/>
      <x:c r="H41" s="108"/>
      <x:c r="I41" s="124"/>
      <x:c r="J41" s="108"/>
      <x:c r="K41" s="108"/>
      <x:c r="L41" s="161"/>
      <x:c r="M41" s="161"/>
      <x:c r="N41" s="161"/>
      <x:c r="O41" s="161"/>
      <x:c r="P41" s="161"/>
      <x:c r="Q41" s="161"/>
      <x:c r="R41" s="161"/>
      <x:c r="S41" s="161"/>
      <x:c r="T41" s="161"/>
      <x:c r="U41" s="161"/>
      <x:c r="V41" s="161"/>
      <x:c r="W41" s="161"/>
      <x:c r="X41" s="161"/>
      <x:c r="Y41" s="161"/>
      <x:c r="Z41" s="161"/>
    </x:row>
    <x:row r="42">
      <x:c r="A42" s="124"/>
      <x:c r="B42" s="108"/>
      <x:c r="C42" s="129" t="str">
        <x:f>IFERROR(VLOOKUP(B42,'03 Clientes'!$A$6:$N$200,2,FALSE),"")</x:f>
      </x:c>
      <x:c r="D42" s="108"/>
      <x:c r="E42" s="108"/>
      <x:c r="F42" s="108"/>
      <x:c r="G42" s="108"/>
      <x:c r="H42" s="108"/>
      <x:c r="I42" s="124"/>
      <x:c r="J42" s="108"/>
      <x:c r="K42" s="108"/>
      <x:c r="L42" s="161"/>
      <x:c r="M42" s="161"/>
      <x:c r="N42" s="161"/>
      <x:c r="O42" s="161"/>
      <x:c r="P42" s="161"/>
      <x:c r="Q42" s="161"/>
      <x:c r="R42" s="161"/>
      <x:c r="S42" s="161"/>
      <x:c r="T42" s="161"/>
      <x:c r="U42" s="161"/>
      <x:c r="V42" s="161"/>
      <x:c r="W42" s="161"/>
      <x:c r="X42" s="161"/>
      <x:c r="Y42" s="161"/>
      <x:c r="Z42" s="161"/>
    </x:row>
    <x:row r="43">
      <x:c r="A43" s="124"/>
      <x:c r="B43" s="108"/>
      <x:c r="C43" s="129" t="str">
        <x:f>IFERROR(VLOOKUP(B43,'03 Clientes'!$A$6:$N$200,2,FALSE),"")</x:f>
      </x:c>
      <x:c r="D43" s="108"/>
      <x:c r="E43" s="108"/>
      <x:c r="F43" s="108"/>
      <x:c r="G43" s="108"/>
      <x:c r="H43" s="108"/>
      <x:c r="I43" s="124"/>
      <x:c r="J43" s="108"/>
      <x:c r="K43" s="108"/>
      <x:c r="L43" s="161"/>
      <x:c r="M43" s="161"/>
      <x:c r="N43" s="161"/>
      <x:c r="O43" s="161"/>
      <x:c r="P43" s="161"/>
      <x:c r="Q43" s="161"/>
      <x:c r="R43" s="161"/>
      <x:c r="S43" s="161"/>
      <x:c r="T43" s="161"/>
      <x:c r="U43" s="161"/>
      <x:c r="V43" s="161"/>
      <x:c r="W43" s="161"/>
      <x:c r="X43" s="161"/>
      <x:c r="Y43" s="161"/>
      <x:c r="Z43" s="161"/>
    </x:row>
    <x:row r="44">
      <x:c r="A44" s="124"/>
      <x:c r="B44" s="108"/>
      <x:c r="C44" s="129" t="str">
        <x:f>IFERROR(VLOOKUP(B44,'03 Clientes'!$A$6:$N$200,2,FALSE),"")</x:f>
      </x:c>
      <x:c r="D44" s="108"/>
      <x:c r="E44" s="108"/>
      <x:c r="F44" s="108"/>
      <x:c r="G44" s="108"/>
      <x:c r="H44" s="108"/>
      <x:c r="I44" s="124"/>
      <x:c r="J44" s="108"/>
      <x:c r="K44" s="108"/>
      <x:c r="L44" s="161"/>
      <x:c r="M44" s="161"/>
      <x:c r="N44" s="161"/>
      <x:c r="O44" s="161"/>
      <x:c r="P44" s="161"/>
      <x:c r="Q44" s="161"/>
      <x:c r="R44" s="161"/>
      <x:c r="S44" s="161"/>
      <x:c r="T44" s="161"/>
      <x:c r="U44" s="161"/>
      <x:c r="V44" s="161"/>
      <x:c r="W44" s="161"/>
      <x:c r="X44" s="161"/>
      <x:c r="Y44" s="161"/>
      <x:c r="Z44" s="161"/>
    </x:row>
    <x:row r="45">
      <x:c r="A45" s="124"/>
      <x:c r="B45" s="108"/>
      <x:c r="C45" s="129" t="str">
        <x:f>IFERROR(VLOOKUP(B45,'03 Clientes'!$A$6:$N$200,2,FALSE),"")</x:f>
      </x:c>
      <x:c r="D45" s="108"/>
      <x:c r="E45" s="108"/>
      <x:c r="F45" s="108"/>
      <x:c r="G45" s="108"/>
      <x:c r="H45" s="108"/>
      <x:c r="I45" s="124"/>
      <x:c r="J45" s="108"/>
      <x:c r="K45" s="108"/>
      <x:c r="L45" s="161"/>
      <x:c r="M45" s="161"/>
      <x:c r="N45" s="161"/>
      <x:c r="O45" s="161"/>
      <x:c r="P45" s="161"/>
      <x:c r="Q45" s="161"/>
      <x:c r="R45" s="161"/>
      <x:c r="S45" s="161"/>
      <x:c r="T45" s="161"/>
      <x:c r="U45" s="161"/>
      <x:c r="V45" s="161"/>
      <x:c r="W45" s="161"/>
      <x:c r="X45" s="161"/>
      <x:c r="Y45" s="161"/>
      <x:c r="Z45" s="161"/>
    </x:row>
    <x:row r="46">
      <x:c r="A46" s="124"/>
      <x:c r="B46" s="108"/>
      <x:c r="C46" s="129" t="str">
        <x:f>IFERROR(VLOOKUP(B46,'03 Clientes'!$A$6:$N$200,2,FALSE),"")</x:f>
      </x:c>
      <x:c r="D46" s="108"/>
      <x:c r="E46" s="108"/>
      <x:c r="F46" s="108"/>
      <x:c r="G46" s="108"/>
      <x:c r="H46" s="108"/>
      <x:c r="I46" s="124"/>
      <x:c r="J46" s="108"/>
      <x:c r="K46" s="108"/>
      <x:c r="L46" s="161"/>
      <x:c r="M46" s="161"/>
      <x:c r="N46" s="161"/>
      <x:c r="O46" s="161"/>
      <x:c r="P46" s="161"/>
      <x:c r="Q46" s="161"/>
      <x:c r="R46" s="161"/>
      <x:c r="S46" s="161"/>
      <x:c r="T46" s="161"/>
      <x:c r="U46" s="161"/>
      <x:c r="V46" s="161"/>
      <x:c r="W46" s="161"/>
      <x:c r="X46" s="161"/>
      <x:c r="Y46" s="161"/>
      <x:c r="Z46" s="161"/>
    </x:row>
    <x:row r="47">
      <x:c r="A47" s="124"/>
      <x:c r="B47" s="108"/>
      <x:c r="C47" s="129" t="str">
        <x:f>IFERROR(VLOOKUP(B47,'03 Clientes'!$A$6:$N$200,2,FALSE),"")</x:f>
      </x:c>
      <x:c r="D47" s="108"/>
      <x:c r="E47" s="108"/>
      <x:c r="F47" s="108"/>
      <x:c r="G47" s="108"/>
      <x:c r="H47" s="108"/>
      <x:c r="I47" s="124"/>
      <x:c r="J47" s="108"/>
      <x:c r="K47" s="108"/>
      <x:c r="L47" s="161"/>
      <x:c r="M47" s="161"/>
      <x:c r="N47" s="161"/>
      <x:c r="O47" s="161"/>
      <x:c r="P47" s="161"/>
      <x:c r="Q47" s="161"/>
      <x:c r="R47" s="161"/>
      <x:c r="S47" s="161"/>
      <x:c r="T47" s="161"/>
      <x:c r="U47" s="161"/>
      <x:c r="V47" s="161"/>
      <x:c r="W47" s="161"/>
      <x:c r="X47" s="161"/>
      <x:c r="Y47" s="161"/>
      <x:c r="Z47" s="161"/>
    </x:row>
    <x:row r="48">
      <x:c r="A48" s="124"/>
      <x:c r="B48" s="108"/>
      <x:c r="C48" s="129" t="str">
        <x:f>IFERROR(VLOOKUP(B48,'03 Clientes'!$A$6:$N$200,2,FALSE),"")</x:f>
      </x:c>
      <x:c r="D48" s="108"/>
      <x:c r="E48" s="108"/>
      <x:c r="F48" s="108"/>
      <x:c r="G48" s="108"/>
      <x:c r="H48" s="108"/>
      <x:c r="I48" s="124"/>
      <x:c r="J48" s="108"/>
      <x:c r="K48" s="108"/>
      <x:c r="L48" s="161"/>
      <x:c r="M48" s="161"/>
      <x:c r="N48" s="161"/>
      <x:c r="O48" s="161"/>
      <x:c r="P48" s="161"/>
      <x:c r="Q48" s="161"/>
      <x:c r="R48" s="161"/>
      <x:c r="S48" s="161"/>
      <x:c r="T48" s="161"/>
      <x:c r="U48" s="161"/>
      <x:c r="V48" s="161"/>
      <x:c r="W48" s="161"/>
      <x:c r="X48" s="161"/>
      <x:c r="Y48" s="161"/>
      <x:c r="Z48" s="161"/>
    </x:row>
    <x:row r="49">
      <x:c r="A49" s="124"/>
      <x:c r="B49" s="108"/>
      <x:c r="C49" s="129" t="str">
        <x:f>IFERROR(VLOOKUP(B49,'03 Clientes'!$A$6:$N$200,2,FALSE),"")</x:f>
      </x:c>
      <x:c r="D49" s="108"/>
      <x:c r="E49" s="108"/>
      <x:c r="F49" s="108"/>
      <x:c r="G49" s="108"/>
      <x:c r="H49" s="108"/>
      <x:c r="I49" s="124"/>
      <x:c r="J49" s="108"/>
      <x:c r="K49" s="108"/>
      <x:c r="L49" s="161"/>
      <x:c r="M49" s="161"/>
      <x:c r="N49" s="161"/>
      <x:c r="O49" s="161"/>
      <x:c r="P49" s="161"/>
      <x:c r="Q49" s="161"/>
      <x:c r="R49" s="161"/>
      <x:c r="S49" s="161"/>
      <x:c r="T49" s="161"/>
      <x:c r="U49" s="161"/>
      <x:c r="V49" s="161"/>
      <x:c r="W49" s="161"/>
      <x:c r="X49" s="161"/>
      <x:c r="Y49" s="161"/>
      <x:c r="Z49" s="161"/>
    </x:row>
    <x:row r="50">
      <x:c r="A50" s="124"/>
      <x:c r="B50" s="108"/>
      <x:c r="C50" s="129" t="str">
        <x:f>IFERROR(VLOOKUP(B50,'03 Clientes'!$A$6:$N$200,2,FALSE),"")</x:f>
      </x:c>
      <x:c r="D50" s="108"/>
      <x:c r="E50" s="108"/>
      <x:c r="F50" s="108"/>
      <x:c r="G50" s="108"/>
      <x:c r="H50" s="108"/>
      <x:c r="I50" s="124"/>
      <x:c r="J50" s="108"/>
      <x:c r="K50" s="108"/>
      <x:c r="L50" s="161"/>
      <x:c r="M50" s="161"/>
      <x:c r="N50" s="161"/>
      <x:c r="O50" s="161"/>
      <x:c r="P50" s="161"/>
      <x:c r="Q50" s="161"/>
      <x:c r="R50" s="161"/>
      <x:c r="S50" s="161"/>
      <x:c r="T50" s="161"/>
      <x:c r="U50" s="161"/>
      <x:c r="V50" s="161"/>
      <x:c r="W50" s="161"/>
      <x:c r="X50" s="161"/>
      <x:c r="Y50" s="161"/>
      <x:c r="Z50" s="161"/>
    </x:row>
    <x:row r="51">
      <x:c r="A51" s="124"/>
      <x:c r="B51" s="108"/>
      <x:c r="C51" s="129" t="str">
        <x:f>IFERROR(VLOOKUP(B51,'03 Clientes'!$A$6:$N$200,2,FALSE),"")</x:f>
      </x:c>
      <x:c r="D51" s="108"/>
      <x:c r="E51" s="108"/>
      <x:c r="F51" s="108"/>
      <x:c r="G51" s="108"/>
      <x:c r="H51" s="108"/>
      <x:c r="I51" s="124"/>
      <x:c r="J51" s="108"/>
      <x:c r="K51" s="108"/>
      <x:c r="L51" s="161"/>
      <x:c r="M51" s="161"/>
      <x:c r="N51" s="161"/>
      <x:c r="O51" s="161"/>
      <x:c r="P51" s="161"/>
      <x:c r="Q51" s="161"/>
      <x:c r="R51" s="161"/>
      <x:c r="S51" s="161"/>
      <x:c r="T51" s="161"/>
      <x:c r="U51" s="161"/>
      <x:c r="V51" s="161"/>
      <x:c r="W51" s="161"/>
      <x:c r="X51" s="161"/>
      <x:c r="Y51" s="161"/>
      <x:c r="Z51" s="161"/>
    </x:row>
    <x:row r="52">
      <x:c r="A52" s="124"/>
      <x:c r="B52" s="108"/>
      <x:c r="C52" s="129" t="str">
        <x:f>IFERROR(VLOOKUP(B52,'03 Clientes'!$A$6:$N$200,2,FALSE),"")</x:f>
      </x:c>
      <x:c r="D52" s="108"/>
      <x:c r="E52" s="108"/>
      <x:c r="F52" s="108"/>
      <x:c r="G52" s="108"/>
      <x:c r="H52" s="108"/>
      <x:c r="I52" s="124"/>
      <x:c r="J52" s="108"/>
      <x:c r="K52" s="108"/>
      <x:c r="L52" s="161"/>
      <x:c r="M52" s="161"/>
      <x:c r="N52" s="161"/>
      <x:c r="O52" s="161"/>
      <x:c r="P52" s="161"/>
      <x:c r="Q52" s="161"/>
      <x:c r="R52" s="161"/>
      <x:c r="S52" s="161"/>
      <x:c r="T52" s="161"/>
      <x:c r="U52" s="161"/>
      <x:c r="V52" s="161"/>
      <x:c r="W52" s="161"/>
      <x:c r="X52" s="161"/>
      <x:c r="Y52" s="161"/>
      <x:c r="Z52" s="161"/>
    </x:row>
    <x:row r="53">
      <x:c r="A53" s="124"/>
      <x:c r="B53" s="108"/>
      <x:c r="C53" s="129" t="str">
        <x:f>IFERROR(VLOOKUP(B53,'03 Clientes'!$A$6:$N$200,2,FALSE),"")</x:f>
      </x:c>
      <x:c r="D53" s="108"/>
      <x:c r="E53" s="108"/>
      <x:c r="F53" s="108"/>
      <x:c r="G53" s="108"/>
      <x:c r="H53" s="108"/>
      <x:c r="I53" s="124"/>
      <x:c r="J53" s="108"/>
      <x:c r="K53" s="108"/>
      <x:c r="L53" s="161"/>
      <x:c r="M53" s="161"/>
      <x:c r="N53" s="161"/>
      <x:c r="O53" s="161"/>
      <x:c r="P53" s="161"/>
      <x:c r="Q53" s="161"/>
      <x:c r="R53" s="161"/>
      <x:c r="S53" s="161"/>
      <x:c r="T53" s="161"/>
      <x:c r="U53" s="161"/>
      <x:c r="V53" s="161"/>
      <x:c r="W53" s="161"/>
      <x:c r="X53" s="161"/>
      <x:c r="Y53" s="161"/>
      <x:c r="Z53" s="161"/>
    </x:row>
    <x:row r="54">
      <x:c r="A54" s="124"/>
      <x:c r="B54" s="108"/>
      <x:c r="C54" s="129" t="str">
        <x:f>IFERROR(VLOOKUP(B54,'03 Clientes'!$A$6:$N$200,2,FALSE),"")</x:f>
      </x:c>
      <x:c r="D54" s="108"/>
      <x:c r="E54" s="108"/>
      <x:c r="F54" s="108"/>
      <x:c r="G54" s="108"/>
      <x:c r="H54" s="108"/>
      <x:c r="I54" s="124"/>
      <x:c r="J54" s="108"/>
      <x:c r="K54" s="108"/>
      <x:c r="L54" s="161"/>
      <x:c r="M54" s="161"/>
      <x:c r="N54" s="161"/>
      <x:c r="O54" s="161"/>
      <x:c r="P54" s="161"/>
      <x:c r="Q54" s="161"/>
      <x:c r="R54" s="161"/>
      <x:c r="S54" s="161"/>
      <x:c r="T54" s="161"/>
      <x:c r="U54" s="161"/>
      <x:c r="V54" s="161"/>
      <x:c r="W54" s="161"/>
      <x:c r="X54" s="161"/>
      <x:c r="Y54" s="161"/>
      <x:c r="Z54" s="161"/>
    </x:row>
    <x:row r="55">
      <x:c r="A55" s="124"/>
      <x:c r="B55" s="108"/>
      <x:c r="C55" s="129" t="str">
        <x:f>IFERROR(VLOOKUP(B55,'03 Clientes'!$A$6:$N$200,2,FALSE),"")</x:f>
      </x:c>
      <x:c r="D55" s="108"/>
      <x:c r="E55" s="108"/>
      <x:c r="F55" s="108"/>
      <x:c r="G55" s="108"/>
      <x:c r="H55" s="108"/>
      <x:c r="I55" s="124"/>
      <x:c r="J55" s="108"/>
      <x:c r="K55" s="108"/>
      <x:c r="L55" s="161"/>
      <x:c r="M55" s="161"/>
      <x:c r="N55" s="161"/>
      <x:c r="O55" s="161"/>
      <x:c r="P55" s="161"/>
      <x:c r="Q55" s="161"/>
      <x:c r="R55" s="161"/>
      <x:c r="S55" s="161"/>
      <x:c r="T55" s="161"/>
      <x:c r="U55" s="161"/>
      <x:c r="V55" s="161"/>
      <x:c r="W55" s="161"/>
      <x:c r="X55" s="161"/>
      <x:c r="Y55" s="161"/>
      <x:c r="Z55" s="161"/>
    </x:row>
    <x:row r="56">
      <x:c r="A56" s="124"/>
      <x:c r="B56" s="108"/>
      <x:c r="C56" s="129" t="str">
        <x:f>IFERROR(VLOOKUP(B56,'03 Clientes'!$A$6:$N$200,2,FALSE),"")</x:f>
      </x:c>
      <x:c r="D56" s="108"/>
      <x:c r="E56" s="108"/>
      <x:c r="F56" s="108"/>
      <x:c r="G56" s="108"/>
      <x:c r="H56" s="108"/>
      <x:c r="I56" s="124"/>
      <x:c r="J56" s="108"/>
      <x:c r="K56" s="108"/>
      <x:c r="L56" s="161"/>
      <x:c r="M56" s="161"/>
      <x:c r="N56" s="161"/>
      <x:c r="O56" s="161"/>
      <x:c r="P56" s="161"/>
      <x:c r="Q56" s="161"/>
      <x:c r="R56" s="161"/>
      <x:c r="S56" s="161"/>
      <x:c r="T56" s="161"/>
      <x:c r="U56" s="161"/>
      <x:c r="V56" s="161"/>
      <x:c r="W56" s="161"/>
      <x:c r="X56" s="161"/>
      <x:c r="Y56" s="161"/>
      <x:c r="Z56" s="161"/>
    </x:row>
    <x:row r="57">
      <x:c r="A57" s="124"/>
      <x:c r="B57" s="108"/>
      <x:c r="C57" s="129" t="str">
        <x:f>IFERROR(VLOOKUP(B57,'03 Clientes'!$A$6:$N$200,2,FALSE),"")</x:f>
      </x:c>
      <x:c r="D57" s="108"/>
      <x:c r="E57" s="108"/>
      <x:c r="F57" s="108"/>
      <x:c r="G57" s="108"/>
      <x:c r="H57" s="108"/>
      <x:c r="I57" s="124"/>
      <x:c r="J57" s="108"/>
      <x:c r="K57" s="108"/>
      <x:c r="L57" s="161"/>
      <x:c r="M57" s="161"/>
      <x:c r="N57" s="161"/>
      <x:c r="O57" s="161"/>
      <x:c r="P57" s="161"/>
      <x:c r="Q57" s="161"/>
      <x:c r="R57" s="161"/>
      <x:c r="S57" s="161"/>
      <x:c r="T57" s="161"/>
      <x:c r="U57" s="161"/>
      <x:c r="V57" s="161"/>
      <x:c r="W57" s="161"/>
      <x:c r="X57" s="161"/>
      <x:c r="Y57" s="161"/>
      <x:c r="Z57" s="161"/>
    </x:row>
    <x:row r="58">
      <x:c r="A58" s="124"/>
      <x:c r="B58" s="108"/>
      <x:c r="C58" s="129" t="str">
        <x:f>IFERROR(VLOOKUP(B58,'03 Clientes'!$A$6:$N$200,2,FALSE),"")</x:f>
      </x:c>
      <x:c r="D58" s="108"/>
      <x:c r="E58" s="108"/>
      <x:c r="F58" s="108"/>
      <x:c r="G58" s="108"/>
      <x:c r="H58" s="108"/>
      <x:c r="I58" s="124"/>
      <x:c r="J58" s="108"/>
      <x:c r="K58" s="108"/>
      <x:c r="L58" s="161"/>
      <x:c r="M58" s="161"/>
      <x:c r="N58" s="161"/>
      <x:c r="O58" s="161"/>
      <x:c r="P58" s="161"/>
      <x:c r="Q58" s="161"/>
      <x:c r="R58" s="161"/>
      <x:c r="S58" s="161"/>
      <x:c r="T58" s="161"/>
      <x:c r="U58" s="161"/>
      <x:c r="V58" s="161"/>
      <x:c r="W58" s="161"/>
      <x:c r="X58" s="161"/>
      <x:c r="Y58" s="161"/>
      <x:c r="Z58" s="161"/>
    </x:row>
    <x:row r="59">
      <x:c r="A59" s="124"/>
      <x:c r="B59" s="108"/>
      <x:c r="C59" s="129" t="str">
        <x:f>IFERROR(VLOOKUP(B59,'03 Clientes'!$A$6:$N$200,2,FALSE),"")</x:f>
      </x:c>
      <x:c r="D59" s="108"/>
      <x:c r="E59" s="108"/>
      <x:c r="F59" s="108"/>
      <x:c r="G59" s="108"/>
      <x:c r="H59" s="108"/>
      <x:c r="I59" s="124"/>
      <x:c r="J59" s="108"/>
      <x:c r="K59" s="108"/>
      <x:c r="L59" s="161"/>
      <x:c r="M59" s="161"/>
      <x:c r="N59" s="161"/>
      <x:c r="O59" s="161"/>
      <x:c r="P59" s="161"/>
      <x:c r="Q59" s="161"/>
      <x:c r="R59" s="161"/>
      <x:c r="S59" s="161"/>
      <x:c r="T59" s="161"/>
      <x:c r="U59" s="161"/>
      <x:c r="V59" s="161"/>
      <x:c r="W59" s="161"/>
      <x:c r="X59" s="161"/>
      <x:c r="Y59" s="161"/>
      <x:c r="Z59" s="161"/>
    </x:row>
    <x:row r="60">
      <x:c r="A60" s="124"/>
      <x:c r="B60" s="108"/>
      <x:c r="C60" s="129" t="str">
        <x:f>IFERROR(VLOOKUP(B60,'03 Clientes'!$A$6:$N$200,2,FALSE),"")</x:f>
      </x:c>
      <x:c r="D60" s="108"/>
      <x:c r="E60" s="108"/>
      <x:c r="F60" s="108"/>
      <x:c r="G60" s="108"/>
      <x:c r="H60" s="108"/>
      <x:c r="I60" s="124"/>
      <x:c r="J60" s="108"/>
      <x:c r="K60" s="108"/>
      <x:c r="L60" s="161"/>
      <x:c r="M60" s="161"/>
      <x:c r="N60" s="161"/>
      <x:c r="O60" s="161"/>
      <x:c r="P60" s="161"/>
      <x:c r="Q60" s="161"/>
      <x:c r="R60" s="161"/>
      <x:c r="S60" s="161"/>
      <x:c r="T60" s="161"/>
      <x:c r="U60" s="161"/>
      <x:c r="V60" s="161"/>
      <x:c r="W60" s="161"/>
      <x:c r="X60" s="161"/>
      <x:c r="Y60" s="161"/>
      <x:c r="Z60" s="161"/>
    </x:row>
    <x:row r="61">
      <x:c r="A61" s="124"/>
      <x:c r="B61" s="108"/>
      <x:c r="C61" s="129" t="str">
        <x:f>IFERROR(VLOOKUP(B61,'03 Clientes'!$A$6:$N$200,2,FALSE),"")</x:f>
      </x:c>
      <x:c r="D61" s="108"/>
      <x:c r="E61" s="108"/>
      <x:c r="F61" s="108"/>
      <x:c r="G61" s="108"/>
      <x:c r="H61" s="108"/>
      <x:c r="I61" s="124"/>
      <x:c r="J61" s="108"/>
      <x:c r="K61" s="108"/>
      <x:c r="L61" s="161"/>
      <x:c r="M61" s="161"/>
      <x:c r="N61" s="161"/>
      <x:c r="O61" s="161"/>
      <x:c r="P61" s="161"/>
      <x:c r="Q61" s="161"/>
      <x:c r="R61" s="161"/>
      <x:c r="S61" s="161"/>
      <x:c r="T61" s="161"/>
      <x:c r="U61" s="161"/>
      <x:c r="V61" s="161"/>
      <x:c r="W61" s="161"/>
      <x:c r="X61" s="161"/>
      <x:c r="Y61" s="161"/>
      <x:c r="Z61" s="161"/>
    </x:row>
    <x:row r="62">
      <x:c r="A62" s="124"/>
      <x:c r="B62" s="108"/>
      <x:c r="C62" s="129" t="str">
        <x:f>IFERROR(VLOOKUP(B62,'03 Clientes'!$A$6:$N$200,2,FALSE),"")</x:f>
      </x:c>
      <x:c r="D62" s="108"/>
      <x:c r="E62" s="108"/>
      <x:c r="F62" s="108"/>
      <x:c r="G62" s="108"/>
      <x:c r="H62" s="108"/>
      <x:c r="I62" s="124"/>
      <x:c r="J62" s="108"/>
      <x:c r="K62" s="108"/>
      <x:c r="L62" s="161"/>
      <x:c r="M62" s="161"/>
      <x:c r="N62" s="161"/>
      <x:c r="O62" s="161"/>
      <x:c r="P62" s="161"/>
      <x:c r="Q62" s="161"/>
      <x:c r="R62" s="161"/>
      <x:c r="S62" s="161"/>
      <x:c r="T62" s="161"/>
      <x:c r="U62" s="161"/>
      <x:c r="V62" s="161"/>
      <x:c r="W62" s="161"/>
      <x:c r="X62" s="161"/>
      <x:c r="Y62" s="161"/>
      <x:c r="Z62" s="161"/>
    </x:row>
    <x:row r="63">
      <x:c r="A63" s="124"/>
      <x:c r="B63" s="108"/>
      <x:c r="C63" s="129" t="str">
        <x:f>IFERROR(VLOOKUP(B63,'03 Clientes'!$A$6:$N$200,2,FALSE),"")</x:f>
      </x:c>
      <x:c r="D63" s="108"/>
      <x:c r="E63" s="108"/>
      <x:c r="F63" s="108"/>
      <x:c r="G63" s="108"/>
      <x:c r="H63" s="108"/>
      <x:c r="I63" s="124"/>
      <x:c r="J63" s="108"/>
      <x:c r="K63" s="108"/>
      <x:c r="L63" s="161"/>
      <x:c r="M63" s="161"/>
      <x:c r="N63" s="161"/>
      <x:c r="O63" s="161"/>
      <x:c r="P63" s="161"/>
      <x:c r="Q63" s="161"/>
      <x:c r="R63" s="161"/>
      <x:c r="S63" s="161"/>
      <x:c r="T63" s="161"/>
      <x:c r="U63" s="161"/>
      <x:c r="V63" s="161"/>
      <x:c r="W63" s="161"/>
      <x:c r="X63" s="161"/>
      <x:c r="Y63" s="161"/>
      <x:c r="Z63" s="161"/>
    </x:row>
    <x:row r="64">
      <x:c r="A64" s="124"/>
      <x:c r="B64" s="108"/>
      <x:c r="C64" s="129" t="str">
        <x:f>IFERROR(VLOOKUP(B64,'03 Clientes'!$A$6:$N$200,2,FALSE),"")</x:f>
      </x:c>
      <x:c r="D64" s="108"/>
      <x:c r="E64" s="108"/>
      <x:c r="F64" s="108"/>
      <x:c r="G64" s="108"/>
      <x:c r="H64" s="108"/>
      <x:c r="I64" s="124"/>
      <x:c r="J64" s="108"/>
      <x:c r="K64" s="108"/>
      <x:c r="L64" s="161"/>
      <x:c r="M64" s="161"/>
      <x:c r="N64" s="161"/>
      <x:c r="O64" s="161"/>
      <x:c r="P64" s="161"/>
      <x:c r="Q64" s="161"/>
      <x:c r="R64" s="161"/>
      <x:c r="S64" s="161"/>
      <x:c r="T64" s="161"/>
      <x:c r="U64" s="161"/>
      <x:c r="V64" s="161"/>
      <x:c r="W64" s="161"/>
      <x:c r="X64" s="161"/>
      <x:c r="Y64" s="161"/>
      <x:c r="Z64" s="161"/>
    </x:row>
    <x:row r="65">
      <x:c r="A65" s="124"/>
      <x:c r="B65" s="108"/>
      <x:c r="C65" s="129" t="str">
        <x:f>IFERROR(VLOOKUP(B65,'03 Clientes'!$A$6:$N$200,2,FALSE),"")</x:f>
      </x:c>
      <x:c r="D65" s="108"/>
      <x:c r="E65" s="108"/>
      <x:c r="F65" s="108"/>
      <x:c r="G65" s="108"/>
      <x:c r="H65" s="108"/>
      <x:c r="I65" s="124"/>
      <x:c r="J65" s="108"/>
      <x:c r="K65" s="108"/>
      <x:c r="L65" s="161"/>
      <x:c r="M65" s="161"/>
      <x:c r="N65" s="161"/>
      <x:c r="O65" s="161"/>
      <x:c r="P65" s="161"/>
      <x:c r="Q65" s="161"/>
      <x:c r="R65" s="161"/>
      <x:c r="S65" s="161"/>
      <x:c r="T65" s="161"/>
      <x:c r="U65" s="161"/>
      <x:c r="V65" s="161"/>
      <x:c r="W65" s="161"/>
      <x:c r="X65" s="161"/>
      <x:c r="Y65" s="161"/>
      <x:c r="Z65" s="161"/>
    </x:row>
    <x:row r="66">
      <x:c r="A66" s="124"/>
      <x:c r="B66" s="108"/>
      <x:c r="C66" s="129" t="str">
        <x:f>IFERROR(VLOOKUP(B66,'03 Clientes'!$A$6:$N$200,2,FALSE),"")</x:f>
      </x:c>
      <x:c r="D66" s="108"/>
      <x:c r="E66" s="108"/>
      <x:c r="F66" s="108"/>
      <x:c r="G66" s="108"/>
      <x:c r="H66" s="108"/>
      <x:c r="I66" s="124"/>
      <x:c r="J66" s="108"/>
      <x:c r="K66" s="108"/>
      <x:c r="L66" s="161"/>
      <x:c r="M66" s="161"/>
      <x:c r="N66" s="161"/>
      <x:c r="O66" s="161"/>
      <x:c r="P66" s="161"/>
      <x:c r="Q66" s="161"/>
      <x:c r="R66" s="161"/>
      <x:c r="S66" s="161"/>
      <x:c r="T66" s="161"/>
      <x:c r="U66" s="161"/>
      <x:c r="V66" s="161"/>
      <x:c r="W66" s="161"/>
      <x:c r="X66" s="161"/>
      <x:c r="Y66" s="161"/>
      <x:c r="Z66" s="161"/>
    </x:row>
    <x:row r="67">
      <x:c r="A67" s="124"/>
      <x:c r="B67" s="108"/>
      <x:c r="C67" s="129" t="str">
        <x:f>IFERROR(VLOOKUP(B67,'03 Clientes'!$A$6:$N$200,2,FALSE),"")</x:f>
      </x:c>
      <x:c r="D67" s="108"/>
      <x:c r="E67" s="108"/>
      <x:c r="F67" s="108"/>
      <x:c r="G67" s="108"/>
      <x:c r="H67" s="108"/>
      <x:c r="I67" s="124"/>
      <x:c r="J67" s="108"/>
      <x:c r="K67" s="108"/>
      <x:c r="L67" s="161"/>
      <x:c r="M67" s="161"/>
      <x:c r="N67" s="161"/>
      <x:c r="O67" s="161"/>
      <x:c r="P67" s="161"/>
      <x:c r="Q67" s="161"/>
      <x:c r="R67" s="161"/>
      <x:c r="S67" s="161"/>
      <x:c r="T67" s="161"/>
      <x:c r="U67" s="161"/>
      <x:c r="V67" s="161"/>
      <x:c r="W67" s="161"/>
      <x:c r="X67" s="161"/>
      <x:c r="Y67" s="161"/>
      <x:c r="Z67" s="161"/>
    </x:row>
    <x:row r="68">
      <x:c r="A68" s="124"/>
      <x:c r="B68" s="108"/>
      <x:c r="C68" s="129" t="str">
        <x:f>IFERROR(VLOOKUP(B68,'03 Clientes'!$A$6:$N$200,2,FALSE),"")</x:f>
      </x:c>
      <x:c r="D68" s="108"/>
      <x:c r="E68" s="108"/>
      <x:c r="F68" s="108"/>
      <x:c r="G68" s="108"/>
      <x:c r="H68" s="108"/>
      <x:c r="I68" s="124"/>
      <x:c r="J68" s="108"/>
      <x:c r="K68" s="108"/>
      <x:c r="L68" s="161"/>
      <x:c r="M68" s="161"/>
      <x:c r="N68" s="161"/>
      <x:c r="O68" s="161"/>
      <x:c r="P68" s="161"/>
      <x:c r="Q68" s="161"/>
      <x:c r="R68" s="161"/>
      <x:c r="S68" s="161"/>
      <x:c r="T68" s="161"/>
      <x:c r="U68" s="161"/>
      <x:c r="V68" s="161"/>
      <x:c r="W68" s="161"/>
      <x:c r="X68" s="161"/>
      <x:c r="Y68" s="161"/>
      <x:c r="Z68" s="161"/>
    </x:row>
    <x:row r="69">
      <x:c r="A69" s="124"/>
      <x:c r="B69" s="108"/>
      <x:c r="C69" s="129" t="str">
        <x:f>IFERROR(VLOOKUP(B69,'03 Clientes'!$A$6:$N$200,2,FALSE),"")</x:f>
      </x:c>
      <x:c r="D69" s="108"/>
      <x:c r="E69" s="108"/>
      <x:c r="F69" s="108"/>
      <x:c r="G69" s="108"/>
      <x:c r="H69" s="108"/>
      <x:c r="I69" s="124"/>
      <x:c r="J69" s="108"/>
      <x:c r="K69" s="108"/>
      <x:c r="L69" s="161"/>
      <x:c r="M69" s="161"/>
      <x:c r="N69" s="161"/>
      <x:c r="O69" s="161"/>
      <x:c r="P69" s="161"/>
      <x:c r="Q69" s="161"/>
      <x:c r="R69" s="161"/>
      <x:c r="S69" s="161"/>
      <x:c r="T69" s="161"/>
      <x:c r="U69" s="161"/>
      <x:c r="V69" s="161"/>
      <x:c r="W69" s="161"/>
      <x:c r="X69" s="161"/>
      <x:c r="Y69" s="161"/>
      <x:c r="Z69" s="161"/>
    </x:row>
    <x:row r="70">
      <x:c r="A70" s="124"/>
      <x:c r="B70" s="108"/>
      <x:c r="C70" s="129" t="str">
        <x:f>IFERROR(VLOOKUP(B70,'03 Clientes'!$A$6:$N$200,2,FALSE),"")</x:f>
      </x:c>
      <x:c r="D70" s="108"/>
      <x:c r="E70" s="108"/>
      <x:c r="F70" s="108"/>
      <x:c r="G70" s="108"/>
      <x:c r="H70" s="108"/>
      <x:c r="I70" s="124"/>
      <x:c r="J70" s="108"/>
      <x:c r="K70" s="108"/>
      <x:c r="L70" s="161"/>
      <x:c r="M70" s="161"/>
      <x:c r="N70" s="161"/>
      <x:c r="O70" s="161"/>
      <x:c r="P70" s="161"/>
      <x:c r="Q70" s="161"/>
      <x:c r="R70" s="161"/>
      <x:c r="S70" s="161"/>
      <x:c r="T70" s="161"/>
      <x:c r="U70" s="161"/>
      <x:c r="V70" s="161"/>
      <x:c r="W70" s="161"/>
      <x:c r="X70" s="161"/>
      <x:c r="Y70" s="161"/>
      <x:c r="Z70" s="161"/>
    </x:row>
    <x:row r="71">
      <x:c r="A71" s="124"/>
      <x:c r="B71" s="108"/>
      <x:c r="C71" s="129" t="str">
        <x:f>IFERROR(VLOOKUP(B71,'03 Clientes'!$A$6:$N$200,2,FALSE),"")</x:f>
      </x:c>
      <x:c r="D71" s="108"/>
      <x:c r="E71" s="108"/>
      <x:c r="F71" s="108"/>
      <x:c r="G71" s="108"/>
      <x:c r="H71" s="108"/>
      <x:c r="I71" s="124"/>
      <x:c r="J71" s="108"/>
      <x:c r="K71" s="108"/>
      <x:c r="L71" s="161"/>
      <x:c r="M71" s="161"/>
      <x:c r="N71" s="161"/>
      <x:c r="O71" s="161"/>
      <x:c r="P71" s="161"/>
      <x:c r="Q71" s="161"/>
      <x:c r="R71" s="161"/>
      <x:c r="S71" s="161"/>
      <x:c r="T71" s="161"/>
      <x:c r="U71" s="161"/>
      <x:c r="V71" s="161"/>
      <x:c r="W71" s="161"/>
      <x:c r="X71" s="161"/>
      <x:c r="Y71" s="161"/>
      <x:c r="Z71" s="161"/>
    </x:row>
    <x:row r="72">
      <x:c r="A72" s="124"/>
      <x:c r="B72" s="108"/>
      <x:c r="C72" s="129" t="str">
        <x:f>IFERROR(VLOOKUP(B72,'03 Clientes'!$A$6:$N$200,2,FALSE),"")</x:f>
      </x:c>
      <x:c r="D72" s="108"/>
      <x:c r="E72" s="108"/>
      <x:c r="F72" s="108"/>
      <x:c r="G72" s="108"/>
      <x:c r="H72" s="108"/>
      <x:c r="I72" s="124"/>
      <x:c r="J72" s="108"/>
      <x:c r="K72" s="108"/>
      <x:c r="L72" s="161"/>
      <x:c r="M72" s="161"/>
      <x:c r="N72" s="161"/>
      <x:c r="O72" s="161"/>
      <x:c r="P72" s="161"/>
      <x:c r="Q72" s="161"/>
      <x:c r="R72" s="161"/>
      <x:c r="S72" s="161"/>
      <x:c r="T72" s="161"/>
      <x:c r="U72" s="161"/>
      <x:c r="V72" s="161"/>
      <x:c r="W72" s="161"/>
      <x:c r="X72" s="161"/>
      <x:c r="Y72" s="161"/>
      <x:c r="Z72" s="161"/>
    </x:row>
    <x:row r="73">
      <x:c r="A73" s="124"/>
      <x:c r="B73" s="108"/>
      <x:c r="C73" s="129" t="str">
        <x:f>IFERROR(VLOOKUP(B73,'03 Clientes'!$A$6:$N$200,2,FALSE),"")</x:f>
      </x:c>
      <x:c r="D73" s="108"/>
      <x:c r="E73" s="108"/>
      <x:c r="F73" s="108"/>
      <x:c r="G73" s="108"/>
      <x:c r="H73" s="108"/>
      <x:c r="I73" s="124"/>
      <x:c r="J73" s="108"/>
      <x:c r="K73" s="108"/>
      <x:c r="L73" s="161"/>
      <x:c r="M73" s="161"/>
      <x:c r="N73" s="161"/>
      <x:c r="O73" s="161"/>
      <x:c r="P73" s="161"/>
      <x:c r="Q73" s="161"/>
      <x:c r="R73" s="161"/>
      <x:c r="S73" s="161"/>
      <x:c r="T73" s="161"/>
      <x:c r="U73" s="161"/>
      <x:c r="V73" s="161"/>
      <x:c r="W73" s="161"/>
      <x:c r="X73" s="161"/>
      <x:c r="Y73" s="161"/>
      <x:c r="Z73" s="161"/>
    </x:row>
    <x:row r="74">
      <x:c r="A74" s="124"/>
      <x:c r="B74" s="108"/>
      <x:c r="C74" s="129" t="str">
        <x:f>IFERROR(VLOOKUP(B74,'03 Clientes'!$A$6:$N$200,2,FALSE),"")</x:f>
      </x:c>
      <x:c r="D74" s="108"/>
      <x:c r="E74" s="108"/>
      <x:c r="F74" s="108"/>
      <x:c r="G74" s="108"/>
      <x:c r="H74" s="108"/>
      <x:c r="I74" s="124"/>
      <x:c r="J74" s="108"/>
      <x:c r="K74" s="108"/>
      <x:c r="L74" s="161"/>
      <x:c r="M74" s="161"/>
      <x:c r="N74" s="161"/>
      <x:c r="O74" s="161"/>
      <x:c r="P74" s="161"/>
      <x:c r="Q74" s="161"/>
      <x:c r="R74" s="161"/>
      <x:c r="S74" s="161"/>
      <x:c r="T74" s="161"/>
      <x:c r="U74" s="161"/>
      <x:c r="V74" s="161"/>
      <x:c r="W74" s="161"/>
      <x:c r="X74" s="161"/>
      <x:c r="Y74" s="161"/>
      <x:c r="Z74" s="161"/>
    </x:row>
    <x:row r="75">
      <x:c r="A75" s="124"/>
      <x:c r="B75" s="108"/>
      <x:c r="C75" s="129" t="str">
        <x:f>IFERROR(VLOOKUP(B75,'03 Clientes'!$A$6:$N$200,2,FALSE),"")</x:f>
      </x:c>
      <x:c r="D75" s="108"/>
      <x:c r="E75" s="108"/>
      <x:c r="F75" s="108"/>
      <x:c r="G75" s="108"/>
      <x:c r="H75" s="108"/>
      <x:c r="I75" s="124"/>
      <x:c r="J75" s="108"/>
      <x:c r="K75" s="108"/>
      <x:c r="L75" s="161"/>
      <x:c r="M75" s="161"/>
      <x:c r="N75" s="161"/>
      <x:c r="O75" s="161"/>
      <x:c r="P75" s="161"/>
      <x:c r="Q75" s="161"/>
      <x:c r="R75" s="161"/>
      <x:c r="S75" s="161"/>
      <x:c r="T75" s="161"/>
      <x:c r="U75" s="161"/>
      <x:c r="V75" s="161"/>
      <x:c r="W75" s="161"/>
      <x:c r="X75" s="161"/>
      <x:c r="Y75" s="161"/>
      <x:c r="Z75" s="161"/>
    </x:row>
    <x:row r="76">
      <x:c r="A76" s="124"/>
      <x:c r="B76" s="108"/>
      <x:c r="C76" s="129" t="str">
        <x:f>IFERROR(VLOOKUP(B76,'03 Clientes'!$A$6:$N$200,2,FALSE),"")</x:f>
      </x:c>
      <x:c r="D76" s="108"/>
      <x:c r="E76" s="108"/>
      <x:c r="F76" s="108"/>
      <x:c r="G76" s="108"/>
      <x:c r="H76" s="108"/>
      <x:c r="I76" s="124"/>
      <x:c r="J76" s="108"/>
      <x:c r="K76" s="108"/>
      <x:c r="L76" s="161"/>
      <x:c r="M76" s="161"/>
      <x:c r="N76" s="161"/>
      <x:c r="O76" s="161"/>
      <x:c r="P76" s="161"/>
      <x:c r="Q76" s="161"/>
      <x:c r="R76" s="161"/>
      <x:c r="S76" s="161"/>
      <x:c r="T76" s="161"/>
      <x:c r="U76" s="161"/>
      <x:c r="V76" s="161"/>
      <x:c r="W76" s="161"/>
      <x:c r="X76" s="161"/>
      <x:c r="Y76" s="161"/>
      <x:c r="Z76" s="161"/>
    </x:row>
    <x:row r="77">
      <x:c r="A77" s="124"/>
      <x:c r="B77" s="108"/>
      <x:c r="C77" s="129" t="str">
        <x:f>IFERROR(VLOOKUP(B77,'03 Clientes'!$A$6:$N$200,2,FALSE),"")</x:f>
      </x:c>
      <x:c r="D77" s="108"/>
      <x:c r="E77" s="108"/>
      <x:c r="F77" s="108"/>
      <x:c r="G77" s="108"/>
      <x:c r="H77" s="108"/>
      <x:c r="I77" s="124"/>
      <x:c r="J77" s="108"/>
      <x:c r="K77" s="108"/>
      <x:c r="L77" s="161"/>
      <x:c r="M77" s="161"/>
      <x:c r="N77" s="161"/>
      <x:c r="O77" s="161"/>
      <x:c r="P77" s="161"/>
      <x:c r="Q77" s="161"/>
      <x:c r="R77" s="161"/>
      <x:c r="S77" s="161"/>
      <x:c r="T77" s="161"/>
      <x:c r="U77" s="161"/>
      <x:c r="V77" s="161"/>
      <x:c r="W77" s="161"/>
      <x:c r="X77" s="161"/>
      <x:c r="Y77" s="161"/>
      <x:c r="Z77" s="161"/>
    </x:row>
    <x:row r="78">
      <x:c r="A78" s="124"/>
      <x:c r="B78" s="108"/>
      <x:c r="C78" s="129" t="str">
        <x:f>IFERROR(VLOOKUP(B78,'03 Clientes'!$A$6:$N$200,2,FALSE),"")</x:f>
      </x:c>
      <x:c r="D78" s="108"/>
      <x:c r="E78" s="108"/>
      <x:c r="F78" s="108"/>
      <x:c r="G78" s="108"/>
      <x:c r="H78" s="108"/>
      <x:c r="I78" s="124"/>
      <x:c r="J78" s="108"/>
      <x:c r="K78" s="108"/>
      <x:c r="L78" s="161"/>
      <x:c r="M78" s="161"/>
      <x:c r="N78" s="161"/>
      <x:c r="O78" s="161"/>
      <x:c r="P78" s="161"/>
      <x:c r="Q78" s="161"/>
      <x:c r="R78" s="161"/>
      <x:c r="S78" s="161"/>
      <x:c r="T78" s="161"/>
      <x:c r="U78" s="161"/>
      <x:c r="V78" s="161"/>
      <x:c r="W78" s="161"/>
      <x:c r="X78" s="161"/>
      <x:c r="Y78" s="161"/>
      <x:c r="Z78" s="161"/>
    </x:row>
    <x:row r="79">
      <x:c r="A79" s="124"/>
      <x:c r="B79" s="108"/>
      <x:c r="C79" s="129" t="str">
        <x:f>IFERROR(VLOOKUP(B79,'03 Clientes'!$A$6:$N$200,2,FALSE),"")</x:f>
      </x:c>
      <x:c r="D79" s="108"/>
      <x:c r="E79" s="108"/>
      <x:c r="F79" s="108"/>
      <x:c r="G79" s="108"/>
      <x:c r="H79" s="108"/>
      <x:c r="I79" s="124"/>
      <x:c r="J79" s="108"/>
      <x:c r="K79" s="108"/>
      <x:c r="L79" s="161"/>
      <x:c r="M79" s="161"/>
      <x:c r="N79" s="161"/>
      <x:c r="O79" s="161"/>
      <x:c r="P79" s="161"/>
      <x:c r="Q79" s="161"/>
      <x:c r="R79" s="161"/>
      <x:c r="S79" s="161"/>
      <x:c r="T79" s="161"/>
      <x:c r="U79" s="161"/>
      <x:c r="V79" s="161"/>
      <x:c r="W79" s="161"/>
      <x:c r="X79" s="161"/>
      <x:c r="Y79" s="161"/>
      <x:c r="Z79" s="161"/>
    </x:row>
    <x:row r="80">
      <x:c r="A80" s="124"/>
      <x:c r="B80" s="108"/>
      <x:c r="C80" s="129" t="str">
        <x:f>IFERROR(VLOOKUP(B80,'03 Clientes'!$A$6:$N$200,2,FALSE),"")</x:f>
      </x:c>
      <x:c r="D80" s="108"/>
      <x:c r="E80" s="108"/>
      <x:c r="F80" s="108"/>
      <x:c r="G80" s="108"/>
      <x:c r="H80" s="108"/>
      <x:c r="I80" s="124"/>
      <x:c r="J80" s="108"/>
      <x:c r="K80" s="108"/>
      <x:c r="L80" s="161"/>
      <x:c r="M80" s="161"/>
      <x:c r="N80" s="161"/>
      <x:c r="O80" s="161"/>
      <x:c r="P80" s="161"/>
      <x:c r="Q80" s="161"/>
      <x:c r="R80" s="161"/>
      <x:c r="S80" s="161"/>
      <x:c r="T80" s="161"/>
      <x:c r="U80" s="161"/>
      <x:c r="V80" s="161"/>
      <x:c r="W80" s="161"/>
      <x:c r="X80" s="161"/>
      <x:c r="Y80" s="161"/>
      <x:c r="Z80" s="161"/>
    </x:row>
    <x:row r="81">
      <x:c r="A81" s="124"/>
      <x:c r="B81" s="108"/>
      <x:c r="C81" s="129" t="str">
        <x:f>IFERROR(VLOOKUP(B81,'03 Clientes'!$A$6:$N$200,2,FALSE),"")</x:f>
      </x:c>
      <x:c r="D81" s="108"/>
      <x:c r="E81" s="108"/>
      <x:c r="F81" s="108"/>
      <x:c r="G81" s="108"/>
      <x:c r="H81" s="108"/>
      <x:c r="I81" s="124"/>
      <x:c r="J81" s="108"/>
      <x:c r="K81" s="108"/>
      <x:c r="L81" s="161"/>
      <x:c r="M81" s="161"/>
      <x:c r="N81" s="161"/>
      <x:c r="O81" s="161"/>
      <x:c r="P81" s="161"/>
      <x:c r="Q81" s="161"/>
      <x:c r="R81" s="161"/>
      <x:c r="S81" s="161"/>
      <x:c r="T81" s="161"/>
      <x:c r="U81" s="161"/>
      <x:c r="V81" s="161"/>
      <x:c r="W81" s="161"/>
      <x:c r="X81" s="161"/>
      <x:c r="Y81" s="161"/>
      <x:c r="Z81" s="161"/>
    </x:row>
    <x:row r="82">
      <x:c r="A82" s="124"/>
      <x:c r="B82" s="108"/>
      <x:c r="C82" s="129" t="str">
        <x:f>IFERROR(VLOOKUP(B82,'03 Clientes'!$A$6:$N$200,2,FALSE),"")</x:f>
      </x:c>
      <x:c r="D82" s="108"/>
      <x:c r="E82" s="108"/>
      <x:c r="F82" s="108"/>
      <x:c r="G82" s="108"/>
      <x:c r="H82" s="108"/>
      <x:c r="I82" s="124"/>
      <x:c r="J82" s="108"/>
      <x:c r="K82" s="108"/>
      <x:c r="L82" s="161"/>
      <x:c r="M82" s="161"/>
      <x:c r="N82" s="161"/>
      <x:c r="O82" s="161"/>
      <x:c r="P82" s="161"/>
      <x:c r="Q82" s="161"/>
      <x:c r="R82" s="161"/>
      <x:c r="S82" s="161"/>
      <x:c r="T82" s="161"/>
      <x:c r="U82" s="161"/>
      <x:c r="V82" s="161"/>
      <x:c r="W82" s="161"/>
      <x:c r="X82" s="161"/>
      <x:c r="Y82" s="161"/>
      <x:c r="Z82" s="161"/>
    </x:row>
    <x:row r="83">
      <x:c r="A83" s="124"/>
      <x:c r="B83" s="108"/>
      <x:c r="C83" s="129" t="str">
        <x:f>IFERROR(VLOOKUP(B83,'03 Clientes'!$A$6:$N$200,2,FALSE),"")</x:f>
      </x:c>
      <x:c r="D83" s="108"/>
      <x:c r="E83" s="108"/>
      <x:c r="F83" s="108"/>
      <x:c r="G83" s="108"/>
      <x:c r="H83" s="108"/>
      <x:c r="I83" s="124"/>
      <x:c r="J83" s="108"/>
      <x:c r="K83" s="108"/>
      <x:c r="L83" s="161"/>
      <x:c r="M83" s="161"/>
      <x:c r="N83" s="161"/>
      <x:c r="O83" s="161"/>
      <x:c r="P83" s="161"/>
      <x:c r="Q83" s="161"/>
      <x:c r="R83" s="161"/>
      <x:c r="S83" s="161"/>
      <x:c r="T83" s="161"/>
      <x:c r="U83" s="161"/>
      <x:c r="V83" s="161"/>
      <x:c r="W83" s="161"/>
      <x:c r="X83" s="161"/>
      <x:c r="Y83" s="161"/>
      <x:c r="Z83" s="161"/>
    </x:row>
    <x:row r="84">
      <x:c r="A84" s="124"/>
      <x:c r="B84" s="108"/>
      <x:c r="C84" s="129" t="str">
        <x:f>IFERROR(VLOOKUP(B84,'03 Clientes'!$A$6:$N$200,2,FALSE),"")</x:f>
      </x:c>
      <x:c r="D84" s="108"/>
      <x:c r="E84" s="108"/>
      <x:c r="F84" s="108"/>
      <x:c r="G84" s="108"/>
      <x:c r="H84" s="108"/>
      <x:c r="I84" s="124"/>
      <x:c r="J84" s="108"/>
      <x:c r="K84" s="108"/>
      <x:c r="L84" s="161"/>
      <x:c r="M84" s="161"/>
      <x:c r="N84" s="161"/>
      <x:c r="O84" s="161"/>
      <x:c r="P84" s="161"/>
      <x:c r="Q84" s="161"/>
      <x:c r="R84" s="161"/>
      <x:c r="S84" s="161"/>
      <x:c r="T84" s="161"/>
      <x:c r="U84" s="161"/>
      <x:c r="V84" s="161"/>
      <x:c r="W84" s="161"/>
      <x:c r="X84" s="161"/>
      <x:c r="Y84" s="161"/>
      <x:c r="Z84" s="161"/>
    </x:row>
    <x:row r="85">
      <x:c r="A85" s="124"/>
      <x:c r="B85" s="108"/>
      <x:c r="C85" s="129" t="str">
        <x:f>IFERROR(VLOOKUP(B85,'03 Clientes'!$A$6:$N$200,2,FALSE),"")</x:f>
      </x:c>
      <x:c r="D85" s="108"/>
      <x:c r="E85" s="108"/>
      <x:c r="F85" s="108"/>
      <x:c r="G85" s="108"/>
      <x:c r="H85" s="108"/>
      <x:c r="I85" s="124"/>
      <x:c r="J85" s="108"/>
      <x:c r="K85" s="108"/>
      <x:c r="L85" s="161"/>
      <x:c r="M85" s="161"/>
      <x:c r="N85" s="161"/>
      <x:c r="O85" s="161"/>
      <x:c r="P85" s="161"/>
      <x:c r="Q85" s="161"/>
      <x:c r="R85" s="161"/>
      <x:c r="S85" s="161"/>
      <x:c r="T85" s="161"/>
      <x:c r="U85" s="161"/>
      <x:c r="V85" s="161"/>
      <x:c r="W85" s="161"/>
      <x:c r="X85" s="161"/>
      <x:c r="Y85" s="161"/>
      <x:c r="Z85" s="161"/>
    </x:row>
    <x:row r="86">
      <x:c r="A86" s="124"/>
      <x:c r="B86" s="108"/>
      <x:c r="C86" s="129" t="str">
        <x:f>IFERROR(VLOOKUP(B86,'03 Clientes'!$A$6:$N$200,2,FALSE),"")</x:f>
      </x:c>
      <x:c r="D86" s="108"/>
      <x:c r="E86" s="108"/>
      <x:c r="F86" s="108"/>
      <x:c r="G86" s="108"/>
      <x:c r="H86" s="108"/>
      <x:c r="I86" s="124"/>
      <x:c r="J86" s="108"/>
      <x:c r="K86" s="108"/>
      <x:c r="L86" s="161"/>
      <x:c r="M86" s="161"/>
      <x:c r="N86" s="161"/>
      <x:c r="O86" s="161"/>
      <x:c r="P86" s="161"/>
      <x:c r="Q86" s="161"/>
      <x:c r="R86" s="161"/>
      <x:c r="S86" s="161"/>
      <x:c r="T86" s="161"/>
      <x:c r="U86" s="161"/>
      <x:c r="V86" s="161"/>
      <x:c r="W86" s="161"/>
      <x:c r="X86" s="161"/>
      <x:c r="Y86" s="161"/>
      <x:c r="Z86" s="161"/>
    </x:row>
    <x:row r="87">
      <x:c r="A87" s="124"/>
      <x:c r="B87" s="108"/>
      <x:c r="C87" s="129" t="str">
        <x:f>IFERROR(VLOOKUP(B87,'03 Clientes'!$A$6:$N$200,2,FALSE),"")</x:f>
      </x:c>
      <x:c r="D87" s="108"/>
      <x:c r="E87" s="108"/>
      <x:c r="F87" s="108"/>
      <x:c r="G87" s="108"/>
      <x:c r="H87" s="108"/>
      <x:c r="I87" s="124"/>
      <x:c r="J87" s="108"/>
      <x:c r="K87" s="108"/>
      <x:c r="L87" s="161"/>
      <x:c r="M87" s="161"/>
      <x:c r="N87" s="161"/>
      <x:c r="O87" s="161"/>
      <x:c r="P87" s="161"/>
      <x:c r="Q87" s="161"/>
      <x:c r="R87" s="161"/>
      <x:c r="S87" s="161"/>
      <x:c r="T87" s="161"/>
      <x:c r="U87" s="161"/>
      <x:c r="V87" s="161"/>
      <x:c r="W87" s="161"/>
      <x:c r="X87" s="161"/>
      <x:c r="Y87" s="161"/>
      <x:c r="Z87" s="161"/>
    </x:row>
    <x:row r="88">
      <x:c r="A88" s="124"/>
      <x:c r="B88" s="108"/>
      <x:c r="C88" s="129" t="str">
        <x:f>IFERROR(VLOOKUP(B88,'03 Clientes'!$A$6:$N$200,2,FALSE),"")</x:f>
      </x:c>
      <x:c r="D88" s="108"/>
      <x:c r="E88" s="108"/>
      <x:c r="F88" s="108"/>
      <x:c r="G88" s="108"/>
      <x:c r="H88" s="108"/>
      <x:c r="I88" s="124"/>
      <x:c r="J88" s="108"/>
      <x:c r="K88" s="108"/>
      <x:c r="L88" s="161"/>
      <x:c r="M88" s="161"/>
      <x:c r="N88" s="161"/>
      <x:c r="O88" s="161"/>
      <x:c r="P88" s="161"/>
      <x:c r="Q88" s="161"/>
      <x:c r="R88" s="161"/>
      <x:c r="S88" s="161"/>
      <x:c r="T88" s="161"/>
      <x:c r="U88" s="161"/>
      <x:c r="V88" s="161"/>
      <x:c r="W88" s="161"/>
      <x:c r="X88" s="161"/>
      <x:c r="Y88" s="161"/>
      <x:c r="Z88" s="161"/>
    </x:row>
    <x:row r="89">
      <x:c r="A89" s="124"/>
      <x:c r="B89" s="108"/>
      <x:c r="C89" s="129" t="str">
        <x:f>IFERROR(VLOOKUP(B89,'03 Clientes'!$A$6:$N$200,2,FALSE),"")</x:f>
      </x:c>
      <x:c r="D89" s="108"/>
      <x:c r="E89" s="108"/>
      <x:c r="F89" s="108"/>
      <x:c r="G89" s="108"/>
      <x:c r="H89" s="108"/>
      <x:c r="I89" s="124"/>
      <x:c r="J89" s="108"/>
      <x:c r="K89" s="108"/>
      <x:c r="L89" s="161"/>
      <x:c r="M89" s="161"/>
      <x:c r="N89" s="161"/>
      <x:c r="O89" s="161"/>
      <x:c r="P89" s="161"/>
      <x:c r="Q89" s="161"/>
      <x:c r="R89" s="161"/>
      <x:c r="S89" s="161"/>
      <x:c r="T89" s="161"/>
      <x:c r="U89" s="161"/>
      <x:c r="V89" s="161"/>
      <x:c r="W89" s="161"/>
      <x:c r="X89" s="161"/>
      <x:c r="Y89" s="161"/>
      <x:c r="Z89" s="161"/>
    </x:row>
    <x:row r="90">
      <x:c r="A90" s="124"/>
      <x:c r="B90" s="108"/>
      <x:c r="C90" s="129" t="str">
        <x:f>IFERROR(VLOOKUP(B90,'03 Clientes'!$A$6:$N$200,2,FALSE),"")</x:f>
      </x:c>
      <x:c r="D90" s="108"/>
      <x:c r="E90" s="108"/>
      <x:c r="F90" s="108"/>
      <x:c r="G90" s="108"/>
      <x:c r="H90" s="108"/>
      <x:c r="I90" s="124"/>
      <x:c r="J90" s="108"/>
      <x:c r="K90" s="108"/>
      <x:c r="L90" s="161"/>
      <x:c r="M90" s="161"/>
      <x:c r="N90" s="161"/>
      <x:c r="O90" s="161"/>
      <x:c r="P90" s="161"/>
      <x:c r="Q90" s="161"/>
      <x:c r="R90" s="161"/>
      <x:c r="S90" s="161"/>
      <x:c r="T90" s="161"/>
      <x:c r="U90" s="161"/>
      <x:c r="V90" s="161"/>
      <x:c r="W90" s="161"/>
      <x:c r="X90" s="161"/>
      <x:c r="Y90" s="161"/>
      <x:c r="Z90" s="161"/>
    </x:row>
    <x:row r="91">
      <x:c r="A91" s="124"/>
      <x:c r="B91" s="108"/>
      <x:c r="C91" s="129" t="str">
        <x:f>IFERROR(VLOOKUP(B91,'03 Clientes'!$A$6:$N$200,2,FALSE),"")</x:f>
      </x:c>
      <x:c r="D91" s="108"/>
      <x:c r="E91" s="108"/>
      <x:c r="F91" s="108"/>
      <x:c r="G91" s="108"/>
      <x:c r="H91" s="108"/>
      <x:c r="I91" s="124"/>
      <x:c r="J91" s="108"/>
      <x:c r="K91" s="108"/>
      <x:c r="L91" s="161"/>
      <x:c r="M91" s="161"/>
      <x:c r="N91" s="161"/>
      <x:c r="O91" s="161"/>
      <x:c r="P91" s="161"/>
      <x:c r="Q91" s="161"/>
      <x:c r="R91" s="161"/>
      <x:c r="S91" s="161"/>
      <x:c r="T91" s="161"/>
      <x:c r="U91" s="161"/>
      <x:c r="V91" s="161"/>
      <x:c r="W91" s="161"/>
      <x:c r="X91" s="161"/>
      <x:c r="Y91" s="161"/>
      <x:c r="Z91" s="161"/>
    </x:row>
    <x:row r="92">
      <x:c r="A92" s="124"/>
      <x:c r="B92" s="108"/>
      <x:c r="C92" s="129" t="str">
        <x:f>IFERROR(VLOOKUP(B92,'03 Clientes'!$A$6:$N$200,2,FALSE),"")</x:f>
      </x:c>
      <x:c r="D92" s="108"/>
      <x:c r="E92" s="108"/>
      <x:c r="F92" s="108"/>
      <x:c r="G92" s="108"/>
      <x:c r="H92" s="108"/>
      <x:c r="I92" s="124"/>
      <x:c r="J92" s="108"/>
      <x:c r="K92" s="108"/>
      <x:c r="L92" s="161"/>
      <x:c r="M92" s="161"/>
      <x:c r="N92" s="161"/>
      <x:c r="O92" s="161"/>
      <x:c r="P92" s="161"/>
      <x:c r="Q92" s="161"/>
      <x:c r="R92" s="161"/>
      <x:c r="S92" s="161"/>
      <x:c r="T92" s="161"/>
      <x:c r="U92" s="161"/>
      <x:c r="V92" s="161"/>
      <x:c r="W92" s="161"/>
      <x:c r="X92" s="161"/>
      <x:c r="Y92" s="161"/>
      <x:c r="Z92" s="161"/>
    </x:row>
    <x:row r="93">
      <x:c r="A93" s="124"/>
      <x:c r="B93" s="108"/>
      <x:c r="C93" s="129" t="str">
        <x:f>IFERROR(VLOOKUP(B93,'03 Clientes'!$A$6:$N$200,2,FALSE),"")</x:f>
      </x:c>
      <x:c r="D93" s="108"/>
      <x:c r="E93" s="108"/>
      <x:c r="F93" s="108"/>
      <x:c r="G93" s="108"/>
      <x:c r="H93" s="108"/>
      <x:c r="I93" s="124"/>
      <x:c r="J93" s="108"/>
      <x:c r="K93" s="108"/>
      <x:c r="L93" s="161"/>
      <x:c r="M93" s="161"/>
      <x:c r="N93" s="161"/>
      <x:c r="O93" s="161"/>
      <x:c r="P93" s="161"/>
      <x:c r="Q93" s="161"/>
      <x:c r="R93" s="161"/>
      <x:c r="S93" s="161"/>
      <x:c r="T93" s="161"/>
      <x:c r="U93" s="161"/>
      <x:c r="V93" s="161"/>
      <x:c r="W93" s="161"/>
      <x:c r="X93" s="161"/>
      <x:c r="Y93" s="161"/>
      <x:c r="Z93" s="161"/>
    </x:row>
    <x:row r="94">
      <x:c r="A94" s="124"/>
      <x:c r="B94" s="108"/>
      <x:c r="C94" s="129" t="str">
        <x:f>IFERROR(VLOOKUP(B94,'03 Clientes'!$A$6:$N$200,2,FALSE),"")</x:f>
      </x:c>
      <x:c r="D94" s="108"/>
      <x:c r="E94" s="108"/>
      <x:c r="F94" s="108"/>
      <x:c r="G94" s="108"/>
      <x:c r="H94" s="108"/>
      <x:c r="I94" s="124"/>
      <x:c r="J94" s="108"/>
      <x:c r="K94" s="108"/>
      <x:c r="L94" s="161"/>
      <x:c r="M94" s="161"/>
      <x:c r="N94" s="161"/>
      <x:c r="O94" s="161"/>
      <x:c r="P94" s="161"/>
      <x:c r="Q94" s="161"/>
      <x:c r="R94" s="161"/>
      <x:c r="S94" s="161"/>
      <x:c r="T94" s="161"/>
      <x:c r="U94" s="161"/>
      <x:c r="V94" s="161"/>
      <x:c r="W94" s="161"/>
      <x:c r="X94" s="161"/>
      <x:c r="Y94" s="161"/>
      <x:c r="Z94" s="161"/>
    </x:row>
    <x:row r="95">
      <x:c r="A95" s="124"/>
      <x:c r="B95" s="108"/>
      <x:c r="C95" s="129" t="str">
        <x:f>IFERROR(VLOOKUP(B95,'03 Clientes'!$A$6:$N$200,2,FALSE),"")</x:f>
      </x:c>
      <x:c r="D95" s="108"/>
      <x:c r="E95" s="108"/>
      <x:c r="F95" s="108"/>
      <x:c r="G95" s="108"/>
      <x:c r="H95" s="108"/>
      <x:c r="I95" s="124"/>
      <x:c r="J95" s="108"/>
      <x:c r="K95" s="108"/>
      <x:c r="L95" s="161"/>
      <x:c r="M95" s="161"/>
      <x:c r="N95" s="161"/>
      <x:c r="O95" s="161"/>
      <x:c r="P95" s="161"/>
      <x:c r="Q95" s="161"/>
      <x:c r="R95" s="161"/>
      <x:c r="S95" s="161"/>
      <x:c r="T95" s="161"/>
      <x:c r="U95" s="161"/>
      <x:c r="V95" s="161"/>
      <x:c r="W95" s="161"/>
      <x:c r="X95" s="161"/>
      <x:c r="Y95" s="161"/>
      <x:c r="Z95" s="161"/>
    </x:row>
    <x:row r="96">
      <x:c r="A96" s="124"/>
      <x:c r="B96" s="108"/>
      <x:c r="C96" s="129" t="str">
        <x:f>IFERROR(VLOOKUP(B96,'03 Clientes'!$A$6:$N$200,2,FALSE),"")</x:f>
      </x:c>
      <x:c r="D96" s="108"/>
      <x:c r="E96" s="108"/>
      <x:c r="F96" s="108"/>
      <x:c r="G96" s="108"/>
      <x:c r="H96" s="108"/>
      <x:c r="I96" s="124"/>
      <x:c r="J96" s="108"/>
      <x:c r="K96" s="108"/>
      <x:c r="L96" s="161"/>
      <x:c r="M96" s="161"/>
      <x:c r="N96" s="161"/>
      <x:c r="O96" s="161"/>
      <x:c r="P96" s="161"/>
      <x:c r="Q96" s="161"/>
      <x:c r="R96" s="161"/>
      <x:c r="S96" s="161"/>
      <x:c r="T96" s="161"/>
      <x:c r="U96" s="161"/>
      <x:c r="V96" s="161"/>
      <x:c r="W96" s="161"/>
      <x:c r="X96" s="161"/>
      <x:c r="Y96" s="161"/>
      <x:c r="Z96" s="161"/>
    </x:row>
    <x:row r="97">
      <x:c r="A97" s="124"/>
      <x:c r="B97" s="108"/>
      <x:c r="C97" s="129" t="str">
        <x:f>IFERROR(VLOOKUP(B97,'03 Clientes'!$A$6:$N$200,2,FALSE),"")</x:f>
      </x:c>
      <x:c r="D97" s="108"/>
      <x:c r="E97" s="108"/>
      <x:c r="F97" s="108"/>
      <x:c r="G97" s="108"/>
      <x:c r="H97" s="108"/>
      <x:c r="I97" s="124"/>
      <x:c r="J97" s="108"/>
      <x:c r="K97" s="108"/>
      <x:c r="L97" s="161"/>
      <x:c r="M97" s="161"/>
      <x:c r="N97" s="161"/>
      <x:c r="O97" s="161"/>
      <x:c r="P97" s="161"/>
      <x:c r="Q97" s="161"/>
      <x:c r="R97" s="161"/>
      <x:c r="S97" s="161"/>
      <x:c r="T97" s="161"/>
      <x:c r="U97" s="161"/>
      <x:c r="V97" s="161"/>
      <x:c r="W97" s="161"/>
      <x:c r="X97" s="161"/>
      <x:c r="Y97" s="161"/>
      <x:c r="Z97" s="161"/>
    </x:row>
    <x:row r="98">
      <x:c r="A98" s="124"/>
      <x:c r="B98" s="108"/>
      <x:c r="C98" s="129" t="str">
        <x:f>IFERROR(VLOOKUP(B98,'03 Clientes'!$A$6:$N$200,2,FALSE),"")</x:f>
      </x:c>
      <x:c r="D98" s="108"/>
      <x:c r="E98" s="108"/>
      <x:c r="F98" s="108"/>
      <x:c r="G98" s="108"/>
      <x:c r="H98" s="108"/>
      <x:c r="I98" s="124"/>
      <x:c r="J98" s="108"/>
      <x:c r="K98" s="108"/>
      <x:c r="L98" s="161"/>
      <x:c r="M98" s="161"/>
      <x:c r="N98" s="161"/>
      <x:c r="O98" s="161"/>
      <x:c r="P98" s="161"/>
      <x:c r="Q98" s="161"/>
      <x:c r="R98" s="161"/>
      <x:c r="S98" s="161"/>
      <x:c r="T98" s="161"/>
      <x:c r="U98" s="161"/>
      <x:c r="V98" s="161"/>
      <x:c r="W98" s="161"/>
      <x:c r="X98" s="161"/>
      <x:c r="Y98" s="161"/>
      <x:c r="Z98" s="161"/>
    </x:row>
    <x:row r="99">
      <x:c r="A99" s="124"/>
      <x:c r="B99" s="108"/>
      <x:c r="C99" s="129" t="str">
        <x:f>IFERROR(VLOOKUP(B99,'03 Clientes'!$A$6:$N$200,2,FALSE),"")</x:f>
      </x:c>
      <x:c r="D99" s="108"/>
      <x:c r="E99" s="108"/>
      <x:c r="F99" s="108"/>
      <x:c r="G99" s="108"/>
      <x:c r="H99" s="108"/>
      <x:c r="I99" s="124"/>
      <x:c r="J99" s="108"/>
      <x:c r="K99" s="108"/>
      <x:c r="L99" s="161"/>
      <x:c r="M99" s="161"/>
      <x:c r="N99" s="161"/>
      <x:c r="O99" s="161"/>
      <x:c r="P99" s="161"/>
      <x:c r="Q99" s="161"/>
      <x:c r="R99" s="161"/>
      <x:c r="S99" s="161"/>
      <x:c r="T99" s="161"/>
      <x:c r="U99" s="161"/>
      <x:c r="V99" s="161"/>
      <x:c r="W99" s="161"/>
      <x:c r="X99" s="161"/>
      <x:c r="Y99" s="161"/>
      <x:c r="Z99" s="161"/>
    </x:row>
    <x:row r="100">
      <x:c r="A100" s="124"/>
      <x:c r="B100" s="108"/>
      <x:c r="C100" s="129" t="str">
        <x:f>IFERROR(VLOOKUP(B100,'03 Clientes'!$A$6:$N$200,2,FALSE),"")</x:f>
      </x:c>
      <x:c r="D100" s="108"/>
      <x:c r="E100" s="108"/>
      <x:c r="F100" s="108"/>
      <x:c r="G100" s="108"/>
      <x:c r="H100" s="108"/>
      <x:c r="I100" s="124"/>
      <x:c r="J100" s="108"/>
      <x:c r="K100" s="108"/>
      <x:c r="L100" s="161"/>
      <x:c r="M100" s="161"/>
      <x:c r="N100" s="161"/>
      <x:c r="O100" s="161"/>
      <x:c r="P100" s="161"/>
      <x:c r="Q100" s="161"/>
      <x:c r="R100" s="161"/>
      <x:c r="S100" s="161"/>
      <x:c r="T100" s="161"/>
      <x:c r="U100" s="161"/>
      <x:c r="V100" s="161"/>
      <x:c r="W100" s="161"/>
      <x:c r="X100" s="161"/>
      <x:c r="Y100" s="161"/>
      <x:c r="Z100" s="161"/>
    </x:row>
    <x:row r="101">
      <x:c r="A101" s="124"/>
      <x:c r="B101" s="108"/>
      <x:c r="C101" s="129" t="str">
        <x:f>IFERROR(VLOOKUP(B101,'03 Clientes'!$A$6:$N$200,2,FALSE),"")</x:f>
      </x:c>
      <x:c r="D101" s="108"/>
      <x:c r="E101" s="108"/>
      <x:c r="F101" s="108"/>
      <x:c r="G101" s="108"/>
      <x:c r="H101" s="108"/>
      <x:c r="I101" s="124"/>
      <x:c r="J101" s="108"/>
      <x:c r="K101" s="108"/>
      <x:c r="L101" s="161"/>
      <x:c r="M101" s="161"/>
      <x:c r="N101" s="161"/>
      <x:c r="O101" s="161"/>
      <x:c r="P101" s="161"/>
      <x:c r="Q101" s="161"/>
      <x:c r="R101" s="161"/>
      <x:c r="S101" s="161"/>
      <x:c r="T101" s="161"/>
      <x:c r="U101" s="161"/>
      <x:c r="V101" s="161"/>
      <x:c r="W101" s="161"/>
      <x:c r="X101" s="161"/>
      <x:c r="Y101" s="161"/>
      <x:c r="Z101" s="161"/>
    </x:row>
    <x:row r="102">
      <x:c r="A102" s="124"/>
      <x:c r="B102" s="108"/>
      <x:c r="C102" s="129" t="str">
        <x:f>IFERROR(VLOOKUP(B102,'03 Clientes'!$A$6:$N$200,2,FALSE),"")</x:f>
      </x:c>
      <x:c r="D102" s="108"/>
      <x:c r="E102" s="108"/>
      <x:c r="F102" s="108"/>
      <x:c r="G102" s="108"/>
      <x:c r="H102" s="108"/>
      <x:c r="I102" s="124"/>
      <x:c r="J102" s="108"/>
      <x:c r="K102" s="108"/>
      <x:c r="L102" s="161"/>
      <x:c r="M102" s="161"/>
      <x:c r="N102" s="161"/>
      <x:c r="O102" s="161"/>
      <x:c r="P102" s="161"/>
      <x:c r="Q102" s="161"/>
      <x:c r="R102" s="161"/>
      <x:c r="S102" s="161"/>
      <x:c r="T102" s="161"/>
      <x:c r="U102" s="161"/>
      <x:c r="V102" s="161"/>
      <x:c r="W102" s="161"/>
      <x:c r="X102" s="161"/>
      <x:c r="Y102" s="161"/>
      <x:c r="Z102" s="161"/>
    </x:row>
    <x:row r="103">
      <x:c r="A103" s="124"/>
      <x:c r="B103" s="108"/>
      <x:c r="C103" s="129" t="str">
        <x:f>IFERROR(VLOOKUP(B103,'03 Clientes'!$A$6:$N$200,2,FALSE),"")</x:f>
      </x:c>
      <x:c r="D103" s="108"/>
      <x:c r="E103" s="108"/>
      <x:c r="F103" s="108"/>
      <x:c r="G103" s="108"/>
      <x:c r="H103" s="108"/>
      <x:c r="I103" s="124"/>
      <x:c r="J103" s="108"/>
      <x:c r="K103" s="108"/>
      <x:c r="L103" s="161"/>
      <x:c r="M103" s="161"/>
      <x:c r="N103" s="161"/>
      <x:c r="O103" s="161"/>
      <x:c r="P103" s="161"/>
      <x:c r="Q103" s="161"/>
      <x:c r="R103" s="161"/>
      <x:c r="S103" s="161"/>
      <x:c r="T103" s="161"/>
      <x:c r="U103" s="161"/>
      <x:c r="V103" s="161"/>
      <x:c r="W103" s="161"/>
      <x:c r="X103" s="161"/>
      <x:c r="Y103" s="161"/>
      <x:c r="Z103" s="161"/>
    </x:row>
    <x:row r="104">
      <x:c r="A104" s="124"/>
      <x:c r="B104" s="108"/>
      <x:c r="C104" s="129" t="str">
        <x:f>IFERROR(VLOOKUP(B104,'03 Clientes'!$A$6:$N$200,2,FALSE),"")</x:f>
      </x:c>
      <x:c r="D104" s="108"/>
      <x:c r="E104" s="108"/>
      <x:c r="F104" s="108"/>
      <x:c r="G104" s="108"/>
      <x:c r="H104" s="108"/>
      <x:c r="I104" s="124"/>
      <x:c r="J104" s="108"/>
      <x:c r="K104" s="108"/>
      <x:c r="L104" s="161"/>
      <x:c r="M104" s="161"/>
      <x:c r="N104" s="161"/>
      <x:c r="O104" s="161"/>
      <x:c r="P104" s="161"/>
      <x:c r="Q104" s="161"/>
      <x:c r="R104" s="161"/>
      <x:c r="S104" s="161"/>
      <x:c r="T104" s="161"/>
      <x:c r="U104" s="161"/>
      <x:c r="V104" s="161"/>
      <x:c r="W104" s="161"/>
      <x:c r="X104" s="161"/>
      <x:c r="Y104" s="161"/>
      <x:c r="Z104" s="161"/>
    </x:row>
    <x:row r="105">
      <x:c r="A105" s="124"/>
      <x:c r="B105" s="108"/>
      <x:c r="C105" s="129" t="str">
        <x:f>IFERROR(VLOOKUP(B105,'03 Clientes'!$A$6:$N$200,2,FALSE),"")</x:f>
      </x:c>
      <x:c r="D105" s="108"/>
      <x:c r="E105" s="108"/>
      <x:c r="F105" s="108"/>
      <x:c r="G105" s="108"/>
      <x:c r="H105" s="108"/>
      <x:c r="I105" s="124"/>
      <x:c r="J105" s="108"/>
      <x:c r="K105" s="108"/>
      <x:c r="L105" s="161"/>
      <x:c r="M105" s="161"/>
      <x:c r="N105" s="161"/>
      <x:c r="O105" s="161"/>
      <x:c r="P105" s="161"/>
      <x:c r="Q105" s="161"/>
      <x:c r="R105" s="161"/>
      <x:c r="S105" s="161"/>
      <x:c r="T105" s="161"/>
      <x:c r="U105" s="161"/>
      <x:c r="V105" s="161"/>
      <x:c r="W105" s="161"/>
      <x:c r="X105" s="161"/>
      <x:c r="Y105" s="161"/>
      <x:c r="Z105" s="161"/>
    </x:row>
    <x:row r="106">
      <x:c r="A106" s="124"/>
      <x:c r="B106" s="108"/>
      <x:c r="C106" s="129" t="str">
        <x:f>IFERROR(VLOOKUP(B106,'03 Clientes'!$A$6:$N$200,2,FALSE),"")</x:f>
      </x:c>
      <x:c r="D106" s="108"/>
      <x:c r="E106" s="108"/>
      <x:c r="F106" s="108"/>
      <x:c r="G106" s="108"/>
      <x:c r="H106" s="108"/>
      <x:c r="I106" s="124"/>
      <x:c r="J106" s="108"/>
      <x:c r="K106" s="108"/>
      <x:c r="L106" s="161"/>
      <x:c r="M106" s="161"/>
      <x:c r="N106" s="161"/>
      <x:c r="O106" s="161"/>
      <x:c r="P106" s="161"/>
      <x:c r="Q106" s="161"/>
      <x:c r="R106" s="161"/>
      <x:c r="S106" s="161"/>
      <x:c r="T106" s="161"/>
      <x:c r="U106" s="161"/>
      <x:c r="V106" s="161"/>
      <x:c r="W106" s="161"/>
      <x:c r="X106" s="161"/>
      <x:c r="Y106" s="161"/>
      <x:c r="Z106" s="161"/>
    </x:row>
    <x:row r="107">
      <x:c r="A107" s="124"/>
      <x:c r="B107" s="108"/>
      <x:c r="C107" s="129" t="str">
        <x:f>IFERROR(VLOOKUP(B107,'03 Clientes'!$A$6:$N$200,2,FALSE),"")</x:f>
      </x:c>
      <x:c r="D107" s="108"/>
      <x:c r="E107" s="108"/>
      <x:c r="F107" s="108"/>
      <x:c r="G107" s="108"/>
      <x:c r="H107" s="108"/>
      <x:c r="I107" s="124"/>
      <x:c r="J107" s="108"/>
      <x:c r="K107" s="108"/>
      <x:c r="L107" s="161"/>
      <x:c r="M107" s="161"/>
      <x:c r="N107" s="161"/>
      <x:c r="O107" s="161"/>
      <x:c r="P107" s="161"/>
      <x:c r="Q107" s="161"/>
      <x:c r="R107" s="161"/>
      <x:c r="S107" s="161"/>
      <x:c r="T107" s="161"/>
      <x:c r="U107" s="161"/>
      <x:c r="V107" s="161"/>
      <x:c r="W107" s="161"/>
      <x:c r="X107" s="161"/>
      <x:c r="Y107" s="161"/>
      <x:c r="Z107" s="161"/>
    </x:row>
    <x:row r="108">
      <x:c r="A108" s="124"/>
      <x:c r="B108" s="108"/>
      <x:c r="C108" s="129" t="str">
        <x:f>IFERROR(VLOOKUP(B108,'03 Clientes'!$A$6:$N$200,2,FALSE),"")</x:f>
      </x:c>
      <x:c r="D108" s="108"/>
      <x:c r="E108" s="108"/>
      <x:c r="F108" s="108"/>
      <x:c r="G108" s="108"/>
      <x:c r="H108" s="108"/>
      <x:c r="I108" s="124"/>
      <x:c r="J108" s="108"/>
      <x:c r="K108" s="108"/>
      <x:c r="L108" s="161"/>
      <x:c r="M108" s="161"/>
      <x:c r="N108" s="161"/>
      <x:c r="O108" s="161"/>
      <x:c r="P108" s="161"/>
      <x:c r="Q108" s="161"/>
      <x:c r="R108" s="161"/>
      <x:c r="S108" s="161"/>
      <x:c r="T108" s="161"/>
      <x:c r="U108" s="161"/>
      <x:c r="V108" s="161"/>
      <x:c r="W108" s="161"/>
      <x:c r="X108" s="161"/>
      <x:c r="Y108" s="161"/>
      <x:c r="Z108" s="161"/>
    </x:row>
    <x:row r="109">
      <x:c r="A109" s="124"/>
      <x:c r="B109" s="108"/>
      <x:c r="C109" s="129" t="str">
        <x:f>IFERROR(VLOOKUP(B109,'03 Clientes'!$A$6:$N$200,2,FALSE),"")</x:f>
      </x:c>
      <x:c r="D109" s="108"/>
      <x:c r="E109" s="108"/>
      <x:c r="F109" s="108"/>
      <x:c r="G109" s="108"/>
      <x:c r="H109" s="108"/>
      <x:c r="I109" s="124"/>
      <x:c r="J109" s="108"/>
      <x:c r="K109" s="108"/>
      <x:c r="L109" s="161"/>
      <x:c r="M109" s="161"/>
      <x:c r="N109" s="161"/>
      <x:c r="O109" s="161"/>
      <x:c r="P109" s="161"/>
      <x:c r="Q109" s="161"/>
      <x:c r="R109" s="161"/>
      <x:c r="S109" s="161"/>
      <x:c r="T109" s="161"/>
      <x:c r="U109" s="161"/>
      <x:c r="V109" s="161"/>
      <x:c r="W109" s="161"/>
      <x:c r="X109" s="161"/>
      <x:c r="Y109" s="161"/>
      <x:c r="Z109" s="161"/>
    </x:row>
    <x:row r="110">
      <x:c r="A110" s="124"/>
      <x:c r="B110" s="108"/>
      <x:c r="C110" s="129" t="str">
        <x:f>IFERROR(VLOOKUP(B110,'03 Clientes'!$A$6:$N$200,2,FALSE),"")</x:f>
      </x:c>
      <x:c r="D110" s="108"/>
      <x:c r="E110" s="108"/>
      <x:c r="F110" s="108"/>
      <x:c r="G110" s="108"/>
      <x:c r="H110" s="108"/>
      <x:c r="I110" s="124"/>
      <x:c r="J110" s="108"/>
      <x:c r="K110" s="108"/>
      <x:c r="L110" s="161"/>
      <x:c r="M110" s="161"/>
      <x:c r="N110" s="161"/>
      <x:c r="O110" s="161"/>
      <x:c r="P110" s="161"/>
      <x:c r="Q110" s="161"/>
      <x:c r="R110" s="161"/>
      <x:c r="S110" s="161"/>
      <x:c r="T110" s="161"/>
      <x:c r="U110" s="161"/>
      <x:c r="V110" s="161"/>
      <x:c r="W110" s="161"/>
      <x:c r="X110" s="161"/>
      <x:c r="Y110" s="161"/>
      <x:c r="Z110" s="161"/>
    </x:row>
    <x:row r="111">
      <x:c r="A111" s="124"/>
      <x:c r="B111" s="108"/>
      <x:c r="C111" s="129" t="str">
        <x:f>IFERROR(VLOOKUP(B111,'03 Clientes'!$A$6:$N$200,2,FALSE),"")</x:f>
      </x:c>
      <x:c r="D111" s="108"/>
      <x:c r="E111" s="108"/>
      <x:c r="F111" s="108"/>
      <x:c r="G111" s="108"/>
      <x:c r="H111" s="108"/>
      <x:c r="I111" s="124"/>
      <x:c r="J111" s="108"/>
      <x:c r="K111" s="108"/>
      <x:c r="L111" s="161"/>
      <x:c r="M111" s="161"/>
      <x:c r="N111" s="161"/>
      <x:c r="O111" s="161"/>
      <x:c r="P111" s="161"/>
      <x:c r="Q111" s="161"/>
      <x:c r="R111" s="161"/>
      <x:c r="S111" s="161"/>
      <x:c r="T111" s="161"/>
      <x:c r="U111" s="161"/>
      <x:c r="V111" s="161"/>
      <x:c r="W111" s="161"/>
      <x:c r="X111" s="161"/>
      <x:c r="Y111" s="161"/>
      <x:c r="Z111" s="161"/>
    </x:row>
    <x:row r="112">
      <x:c r="A112" s="124"/>
      <x:c r="B112" s="108"/>
      <x:c r="C112" s="129" t="str">
        <x:f>IFERROR(VLOOKUP(B112,'03 Clientes'!$A$6:$N$200,2,FALSE),"")</x:f>
      </x:c>
      <x:c r="D112" s="108"/>
      <x:c r="E112" s="108"/>
      <x:c r="F112" s="108"/>
      <x:c r="G112" s="108"/>
      <x:c r="H112" s="108"/>
      <x:c r="I112" s="124"/>
      <x:c r="J112" s="108"/>
      <x:c r="K112" s="108"/>
      <x:c r="L112" s="161"/>
      <x:c r="M112" s="161"/>
      <x:c r="N112" s="161"/>
      <x:c r="O112" s="161"/>
      <x:c r="P112" s="161"/>
      <x:c r="Q112" s="161"/>
      <x:c r="R112" s="161"/>
      <x:c r="S112" s="161"/>
      <x:c r="T112" s="161"/>
      <x:c r="U112" s="161"/>
      <x:c r="V112" s="161"/>
      <x:c r="W112" s="161"/>
      <x:c r="X112" s="161"/>
      <x:c r="Y112" s="161"/>
      <x:c r="Z112" s="161"/>
    </x:row>
    <x:row r="113">
      <x:c r="A113" s="124"/>
      <x:c r="B113" s="108"/>
      <x:c r="C113" s="129" t="str">
        <x:f>IFERROR(VLOOKUP(B113,'03 Clientes'!$A$6:$N$200,2,FALSE),"")</x:f>
      </x:c>
      <x:c r="D113" s="108"/>
      <x:c r="E113" s="108"/>
      <x:c r="F113" s="108"/>
      <x:c r="G113" s="108"/>
      <x:c r="H113" s="108"/>
      <x:c r="I113" s="124"/>
      <x:c r="J113" s="108"/>
      <x:c r="K113" s="108"/>
      <x:c r="L113" s="161"/>
      <x:c r="M113" s="161"/>
      <x:c r="N113" s="161"/>
      <x:c r="O113" s="161"/>
      <x:c r="P113" s="161"/>
      <x:c r="Q113" s="161"/>
      <x:c r="R113" s="161"/>
      <x:c r="S113" s="161"/>
      <x:c r="T113" s="161"/>
      <x:c r="U113" s="161"/>
      <x:c r="V113" s="161"/>
      <x:c r="W113" s="161"/>
      <x:c r="X113" s="161"/>
      <x:c r="Y113" s="161"/>
      <x:c r="Z113" s="161"/>
    </x:row>
    <x:row r="114">
      <x:c r="A114" s="124"/>
      <x:c r="B114" s="108"/>
      <x:c r="C114" s="129" t="str">
        <x:f>IFERROR(VLOOKUP(B114,'03 Clientes'!$A$6:$N$200,2,FALSE),"")</x:f>
      </x:c>
      <x:c r="D114" s="108"/>
      <x:c r="E114" s="108"/>
      <x:c r="F114" s="108"/>
      <x:c r="G114" s="108"/>
      <x:c r="H114" s="108"/>
      <x:c r="I114" s="124"/>
      <x:c r="J114" s="108"/>
      <x:c r="K114" s="108"/>
      <x:c r="L114" s="161"/>
      <x:c r="M114" s="161"/>
      <x:c r="N114" s="161"/>
      <x:c r="O114" s="161"/>
      <x:c r="P114" s="161"/>
      <x:c r="Q114" s="161"/>
      <x:c r="R114" s="161"/>
      <x:c r="S114" s="161"/>
      <x:c r="T114" s="161"/>
      <x:c r="U114" s="161"/>
      <x:c r="V114" s="161"/>
      <x:c r="W114" s="161"/>
      <x:c r="X114" s="161"/>
      <x:c r="Y114" s="161"/>
      <x:c r="Z114" s="161"/>
    </x:row>
    <x:row r="115">
      <x:c r="A115" s="124"/>
      <x:c r="B115" s="108"/>
      <x:c r="C115" s="129" t="str">
        <x:f>IFERROR(VLOOKUP(B115,'03 Clientes'!$A$6:$N$200,2,FALSE),"")</x:f>
      </x:c>
      <x:c r="D115" s="108"/>
      <x:c r="E115" s="108"/>
      <x:c r="F115" s="108"/>
      <x:c r="G115" s="108"/>
      <x:c r="H115" s="108"/>
      <x:c r="I115" s="124"/>
      <x:c r="J115" s="108"/>
      <x:c r="K115" s="108"/>
      <x:c r="L115" s="161"/>
      <x:c r="M115" s="161"/>
      <x:c r="N115" s="161"/>
      <x:c r="O115" s="161"/>
      <x:c r="P115" s="161"/>
      <x:c r="Q115" s="161"/>
      <x:c r="R115" s="161"/>
      <x:c r="S115" s="161"/>
      <x:c r="T115" s="161"/>
      <x:c r="U115" s="161"/>
      <x:c r="V115" s="161"/>
      <x:c r="W115" s="161"/>
      <x:c r="X115" s="161"/>
      <x:c r="Y115" s="161"/>
      <x:c r="Z115" s="161"/>
    </x:row>
    <x:row r="116">
      <x:c r="A116" s="124"/>
      <x:c r="B116" s="108"/>
      <x:c r="C116" s="129" t="str">
        <x:f>IFERROR(VLOOKUP(B116,'03 Clientes'!$A$6:$N$200,2,FALSE),"")</x:f>
      </x:c>
      <x:c r="D116" s="108"/>
      <x:c r="E116" s="108"/>
      <x:c r="F116" s="108"/>
      <x:c r="G116" s="108"/>
      <x:c r="H116" s="108"/>
      <x:c r="I116" s="124"/>
      <x:c r="J116" s="108"/>
      <x:c r="K116" s="108"/>
      <x:c r="L116" s="161"/>
      <x:c r="M116" s="161"/>
      <x:c r="N116" s="161"/>
      <x:c r="O116" s="161"/>
      <x:c r="P116" s="161"/>
      <x:c r="Q116" s="161"/>
      <x:c r="R116" s="161"/>
      <x:c r="S116" s="161"/>
      <x:c r="T116" s="161"/>
      <x:c r="U116" s="161"/>
      <x:c r="V116" s="161"/>
      <x:c r="W116" s="161"/>
      <x:c r="X116" s="161"/>
      <x:c r="Y116" s="161"/>
      <x:c r="Z116" s="161"/>
    </x:row>
    <x:row r="117">
      <x:c r="A117" s="124"/>
      <x:c r="B117" s="108"/>
      <x:c r="C117" s="129" t="str">
        <x:f>IFERROR(VLOOKUP(B117,'03 Clientes'!$A$6:$N$200,2,FALSE),"")</x:f>
      </x:c>
      <x:c r="D117" s="108"/>
      <x:c r="E117" s="108"/>
      <x:c r="F117" s="108"/>
      <x:c r="G117" s="108"/>
      <x:c r="H117" s="108"/>
      <x:c r="I117" s="124"/>
      <x:c r="J117" s="108"/>
      <x:c r="K117" s="108"/>
      <x:c r="L117" s="161"/>
      <x:c r="M117" s="161"/>
      <x:c r="N117" s="161"/>
      <x:c r="O117" s="161"/>
      <x:c r="P117" s="161"/>
      <x:c r="Q117" s="161"/>
      <x:c r="R117" s="161"/>
      <x:c r="S117" s="161"/>
      <x:c r="T117" s="161"/>
      <x:c r="U117" s="161"/>
      <x:c r="V117" s="161"/>
      <x:c r="W117" s="161"/>
      <x:c r="X117" s="161"/>
      <x:c r="Y117" s="161"/>
      <x:c r="Z117" s="161"/>
    </x:row>
    <x:row r="118">
      <x:c r="A118" s="124"/>
      <x:c r="B118" s="108"/>
      <x:c r="C118" s="129" t="str">
        <x:f>IFERROR(VLOOKUP(B118,'03 Clientes'!$A$6:$N$200,2,FALSE),"")</x:f>
      </x:c>
      <x:c r="D118" s="108"/>
      <x:c r="E118" s="108"/>
      <x:c r="F118" s="108"/>
      <x:c r="G118" s="108"/>
      <x:c r="H118" s="108"/>
      <x:c r="I118" s="124"/>
      <x:c r="J118" s="108"/>
      <x:c r="K118" s="108"/>
      <x:c r="L118" s="161"/>
      <x:c r="M118" s="161"/>
      <x:c r="N118" s="161"/>
      <x:c r="O118" s="161"/>
      <x:c r="P118" s="161"/>
      <x:c r="Q118" s="161"/>
      <x:c r="R118" s="161"/>
      <x:c r="S118" s="161"/>
      <x:c r="T118" s="161"/>
      <x:c r="U118" s="161"/>
      <x:c r="V118" s="161"/>
      <x:c r="W118" s="161"/>
      <x:c r="X118" s="161"/>
      <x:c r="Y118" s="161"/>
      <x:c r="Z118" s="161"/>
    </x:row>
    <x:row r="119">
      <x:c r="A119" s="124"/>
      <x:c r="B119" s="108"/>
      <x:c r="C119" s="129" t="str">
        <x:f>IFERROR(VLOOKUP(B119,'03 Clientes'!$A$6:$N$200,2,FALSE),"")</x:f>
      </x:c>
      <x:c r="D119" s="108"/>
      <x:c r="E119" s="108"/>
      <x:c r="F119" s="108"/>
      <x:c r="G119" s="108"/>
      <x:c r="H119" s="108"/>
      <x:c r="I119" s="124"/>
      <x:c r="J119" s="108"/>
      <x:c r="K119" s="108"/>
      <x:c r="L119" s="161"/>
      <x:c r="M119" s="161"/>
      <x:c r="N119" s="161"/>
      <x:c r="O119" s="161"/>
      <x:c r="P119" s="161"/>
      <x:c r="Q119" s="161"/>
      <x:c r="R119" s="161"/>
      <x:c r="S119" s="161"/>
      <x:c r="T119" s="161"/>
      <x:c r="U119" s="161"/>
      <x:c r="V119" s="161"/>
      <x:c r="W119" s="161"/>
      <x:c r="X119" s="161"/>
      <x:c r="Y119" s="161"/>
      <x:c r="Z119" s="161"/>
    </x:row>
    <x:row r="120">
      <x:c r="A120" s="124"/>
      <x:c r="B120" s="108"/>
      <x:c r="C120" s="129" t="str">
        <x:f>IFERROR(VLOOKUP(B120,'03 Clientes'!$A$6:$N$200,2,FALSE),"")</x:f>
      </x:c>
      <x:c r="D120" s="108"/>
      <x:c r="E120" s="108"/>
      <x:c r="F120" s="108"/>
      <x:c r="G120" s="108"/>
      <x:c r="H120" s="108"/>
      <x:c r="I120" s="124"/>
      <x:c r="J120" s="108"/>
      <x:c r="K120" s="108"/>
      <x:c r="L120" s="161"/>
      <x:c r="M120" s="161"/>
      <x:c r="N120" s="161"/>
      <x:c r="O120" s="161"/>
      <x:c r="P120" s="161"/>
      <x:c r="Q120" s="161"/>
      <x:c r="R120" s="161"/>
      <x:c r="S120" s="161"/>
      <x:c r="T120" s="161"/>
      <x:c r="U120" s="161"/>
      <x:c r="V120" s="161"/>
      <x:c r="W120" s="161"/>
      <x:c r="X120" s="161"/>
      <x:c r="Y120" s="161"/>
      <x:c r="Z120" s="161"/>
    </x:row>
    <x:row r="121">
      <x:c r="A121" s="124"/>
      <x:c r="B121" s="108"/>
      <x:c r="C121" s="129" t="str">
        <x:f>IFERROR(VLOOKUP(B121,'03 Clientes'!$A$6:$N$200,2,FALSE),"")</x:f>
      </x:c>
      <x:c r="D121" s="108"/>
      <x:c r="E121" s="108"/>
      <x:c r="F121" s="108"/>
      <x:c r="G121" s="108"/>
      <x:c r="H121" s="108"/>
      <x:c r="I121" s="124"/>
      <x:c r="J121" s="108"/>
      <x:c r="K121" s="108"/>
      <x:c r="L121" s="161"/>
      <x:c r="M121" s="161"/>
      <x:c r="N121" s="161"/>
      <x:c r="O121" s="161"/>
      <x:c r="P121" s="161"/>
      <x:c r="Q121" s="161"/>
      <x:c r="R121" s="161"/>
      <x:c r="S121" s="161"/>
      <x:c r="T121" s="161"/>
      <x:c r="U121" s="161"/>
      <x:c r="V121" s="161"/>
      <x:c r="W121" s="161"/>
      <x:c r="X121" s="161"/>
      <x:c r="Y121" s="161"/>
      <x:c r="Z121" s="161"/>
    </x:row>
    <x:row r="122">
      <x:c r="A122" s="124"/>
      <x:c r="B122" s="108"/>
      <x:c r="C122" s="129" t="str">
        <x:f>IFERROR(VLOOKUP(B122,'03 Clientes'!$A$6:$N$200,2,FALSE),"")</x:f>
      </x:c>
      <x:c r="D122" s="108"/>
      <x:c r="E122" s="108"/>
      <x:c r="F122" s="108"/>
      <x:c r="G122" s="108"/>
      <x:c r="H122" s="108"/>
      <x:c r="I122" s="124"/>
      <x:c r="J122" s="108"/>
      <x:c r="K122" s="108"/>
      <x:c r="L122" s="161"/>
      <x:c r="M122" s="161"/>
      <x:c r="N122" s="161"/>
      <x:c r="O122" s="161"/>
      <x:c r="P122" s="161"/>
      <x:c r="Q122" s="161"/>
      <x:c r="R122" s="161"/>
      <x:c r="S122" s="161"/>
      <x:c r="T122" s="161"/>
      <x:c r="U122" s="161"/>
      <x:c r="V122" s="161"/>
      <x:c r="W122" s="161"/>
      <x:c r="X122" s="161"/>
      <x:c r="Y122" s="161"/>
      <x:c r="Z122" s="161"/>
    </x:row>
    <x:row r="123">
      <x:c r="A123" s="124"/>
      <x:c r="B123" s="108"/>
      <x:c r="C123" s="129" t="str">
        <x:f>IFERROR(VLOOKUP(B123,'03 Clientes'!$A$6:$N$200,2,FALSE),"")</x:f>
      </x:c>
      <x:c r="D123" s="108"/>
      <x:c r="E123" s="108"/>
      <x:c r="F123" s="108"/>
      <x:c r="G123" s="108"/>
      <x:c r="H123" s="108"/>
      <x:c r="I123" s="124"/>
      <x:c r="J123" s="108"/>
      <x:c r="K123" s="108"/>
      <x:c r="L123" s="161"/>
      <x:c r="M123" s="161"/>
      <x:c r="N123" s="161"/>
      <x:c r="O123" s="161"/>
      <x:c r="P123" s="161"/>
      <x:c r="Q123" s="161"/>
      <x:c r="R123" s="161"/>
      <x:c r="S123" s="161"/>
      <x:c r="T123" s="161"/>
      <x:c r="U123" s="161"/>
      <x:c r="V123" s="161"/>
      <x:c r="W123" s="161"/>
      <x:c r="X123" s="161"/>
      <x:c r="Y123" s="161"/>
      <x:c r="Z123" s="161"/>
    </x:row>
    <x:row r="124">
      <x:c r="A124" s="124"/>
      <x:c r="B124" s="108"/>
      <x:c r="C124" s="129" t="str">
        <x:f>IFERROR(VLOOKUP(B124,'03 Clientes'!$A$6:$N$200,2,FALSE),"")</x:f>
      </x:c>
      <x:c r="D124" s="108"/>
      <x:c r="E124" s="108"/>
      <x:c r="F124" s="108"/>
      <x:c r="G124" s="108"/>
      <x:c r="H124" s="108"/>
      <x:c r="I124" s="124"/>
      <x:c r="J124" s="108"/>
      <x:c r="K124" s="108"/>
      <x:c r="L124" s="161"/>
      <x:c r="M124" s="161"/>
      <x:c r="N124" s="161"/>
      <x:c r="O124" s="161"/>
      <x:c r="P124" s="161"/>
      <x:c r="Q124" s="161"/>
      <x:c r="R124" s="161"/>
      <x:c r="S124" s="161"/>
      <x:c r="T124" s="161"/>
      <x:c r="U124" s="161"/>
      <x:c r="V124" s="161"/>
      <x:c r="W124" s="161"/>
      <x:c r="X124" s="161"/>
      <x:c r="Y124" s="161"/>
      <x:c r="Z124" s="161"/>
    </x:row>
    <x:row r="125">
      <x:c r="A125" s="124"/>
      <x:c r="B125" s="108"/>
      <x:c r="C125" s="129" t="str">
        <x:f>IFERROR(VLOOKUP(B125,'03 Clientes'!$A$6:$N$200,2,FALSE),"")</x:f>
      </x:c>
      <x:c r="D125" s="108"/>
      <x:c r="E125" s="108"/>
      <x:c r="F125" s="108"/>
      <x:c r="G125" s="108"/>
      <x:c r="H125" s="108"/>
      <x:c r="I125" s="124"/>
      <x:c r="J125" s="108"/>
      <x:c r="K125" s="108"/>
      <x:c r="L125" s="161"/>
      <x:c r="M125" s="161"/>
      <x:c r="N125" s="161"/>
      <x:c r="O125" s="161"/>
      <x:c r="P125" s="161"/>
      <x:c r="Q125" s="161"/>
      <x:c r="R125" s="161"/>
      <x:c r="S125" s="161"/>
      <x:c r="T125" s="161"/>
      <x:c r="U125" s="161"/>
      <x:c r="V125" s="161"/>
      <x:c r="W125" s="161"/>
      <x:c r="X125" s="161"/>
      <x:c r="Y125" s="161"/>
      <x:c r="Z125" s="161"/>
    </x:row>
    <x:row r="126">
      <x:c r="A126" s="124"/>
      <x:c r="B126" s="108"/>
      <x:c r="C126" s="129" t="str">
        <x:f>IFERROR(VLOOKUP(B126,'03 Clientes'!$A$6:$N$200,2,FALSE),"")</x:f>
      </x:c>
      <x:c r="D126" s="108"/>
      <x:c r="E126" s="108"/>
      <x:c r="F126" s="108"/>
      <x:c r="G126" s="108"/>
      <x:c r="H126" s="108"/>
      <x:c r="I126" s="124"/>
      <x:c r="J126" s="108"/>
      <x:c r="K126" s="108"/>
      <x:c r="L126" s="161"/>
      <x:c r="M126" s="161"/>
      <x:c r="N126" s="161"/>
      <x:c r="O126" s="161"/>
      <x:c r="P126" s="161"/>
      <x:c r="Q126" s="161"/>
      <x:c r="R126" s="161"/>
      <x:c r="S126" s="161"/>
      <x:c r="T126" s="161"/>
      <x:c r="U126" s="161"/>
      <x:c r="V126" s="161"/>
      <x:c r="W126" s="161"/>
      <x:c r="X126" s="161"/>
      <x:c r="Y126" s="161"/>
      <x:c r="Z126" s="161"/>
    </x:row>
    <x:row r="127">
      <x:c r="A127" s="124"/>
      <x:c r="B127" s="108"/>
      <x:c r="C127" s="129" t="str">
        <x:f>IFERROR(VLOOKUP(B127,'03 Clientes'!$A$6:$N$200,2,FALSE),"")</x:f>
      </x:c>
      <x:c r="D127" s="108"/>
      <x:c r="E127" s="108"/>
      <x:c r="F127" s="108"/>
      <x:c r="G127" s="108"/>
      <x:c r="H127" s="108"/>
      <x:c r="I127" s="124"/>
      <x:c r="J127" s="108"/>
      <x:c r="K127" s="108"/>
      <x:c r="L127" s="161"/>
      <x:c r="M127" s="161"/>
      <x:c r="N127" s="161"/>
      <x:c r="O127" s="161"/>
      <x:c r="P127" s="161"/>
      <x:c r="Q127" s="161"/>
      <x:c r="R127" s="161"/>
      <x:c r="S127" s="161"/>
      <x:c r="T127" s="161"/>
      <x:c r="U127" s="161"/>
      <x:c r="V127" s="161"/>
      <x:c r="W127" s="161"/>
      <x:c r="X127" s="161"/>
      <x:c r="Y127" s="161"/>
      <x:c r="Z127" s="161"/>
    </x:row>
    <x:row r="128">
      <x:c r="A128" s="124"/>
      <x:c r="B128" s="108"/>
      <x:c r="C128" s="129" t="str">
        <x:f>IFERROR(VLOOKUP(B128,'03 Clientes'!$A$6:$N$200,2,FALSE),"")</x:f>
      </x:c>
      <x:c r="D128" s="108"/>
      <x:c r="E128" s="108"/>
      <x:c r="F128" s="108"/>
      <x:c r="G128" s="108"/>
      <x:c r="H128" s="108"/>
      <x:c r="I128" s="124"/>
      <x:c r="J128" s="108"/>
      <x:c r="K128" s="108"/>
      <x:c r="L128" s="161"/>
      <x:c r="M128" s="161"/>
      <x:c r="N128" s="161"/>
      <x:c r="O128" s="161"/>
      <x:c r="P128" s="161"/>
      <x:c r="Q128" s="161"/>
      <x:c r="R128" s="161"/>
      <x:c r="S128" s="161"/>
      <x:c r="T128" s="161"/>
      <x:c r="U128" s="161"/>
      <x:c r="V128" s="161"/>
      <x:c r="W128" s="161"/>
      <x:c r="X128" s="161"/>
      <x:c r="Y128" s="161"/>
      <x:c r="Z128" s="161"/>
    </x:row>
    <x:row r="129">
      <x:c r="A129" s="124"/>
      <x:c r="B129" s="108"/>
      <x:c r="C129" s="129" t="str">
        <x:f>IFERROR(VLOOKUP(B129,'03 Clientes'!$A$6:$N$200,2,FALSE),"")</x:f>
      </x:c>
      <x:c r="D129" s="108"/>
      <x:c r="E129" s="108"/>
      <x:c r="F129" s="108"/>
      <x:c r="G129" s="108"/>
      <x:c r="H129" s="108"/>
      <x:c r="I129" s="124"/>
      <x:c r="J129" s="108"/>
      <x:c r="K129" s="108"/>
      <x:c r="L129" s="161"/>
      <x:c r="M129" s="161"/>
      <x:c r="N129" s="161"/>
      <x:c r="O129" s="161"/>
      <x:c r="P129" s="161"/>
      <x:c r="Q129" s="161"/>
      <x:c r="R129" s="161"/>
      <x:c r="S129" s="161"/>
      <x:c r="T129" s="161"/>
      <x:c r="U129" s="161"/>
      <x:c r="V129" s="161"/>
      <x:c r="W129" s="161"/>
      <x:c r="X129" s="161"/>
      <x:c r="Y129" s="161"/>
      <x:c r="Z129" s="161"/>
    </x:row>
    <x:row r="130">
      <x:c r="A130" s="124"/>
      <x:c r="B130" s="108"/>
      <x:c r="C130" s="129" t="str">
        <x:f>IFERROR(VLOOKUP(B130,'03 Clientes'!$A$6:$N$200,2,FALSE),"")</x:f>
      </x:c>
      <x:c r="D130" s="108"/>
      <x:c r="E130" s="108"/>
      <x:c r="F130" s="108"/>
      <x:c r="G130" s="108"/>
      <x:c r="H130" s="108"/>
      <x:c r="I130" s="124"/>
      <x:c r="J130" s="108"/>
      <x:c r="K130" s="108"/>
      <x:c r="L130" s="161"/>
      <x:c r="M130" s="161"/>
      <x:c r="N130" s="161"/>
      <x:c r="O130" s="161"/>
      <x:c r="P130" s="161"/>
      <x:c r="Q130" s="161"/>
      <x:c r="R130" s="161"/>
      <x:c r="S130" s="161"/>
      <x:c r="T130" s="161"/>
      <x:c r="U130" s="161"/>
      <x:c r="V130" s="161"/>
      <x:c r="W130" s="161"/>
      <x:c r="X130" s="161"/>
      <x:c r="Y130" s="161"/>
      <x:c r="Z130" s="161"/>
    </x:row>
    <x:row r="131">
      <x:c r="A131" s="124"/>
      <x:c r="B131" s="108"/>
      <x:c r="C131" s="129" t="str">
        <x:f>IFERROR(VLOOKUP(B131,'03 Clientes'!$A$6:$N$200,2,FALSE),"")</x:f>
      </x:c>
      <x:c r="D131" s="108"/>
      <x:c r="E131" s="108"/>
      <x:c r="F131" s="108"/>
      <x:c r="G131" s="108"/>
      <x:c r="H131" s="108"/>
      <x:c r="I131" s="124"/>
      <x:c r="J131" s="108"/>
      <x:c r="K131" s="108"/>
      <x:c r="L131" s="161"/>
      <x:c r="M131" s="161"/>
      <x:c r="N131" s="161"/>
      <x:c r="O131" s="161"/>
      <x:c r="P131" s="161"/>
      <x:c r="Q131" s="161"/>
      <x:c r="R131" s="161"/>
      <x:c r="S131" s="161"/>
      <x:c r="T131" s="161"/>
      <x:c r="U131" s="161"/>
      <x:c r="V131" s="161"/>
      <x:c r="W131" s="161"/>
      <x:c r="X131" s="161"/>
      <x:c r="Y131" s="161"/>
      <x:c r="Z131" s="161"/>
    </x:row>
    <x:row r="132">
      <x:c r="A132" s="124"/>
      <x:c r="B132" s="108"/>
      <x:c r="C132" s="129" t="str">
        <x:f>IFERROR(VLOOKUP(B132,'03 Clientes'!$A$6:$N$200,2,FALSE),"")</x:f>
      </x:c>
      <x:c r="D132" s="108"/>
      <x:c r="E132" s="108"/>
      <x:c r="F132" s="108"/>
      <x:c r="G132" s="108"/>
      <x:c r="H132" s="108"/>
      <x:c r="I132" s="124"/>
      <x:c r="J132" s="108"/>
      <x:c r="K132" s="108"/>
      <x:c r="L132" s="161"/>
      <x:c r="M132" s="161"/>
      <x:c r="N132" s="161"/>
      <x:c r="O132" s="161"/>
      <x:c r="P132" s="161"/>
      <x:c r="Q132" s="161"/>
      <x:c r="R132" s="161"/>
      <x:c r="S132" s="161"/>
      <x:c r="T132" s="161"/>
      <x:c r="U132" s="161"/>
      <x:c r="V132" s="161"/>
      <x:c r="W132" s="161"/>
      <x:c r="X132" s="161"/>
      <x:c r="Y132" s="161"/>
      <x:c r="Z132" s="161"/>
    </x:row>
    <x:row r="133">
      <x:c r="A133" s="124"/>
      <x:c r="B133" s="108"/>
      <x:c r="C133" s="129" t="str">
        <x:f>IFERROR(VLOOKUP(B133,'03 Clientes'!$A$6:$N$200,2,FALSE),"")</x:f>
      </x:c>
      <x:c r="D133" s="108"/>
      <x:c r="E133" s="108"/>
      <x:c r="F133" s="108"/>
      <x:c r="G133" s="108"/>
      <x:c r="H133" s="108"/>
      <x:c r="I133" s="124"/>
      <x:c r="J133" s="108"/>
      <x:c r="K133" s="108"/>
      <x:c r="L133" s="161"/>
      <x:c r="M133" s="161"/>
      <x:c r="N133" s="161"/>
      <x:c r="O133" s="161"/>
      <x:c r="P133" s="161"/>
      <x:c r="Q133" s="161"/>
      <x:c r="R133" s="161"/>
      <x:c r="S133" s="161"/>
      <x:c r="T133" s="161"/>
      <x:c r="U133" s="161"/>
      <x:c r="V133" s="161"/>
      <x:c r="W133" s="161"/>
      <x:c r="X133" s="161"/>
      <x:c r="Y133" s="161"/>
      <x:c r="Z133" s="161"/>
    </x:row>
    <x:row r="134">
      <x:c r="A134" s="124"/>
      <x:c r="B134" s="108"/>
      <x:c r="C134" s="129" t="str">
        <x:f>IFERROR(VLOOKUP(B134,'03 Clientes'!$A$6:$N$200,2,FALSE),"")</x:f>
      </x:c>
      <x:c r="D134" s="108"/>
      <x:c r="E134" s="108"/>
      <x:c r="F134" s="108"/>
      <x:c r="G134" s="108"/>
      <x:c r="H134" s="108"/>
      <x:c r="I134" s="124"/>
      <x:c r="J134" s="108"/>
      <x:c r="K134" s="108"/>
      <x:c r="L134" s="161"/>
      <x:c r="M134" s="161"/>
      <x:c r="N134" s="161"/>
      <x:c r="O134" s="161"/>
      <x:c r="P134" s="161"/>
      <x:c r="Q134" s="161"/>
      <x:c r="R134" s="161"/>
      <x:c r="S134" s="161"/>
      <x:c r="T134" s="161"/>
      <x:c r="U134" s="161"/>
      <x:c r="V134" s="161"/>
      <x:c r="W134" s="161"/>
      <x:c r="X134" s="161"/>
      <x:c r="Y134" s="161"/>
      <x:c r="Z134" s="161"/>
    </x:row>
    <x:row r="135">
      <x:c r="A135" s="124"/>
      <x:c r="B135" s="108"/>
      <x:c r="C135" s="129" t="str">
        <x:f>IFERROR(VLOOKUP(B135,'03 Clientes'!$A$6:$N$200,2,FALSE),"")</x:f>
      </x:c>
      <x:c r="D135" s="108"/>
      <x:c r="E135" s="108"/>
      <x:c r="F135" s="108"/>
      <x:c r="G135" s="108"/>
      <x:c r="H135" s="108"/>
      <x:c r="I135" s="124"/>
      <x:c r="J135" s="108"/>
      <x:c r="K135" s="108"/>
      <x:c r="L135" s="161"/>
      <x:c r="M135" s="161"/>
      <x:c r="N135" s="161"/>
      <x:c r="O135" s="161"/>
      <x:c r="P135" s="161"/>
      <x:c r="Q135" s="161"/>
      <x:c r="R135" s="161"/>
      <x:c r="S135" s="161"/>
      <x:c r="T135" s="161"/>
      <x:c r="U135" s="161"/>
      <x:c r="V135" s="161"/>
      <x:c r="W135" s="161"/>
      <x:c r="X135" s="161"/>
      <x:c r="Y135" s="161"/>
      <x:c r="Z135" s="161"/>
    </x:row>
    <x:row r="136">
      <x:c r="A136" s="124"/>
      <x:c r="B136" s="108"/>
      <x:c r="C136" s="129" t="str">
        <x:f>IFERROR(VLOOKUP(B136,'03 Clientes'!$A$6:$N$200,2,FALSE),"")</x:f>
      </x:c>
      <x:c r="D136" s="108"/>
      <x:c r="E136" s="108"/>
      <x:c r="F136" s="108"/>
      <x:c r="G136" s="108"/>
      <x:c r="H136" s="108"/>
      <x:c r="I136" s="124"/>
      <x:c r="J136" s="108"/>
      <x:c r="K136" s="108"/>
      <x:c r="L136" s="161"/>
      <x:c r="M136" s="161"/>
      <x:c r="N136" s="161"/>
      <x:c r="O136" s="161"/>
      <x:c r="P136" s="161"/>
      <x:c r="Q136" s="161"/>
      <x:c r="R136" s="161"/>
      <x:c r="S136" s="161"/>
      <x:c r="T136" s="161"/>
      <x:c r="U136" s="161"/>
      <x:c r="V136" s="161"/>
      <x:c r="W136" s="161"/>
      <x:c r="X136" s="161"/>
      <x:c r="Y136" s="161"/>
      <x:c r="Z136" s="161"/>
    </x:row>
    <x:row r="137">
      <x:c r="A137" s="124"/>
      <x:c r="B137" s="108"/>
      <x:c r="C137" s="129" t="str">
        <x:f>IFERROR(VLOOKUP(B137,'03 Clientes'!$A$6:$N$200,2,FALSE),"")</x:f>
      </x:c>
      <x:c r="D137" s="108"/>
      <x:c r="E137" s="108"/>
      <x:c r="F137" s="108"/>
      <x:c r="G137" s="108"/>
      <x:c r="H137" s="108"/>
      <x:c r="I137" s="124"/>
      <x:c r="J137" s="108"/>
      <x:c r="K137" s="108"/>
      <x:c r="L137" s="161"/>
      <x:c r="M137" s="161"/>
      <x:c r="N137" s="161"/>
      <x:c r="O137" s="161"/>
      <x:c r="P137" s="161"/>
      <x:c r="Q137" s="161"/>
      <x:c r="R137" s="161"/>
      <x:c r="S137" s="161"/>
      <x:c r="T137" s="161"/>
      <x:c r="U137" s="161"/>
      <x:c r="V137" s="161"/>
      <x:c r="W137" s="161"/>
      <x:c r="X137" s="161"/>
      <x:c r="Y137" s="161"/>
      <x:c r="Z137" s="161"/>
    </x:row>
    <x:row r="138">
      <x:c r="A138" s="124"/>
      <x:c r="B138" s="108"/>
      <x:c r="C138" s="129" t="str">
        <x:f>IFERROR(VLOOKUP(B138,'03 Clientes'!$A$6:$N$200,2,FALSE),"")</x:f>
      </x:c>
      <x:c r="D138" s="108"/>
      <x:c r="E138" s="108"/>
      <x:c r="F138" s="108"/>
      <x:c r="G138" s="108"/>
      <x:c r="H138" s="108"/>
      <x:c r="I138" s="124"/>
      <x:c r="J138" s="108"/>
      <x:c r="K138" s="108"/>
      <x:c r="L138" s="161"/>
      <x:c r="M138" s="161"/>
      <x:c r="N138" s="161"/>
      <x:c r="O138" s="161"/>
      <x:c r="P138" s="161"/>
      <x:c r="Q138" s="161"/>
      <x:c r="R138" s="161"/>
      <x:c r="S138" s="161"/>
      <x:c r="T138" s="161"/>
      <x:c r="U138" s="161"/>
      <x:c r="V138" s="161"/>
      <x:c r="W138" s="161"/>
      <x:c r="X138" s="161"/>
      <x:c r="Y138" s="161"/>
      <x:c r="Z138" s="161"/>
    </x:row>
    <x:row r="139">
      <x:c r="A139" s="124"/>
      <x:c r="B139" s="108"/>
      <x:c r="C139" s="129" t="str">
        <x:f>IFERROR(VLOOKUP(B139,'03 Clientes'!$A$6:$N$200,2,FALSE),"")</x:f>
      </x:c>
      <x:c r="D139" s="108"/>
      <x:c r="E139" s="108"/>
      <x:c r="F139" s="108"/>
      <x:c r="G139" s="108"/>
      <x:c r="H139" s="108"/>
      <x:c r="I139" s="124"/>
      <x:c r="J139" s="108"/>
      <x:c r="K139" s="108"/>
      <x:c r="L139" s="161"/>
      <x:c r="M139" s="161"/>
      <x:c r="N139" s="161"/>
      <x:c r="O139" s="161"/>
      <x:c r="P139" s="161"/>
      <x:c r="Q139" s="161"/>
      <x:c r="R139" s="161"/>
      <x:c r="S139" s="161"/>
      <x:c r="T139" s="161"/>
      <x:c r="U139" s="161"/>
      <x:c r="V139" s="161"/>
      <x:c r="W139" s="161"/>
      <x:c r="X139" s="161"/>
      <x:c r="Y139" s="161"/>
      <x:c r="Z139" s="161"/>
    </x:row>
    <x:row r="140">
      <x:c r="A140" s="124"/>
      <x:c r="B140" s="108"/>
      <x:c r="C140" s="129" t="str">
        <x:f>IFERROR(VLOOKUP(B140,'03 Clientes'!$A$6:$N$200,2,FALSE),"")</x:f>
      </x:c>
      <x:c r="D140" s="108"/>
      <x:c r="E140" s="108"/>
      <x:c r="F140" s="108"/>
      <x:c r="G140" s="108"/>
      <x:c r="H140" s="108"/>
      <x:c r="I140" s="124"/>
      <x:c r="J140" s="108"/>
      <x:c r="K140" s="108"/>
      <x:c r="L140" s="161"/>
      <x:c r="M140" s="161"/>
      <x:c r="N140" s="161"/>
      <x:c r="O140" s="161"/>
      <x:c r="P140" s="161"/>
      <x:c r="Q140" s="161"/>
      <x:c r="R140" s="161"/>
      <x:c r="S140" s="161"/>
      <x:c r="T140" s="161"/>
      <x:c r="U140" s="161"/>
      <x:c r="V140" s="161"/>
      <x:c r="W140" s="161"/>
      <x:c r="X140" s="161"/>
      <x:c r="Y140" s="161"/>
      <x:c r="Z140" s="161"/>
    </x:row>
    <x:row r="141">
      <x:c r="A141" s="124"/>
      <x:c r="B141" s="108"/>
      <x:c r="C141" s="129" t="str">
        <x:f>IFERROR(VLOOKUP(B141,'03 Clientes'!$A$6:$N$200,2,FALSE),"")</x:f>
      </x:c>
      <x:c r="D141" s="108"/>
      <x:c r="E141" s="108"/>
      <x:c r="F141" s="108"/>
      <x:c r="G141" s="108"/>
      <x:c r="H141" s="108"/>
      <x:c r="I141" s="124"/>
      <x:c r="J141" s="108"/>
      <x:c r="K141" s="108"/>
      <x:c r="L141" s="161"/>
      <x:c r="M141" s="161"/>
      <x:c r="N141" s="161"/>
      <x:c r="O141" s="161"/>
      <x:c r="P141" s="161"/>
      <x:c r="Q141" s="161"/>
      <x:c r="R141" s="161"/>
      <x:c r="S141" s="161"/>
      <x:c r="T141" s="161"/>
      <x:c r="U141" s="161"/>
      <x:c r="V141" s="161"/>
      <x:c r="W141" s="161"/>
      <x:c r="X141" s="161"/>
      <x:c r="Y141" s="161"/>
      <x:c r="Z141" s="161"/>
    </x:row>
    <x:row r="142">
      <x:c r="A142" s="124"/>
      <x:c r="B142" s="108"/>
      <x:c r="C142" s="129" t="str">
        <x:f>IFERROR(VLOOKUP(B142,'03 Clientes'!$A$6:$N$200,2,FALSE),"")</x:f>
      </x:c>
      <x:c r="D142" s="108"/>
      <x:c r="E142" s="108"/>
      <x:c r="F142" s="108"/>
      <x:c r="G142" s="108"/>
      <x:c r="H142" s="108"/>
      <x:c r="I142" s="124"/>
      <x:c r="J142" s="108"/>
      <x:c r="K142" s="108"/>
      <x:c r="L142" s="161"/>
      <x:c r="M142" s="161"/>
      <x:c r="N142" s="161"/>
      <x:c r="O142" s="161"/>
      <x:c r="P142" s="161"/>
      <x:c r="Q142" s="161"/>
      <x:c r="R142" s="161"/>
      <x:c r="S142" s="161"/>
      <x:c r="T142" s="161"/>
      <x:c r="U142" s="161"/>
      <x:c r="V142" s="161"/>
      <x:c r="W142" s="161"/>
      <x:c r="X142" s="161"/>
      <x:c r="Y142" s="161"/>
      <x:c r="Z142" s="161"/>
    </x:row>
    <x:row r="143">
      <x:c r="A143" s="124"/>
      <x:c r="B143" s="108"/>
      <x:c r="C143" s="129" t="str">
        <x:f>IFERROR(VLOOKUP(B143,'03 Clientes'!$A$6:$N$200,2,FALSE),"")</x:f>
      </x:c>
      <x:c r="D143" s="108"/>
      <x:c r="E143" s="108"/>
      <x:c r="F143" s="108"/>
      <x:c r="G143" s="108"/>
      <x:c r="H143" s="108"/>
      <x:c r="I143" s="124"/>
      <x:c r="J143" s="108"/>
      <x:c r="K143" s="108"/>
      <x:c r="L143" s="161"/>
      <x:c r="M143" s="161"/>
      <x:c r="N143" s="161"/>
      <x:c r="O143" s="161"/>
      <x:c r="P143" s="161"/>
      <x:c r="Q143" s="161"/>
      <x:c r="R143" s="161"/>
      <x:c r="S143" s="161"/>
      <x:c r="T143" s="161"/>
      <x:c r="U143" s="161"/>
      <x:c r="V143" s="161"/>
      <x:c r="W143" s="161"/>
      <x:c r="X143" s="161"/>
      <x:c r="Y143" s="161"/>
      <x:c r="Z143" s="161"/>
    </x:row>
    <x:row r="144">
      <x:c r="A144" s="124"/>
      <x:c r="B144" s="108"/>
      <x:c r="C144" s="129" t="str">
        <x:f>IFERROR(VLOOKUP(B144,'03 Clientes'!$A$6:$N$200,2,FALSE),"")</x:f>
      </x:c>
      <x:c r="D144" s="108"/>
      <x:c r="E144" s="108"/>
      <x:c r="F144" s="108"/>
      <x:c r="G144" s="108"/>
      <x:c r="H144" s="108"/>
      <x:c r="I144" s="124"/>
      <x:c r="J144" s="108"/>
      <x:c r="K144" s="108"/>
      <x:c r="L144" s="161"/>
      <x:c r="M144" s="161"/>
      <x:c r="N144" s="161"/>
      <x:c r="O144" s="161"/>
      <x:c r="P144" s="161"/>
      <x:c r="Q144" s="161"/>
      <x:c r="R144" s="161"/>
      <x:c r="S144" s="161"/>
      <x:c r="T144" s="161"/>
      <x:c r="U144" s="161"/>
      <x:c r="V144" s="161"/>
      <x:c r="W144" s="161"/>
      <x:c r="X144" s="161"/>
      <x:c r="Y144" s="161"/>
      <x:c r="Z144" s="161"/>
    </x:row>
    <x:row r="145">
      <x:c r="A145" s="124"/>
      <x:c r="B145" s="108"/>
      <x:c r="C145" s="129" t="str">
        <x:f>IFERROR(VLOOKUP(B145,'03 Clientes'!$A$6:$N$200,2,FALSE),"")</x:f>
      </x:c>
      <x:c r="D145" s="108"/>
      <x:c r="E145" s="108"/>
      <x:c r="F145" s="108"/>
      <x:c r="G145" s="108"/>
      <x:c r="H145" s="108"/>
      <x:c r="I145" s="124"/>
      <x:c r="J145" s="108"/>
      <x:c r="K145" s="108"/>
      <x:c r="L145" s="161"/>
      <x:c r="M145" s="161"/>
      <x:c r="N145" s="161"/>
      <x:c r="O145" s="161"/>
      <x:c r="P145" s="161"/>
      <x:c r="Q145" s="161"/>
      <x:c r="R145" s="161"/>
      <x:c r="S145" s="161"/>
      <x:c r="T145" s="161"/>
      <x:c r="U145" s="161"/>
      <x:c r="V145" s="161"/>
      <x:c r="W145" s="161"/>
      <x:c r="X145" s="161"/>
      <x:c r="Y145" s="161"/>
      <x:c r="Z145" s="161"/>
    </x:row>
    <x:row r="146">
      <x:c r="A146" s="124"/>
      <x:c r="B146" s="108"/>
      <x:c r="C146" s="129" t="str">
        <x:f>IFERROR(VLOOKUP(B146,'03 Clientes'!$A$6:$N$200,2,FALSE),"")</x:f>
      </x:c>
      <x:c r="D146" s="108"/>
      <x:c r="E146" s="108"/>
      <x:c r="F146" s="108"/>
      <x:c r="G146" s="108"/>
      <x:c r="H146" s="108"/>
      <x:c r="I146" s="124"/>
      <x:c r="J146" s="108"/>
      <x:c r="K146" s="108"/>
      <x:c r="L146" s="161"/>
      <x:c r="M146" s="161"/>
      <x:c r="N146" s="161"/>
      <x:c r="O146" s="161"/>
      <x:c r="P146" s="161"/>
      <x:c r="Q146" s="161"/>
      <x:c r="R146" s="161"/>
      <x:c r="S146" s="161"/>
      <x:c r="T146" s="161"/>
      <x:c r="U146" s="161"/>
      <x:c r="V146" s="161"/>
      <x:c r="W146" s="161"/>
      <x:c r="X146" s="161"/>
      <x:c r="Y146" s="161"/>
      <x:c r="Z146" s="161"/>
    </x:row>
    <x:row r="147">
      <x:c r="A147" s="124"/>
      <x:c r="B147" s="108"/>
      <x:c r="C147" s="129" t="str">
        <x:f>IFERROR(VLOOKUP(B147,'03 Clientes'!$A$6:$N$200,2,FALSE),"")</x:f>
      </x:c>
      <x:c r="D147" s="108"/>
      <x:c r="E147" s="108"/>
      <x:c r="F147" s="108"/>
      <x:c r="G147" s="108"/>
      <x:c r="H147" s="108"/>
      <x:c r="I147" s="124"/>
      <x:c r="J147" s="108"/>
      <x:c r="K147" s="108"/>
      <x:c r="L147" s="161"/>
      <x:c r="M147" s="161"/>
      <x:c r="N147" s="161"/>
      <x:c r="O147" s="161"/>
      <x:c r="P147" s="161"/>
      <x:c r="Q147" s="161"/>
      <x:c r="R147" s="161"/>
      <x:c r="S147" s="161"/>
      <x:c r="T147" s="161"/>
      <x:c r="U147" s="161"/>
      <x:c r="V147" s="161"/>
      <x:c r="W147" s="161"/>
      <x:c r="X147" s="161"/>
      <x:c r="Y147" s="161"/>
      <x:c r="Z147" s="161"/>
    </x:row>
    <x:row r="148">
      <x:c r="A148" s="124"/>
      <x:c r="B148" s="108"/>
      <x:c r="C148" s="129" t="str">
        <x:f>IFERROR(VLOOKUP(B148,'03 Clientes'!$A$6:$N$200,2,FALSE),"")</x:f>
      </x:c>
      <x:c r="D148" s="108"/>
      <x:c r="E148" s="108"/>
      <x:c r="F148" s="108"/>
      <x:c r="G148" s="108"/>
      <x:c r="H148" s="108"/>
      <x:c r="I148" s="124"/>
      <x:c r="J148" s="108"/>
      <x:c r="K148" s="108"/>
      <x:c r="L148" s="161"/>
      <x:c r="M148" s="161"/>
      <x:c r="N148" s="161"/>
      <x:c r="O148" s="161"/>
      <x:c r="P148" s="161"/>
      <x:c r="Q148" s="161"/>
      <x:c r="R148" s="161"/>
      <x:c r="S148" s="161"/>
      <x:c r="T148" s="161"/>
      <x:c r="U148" s="161"/>
      <x:c r="V148" s="161"/>
      <x:c r="W148" s="161"/>
      <x:c r="X148" s="161"/>
      <x:c r="Y148" s="161"/>
      <x:c r="Z148" s="161"/>
    </x:row>
    <x:row r="149">
      <x:c r="A149" s="124"/>
      <x:c r="B149" s="108"/>
      <x:c r="C149" s="129" t="str">
        <x:f>IFERROR(VLOOKUP(B149,'03 Clientes'!$A$6:$N$200,2,FALSE),"")</x:f>
      </x:c>
      <x:c r="D149" s="108"/>
      <x:c r="E149" s="108"/>
      <x:c r="F149" s="108"/>
      <x:c r="G149" s="108"/>
      <x:c r="H149" s="108"/>
      <x:c r="I149" s="124"/>
      <x:c r="J149" s="108"/>
      <x:c r="K149" s="108"/>
      <x:c r="L149" s="161"/>
      <x:c r="M149" s="161"/>
      <x:c r="N149" s="161"/>
      <x:c r="O149" s="161"/>
      <x:c r="P149" s="161"/>
      <x:c r="Q149" s="161"/>
      <x:c r="R149" s="161"/>
      <x:c r="S149" s="161"/>
      <x:c r="T149" s="161"/>
      <x:c r="U149" s="161"/>
      <x:c r="V149" s="161"/>
      <x:c r="W149" s="161"/>
      <x:c r="X149" s="161"/>
      <x:c r="Y149" s="161"/>
      <x:c r="Z149" s="161"/>
    </x:row>
    <x:row r="150">
      <x:c r="A150" s="124"/>
      <x:c r="B150" s="108"/>
      <x:c r="C150" s="129" t="str">
        <x:f>IFERROR(VLOOKUP(B150,'03 Clientes'!$A$6:$N$200,2,FALSE),"")</x:f>
      </x:c>
      <x:c r="D150" s="108"/>
      <x:c r="E150" s="108"/>
      <x:c r="F150" s="108"/>
      <x:c r="G150" s="108"/>
      <x:c r="H150" s="108"/>
      <x:c r="I150" s="124"/>
      <x:c r="J150" s="108"/>
      <x:c r="K150" s="108"/>
      <x:c r="L150" s="161"/>
      <x:c r="M150" s="161"/>
      <x:c r="N150" s="161"/>
      <x:c r="O150" s="161"/>
      <x:c r="P150" s="161"/>
      <x:c r="Q150" s="161"/>
      <x:c r="R150" s="161"/>
      <x:c r="S150" s="161"/>
      <x:c r="T150" s="161"/>
      <x:c r="U150" s="161"/>
      <x:c r="V150" s="161"/>
      <x:c r="W150" s="161"/>
      <x:c r="X150" s="161"/>
      <x:c r="Y150" s="161"/>
      <x:c r="Z150" s="161"/>
    </x:row>
    <x:row r="151">
      <x:c r="A151" s="124"/>
      <x:c r="B151" s="108"/>
      <x:c r="C151" s="129" t="str">
        <x:f>IFERROR(VLOOKUP(B151,'03 Clientes'!$A$6:$N$200,2,FALSE),"")</x:f>
      </x:c>
      <x:c r="D151" s="108"/>
      <x:c r="E151" s="108"/>
      <x:c r="F151" s="108"/>
      <x:c r="G151" s="108"/>
      <x:c r="H151" s="108"/>
      <x:c r="I151" s="124"/>
      <x:c r="J151" s="108"/>
      <x:c r="K151" s="108"/>
      <x:c r="L151" s="161"/>
      <x:c r="M151" s="161"/>
      <x:c r="N151" s="161"/>
      <x:c r="O151" s="161"/>
      <x:c r="P151" s="161"/>
      <x:c r="Q151" s="161"/>
      <x:c r="R151" s="161"/>
      <x:c r="S151" s="161"/>
      <x:c r="T151" s="161"/>
      <x:c r="U151" s="161"/>
      <x:c r="V151" s="161"/>
      <x:c r="W151" s="161"/>
      <x:c r="X151" s="161"/>
      <x:c r="Y151" s="161"/>
      <x:c r="Z151" s="161"/>
    </x:row>
    <x:row r="152">
      <x:c r="A152" s="124"/>
      <x:c r="B152" s="108"/>
      <x:c r="C152" s="129" t="str">
        <x:f>IFERROR(VLOOKUP(B152,'03 Clientes'!$A$6:$N$200,2,FALSE),"")</x:f>
      </x:c>
      <x:c r="D152" s="108"/>
      <x:c r="E152" s="108"/>
      <x:c r="F152" s="108"/>
      <x:c r="G152" s="108"/>
      <x:c r="H152" s="108"/>
      <x:c r="I152" s="124"/>
      <x:c r="J152" s="108"/>
      <x:c r="K152" s="108"/>
      <x:c r="L152" s="161"/>
      <x:c r="M152" s="161"/>
      <x:c r="N152" s="161"/>
      <x:c r="O152" s="161"/>
      <x:c r="P152" s="161"/>
      <x:c r="Q152" s="161"/>
      <x:c r="R152" s="161"/>
      <x:c r="S152" s="161"/>
      <x:c r="T152" s="161"/>
      <x:c r="U152" s="161"/>
      <x:c r="V152" s="161"/>
      <x:c r="W152" s="161"/>
      <x:c r="X152" s="161"/>
      <x:c r="Y152" s="161"/>
      <x:c r="Z152" s="161"/>
    </x:row>
    <x:row r="153">
      <x:c r="A153" s="124"/>
      <x:c r="B153" s="108"/>
      <x:c r="C153" s="129" t="str">
        <x:f>IFERROR(VLOOKUP(B153,'03 Clientes'!$A$6:$N$200,2,FALSE),"")</x:f>
      </x:c>
      <x:c r="D153" s="108"/>
      <x:c r="E153" s="108"/>
      <x:c r="F153" s="108"/>
      <x:c r="G153" s="108"/>
      <x:c r="H153" s="108"/>
      <x:c r="I153" s="124"/>
      <x:c r="J153" s="108"/>
      <x:c r="K153" s="108"/>
      <x:c r="L153" s="161"/>
      <x:c r="M153" s="161"/>
      <x:c r="N153" s="161"/>
      <x:c r="O153" s="161"/>
      <x:c r="P153" s="161"/>
      <x:c r="Q153" s="161"/>
      <x:c r="R153" s="161"/>
      <x:c r="S153" s="161"/>
      <x:c r="T153" s="161"/>
      <x:c r="U153" s="161"/>
      <x:c r="V153" s="161"/>
      <x:c r="W153" s="161"/>
      <x:c r="X153" s="161"/>
      <x:c r="Y153" s="161"/>
      <x:c r="Z153" s="161"/>
    </x:row>
    <x:row r="154">
      <x:c r="A154" s="124"/>
      <x:c r="B154" s="108"/>
      <x:c r="C154" s="129" t="str">
        <x:f>IFERROR(VLOOKUP(B154,'03 Clientes'!$A$6:$N$200,2,FALSE),"")</x:f>
      </x:c>
      <x:c r="D154" s="108"/>
      <x:c r="E154" s="108"/>
      <x:c r="F154" s="108"/>
      <x:c r="G154" s="108"/>
      <x:c r="H154" s="108"/>
      <x:c r="I154" s="124"/>
      <x:c r="J154" s="108"/>
      <x:c r="K154" s="108"/>
      <x:c r="L154" s="161"/>
      <x:c r="M154" s="161"/>
      <x:c r="N154" s="161"/>
      <x:c r="O154" s="161"/>
      <x:c r="P154" s="161"/>
      <x:c r="Q154" s="161"/>
      <x:c r="R154" s="161"/>
      <x:c r="S154" s="161"/>
      <x:c r="T154" s="161"/>
      <x:c r="U154" s="161"/>
      <x:c r="V154" s="161"/>
      <x:c r="W154" s="161"/>
      <x:c r="X154" s="161"/>
      <x:c r="Y154" s="161"/>
      <x:c r="Z154" s="161"/>
    </x:row>
    <x:row r="155">
      <x:c r="A155" s="124"/>
      <x:c r="B155" s="108"/>
      <x:c r="C155" s="129" t="str">
        <x:f>IFERROR(VLOOKUP(B155,'03 Clientes'!$A$6:$N$200,2,FALSE),"")</x:f>
      </x:c>
      <x:c r="D155" s="108"/>
      <x:c r="E155" s="108"/>
      <x:c r="F155" s="108"/>
      <x:c r="G155" s="108"/>
      <x:c r="H155" s="108"/>
      <x:c r="I155" s="124"/>
      <x:c r="J155" s="108"/>
      <x:c r="K155" s="108"/>
      <x:c r="L155" s="161"/>
      <x:c r="M155" s="161"/>
      <x:c r="N155" s="161"/>
      <x:c r="O155" s="161"/>
      <x:c r="P155" s="161"/>
      <x:c r="Q155" s="161"/>
      <x:c r="R155" s="161"/>
      <x:c r="S155" s="161"/>
      <x:c r="T155" s="161"/>
      <x:c r="U155" s="161"/>
      <x:c r="V155" s="161"/>
      <x:c r="W155" s="161"/>
      <x:c r="X155" s="161"/>
      <x:c r="Y155" s="161"/>
      <x:c r="Z155" s="161"/>
    </x:row>
    <x:row r="156">
      <x:c r="A156" s="124"/>
      <x:c r="B156" s="108"/>
      <x:c r="C156" s="129" t="str">
        <x:f>IFERROR(VLOOKUP(B156,'03 Clientes'!$A$6:$N$200,2,FALSE),"")</x:f>
      </x:c>
      <x:c r="D156" s="108"/>
      <x:c r="E156" s="108"/>
      <x:c r="F156" s="108"/>
      <x:c r="G156" s="108"/>
      <x:c r="H156" s="108"/>
      <x:c r="I156" s="124"/>
      <x:c r="J156" s="108"/>
      <x:c r="K156" s="108"/>
      <x:c r="L156" s="161"/>
      <x:c r="M156" s="161"/>
      <x:c r="N156" s="161"/>
      <x:c r="O156" s="161"/>
      <x:c r="P156" s="161"/>
      <x:c r="Q156" s="161"/>
      <x:c r="R156" s="161"/>
      <x:c r="S156" s="161"/>
      <x:c r="T156" s="161"/>
      <x:c r="U156" s="161"/>
      <x:c r="V156" s="161"/>
      <x:c r="W156" s="161"/>
      <x:c r="X156" s="161"/>
      <x:c r="Y156" s="161"/>
      <x:c r="Z156" s="161"/>
    </x:row>
    <x:row r="157">
      <x:c r="A157" s="124"/>
      <x:c r="B157" s="108"/>
      <x:c r="C157" s="129" t="str">
        <x:f>IFERROR(VLOOKUP(B157,'03 Clientes'!$A$6:$N$200,2,FALSE),"")</x:f>
      </x:c>
      <x:c r="D157" s="108"/>
      <x:c r="E157" s="108"/>
      <x:c r="F157" s="108"/>
      <x:c r="G157" s="108"/>
      <x:c r="H157" s="108"/>
      <x:c r="I157" s="124"/>
      <x:c r="J157" s="108"/>
      <x:c r="K157" s="108"/>
      <x:c r="L157" s="161"/>
      <x:c r="M157" s="161"/>
      <x:c r="N157" s="161"/>
      <x:c r="O157" s="161"/>
      <x:c r="P157" s="161"/>
      <x:c r="Q157" s="161"/>
      <x:c r="R157" s="161"/>
      <x:c r="S157" s="161"/>
      <x:c r="T157" s="161"/>
      <x:c r="U157" s="161"/>
      <x:c r="V157" s="161"/>
      <x:c r="W157" s="161"/>
      <x:c r="X157" s="161"/>
      <x:c r="Y157" s="161"/>
      <x:c r="Z157" s="161"/>
    </x:row>
    <x:row r="158">
      <x:c r="A158" s="124"/>
      <x:c r="B158" s="108"/>
      <x:c r="C158" s="129" t="str">
        <x:f>IFERROR(VLOOKUP(B158,'03 Clientes'!$A$6:$N$200,2,FALSE),"")</x:f>
      </x:c>
      <x:c r="D158" s="108"/>
      <x:c r="E158" s="108"/>
      <x:c r="F158" s="108"/>
      <x:c r="G158" s="108"/>
      <x:c r="H158" s="108"/>
      <x:c r="I158" s="124"/>
      <x:c r="J158" s="108"/>
      <x:c r="K158" s="108"/>
      <x:c r="L158" s="161"/>
      <x:c r="M158" s="161"/>
      <x:c r="N158" s="161"/>
      <x:c r="O158" s="161"/>
      <x:c r="P158" s="161"/>
      <x:c r="Q158" s="161"/>
      <x:c r="R158" s="161"/>
      <x:c r="S158" s="161"/>
      <x:c r="T158" s="161"/>
      <x:c r="U158" s="161"/>
      <x:c r="V158" s="161"/>
      <x:c r="W158" s="161"/>
      <x:c r="X158" s="161"/>
      <x:c r="Y158" s="161"/>
      <x:c r="Z158" s="161"/>
    </x:row>
    <x:row r="159">
      <x:c r="A159" s="124"/>
      <x:c r="B159" s="108"/>
      <x:c r="C159" s="129" t="str">
        <x:f>IFERROR(VLOOKUP(B159,'03 Clientes'!$A$6:$N$200,2,FALSE),"")</x:f>
      </x:c>
      <x:c r="D159" s="108"/>
      <x:c r="E159" s="108"/>
      <x:c r="F159" s="108"/>
      <x:c r="G159" s="108"/>
      <x:c r="H159" s="108"/>
      <x:c r="I159" s="124"/>
      <x:c r="J159" s="108"/>
      <x:c r="K159" s="108"/>
      <x:c r="L159" s="161"/>
      <x:c r="M159" s="161"/>
      <x:c r="N159" s="161"/>
      <x:c r="O159" s="161"/>
      <x:c r="P159" s="161"/>
      <x:c r="Q159" s="161"/>
      <x:c r="R159" s="161"/>
      <x:c r="S159" s="161"/>
      <x:c r="T159" s="161"/>
      <x:c r="U159" s="161"/>
      <x:c r="V159" s="161"/>
      <x:c r="W159" s="161"/>
      <x:c r="X159" s="161"/>
      <x:c r="Y159" s="161"/>
      <x:c r="Z159" s="161"/>
    </x:row>
    <x:row r="160">
      <x:c r="A160" s="124"/>
      <x:c r="B160" s="108"/>
      <x:c r="C160" s="129" t="str">
        <x:f>IFERROR(VLOOKUP(B160,'03 Clientes'!$A$6:$N$200,2,FALSE),"")</x:f>
      </x:c>
      <x:c r="D160" s="108"/>
      <x:c r="E160" s="108"/>
      <x:c r="F160" s="108"/>
      <x:c r="G160" s="108"/>
      <x:c r="H160" s="108"/>
      <x:c r="I160" s="124"/>
      <x:c r="J160" s="108"/>
      <x:c r="K160" s="108"/>
      <x:c r="L160" s="161"/>
      <x:c r="M160" s="161"/>
      <x:c r="N160" s="161"/>
      <x:c r="O160" s="161"/>
      <x:c r="P160" s="161"/>
      <x:c r="Q160" s="161"/>
      <x:c r="R160" s="161"/>
      <x:c r="S160" s="161"/>
      <x:c r="T160" s="161"/>
      <x:c r="U160" s="161"/>
      <x:c r="V160" s="161"/>
      <x:c r="W160" s="161"/>
      <x:c r="X160" s="161"/>
      <x:c r="Y160" s="161"/>
      <x:c r="Z160" s="161"/>
    </x:row>
    <x:row r="161">
      <x:c r="A161" s="124"/>
      <x:c r="B161" s="108"/>
      <x:c r="C161" s="129" t="str">
        <x:f>IFERROR(VLOOKUP(B161,'03 Clientes'!$A$6:$N$200,2,FALSE),"")</x:f>
      </x:c>
      <x:c r="D161" s="108"/>
      <x:c r="E161" s="108"/>
      <x:c r="F161" s="108"/>
      <x:c r="G161" s="108"/>
      <x:c r="H161" s="108"/>
      <x:c r="I161" s="124"/>
      <x:c r="J161" s="108"/>
      <x:c r="K161" s="108"/>
      <x:c r="L161" s="161"/>
      <x:c r="M161" s="161"/>
      <x:c r="N161" s="161"/>
      <x:c r="O161" s="161"/>
      <x:c r="P161" s="161"/>
      <x:c r="Q161" s="161"/>
      <x:c r="R161" s="161"/>
      <x:c r="S161" s="161"/>
      <x:c r="T161" s="161"/>
      <x:c r="U161" s="161"/>
      <x:c r="V161" s="161"/>
      <x:c r="W161" s="161"/>
      <x:c r="X161" s="161"/>
      <x:c r="Y161" s="161"/>
      <x:c r="Z161" s="161"/>
    </x:row>
    <x:row r="162">
      <x:c r="A162" s="124"/>
      <x:c r="B162" s="108"/>
      <x:c r="C162" s="129" t="str">
        <x:f>IFERROR(VLOOKUP(B162,'03 Clientes'!$A$6:$N$200,2,FALSE),"")</x:f>
      </x:c>
      <x:c r="D162" s="108"/>
      <x:c r="E162" s="108"/>
      <x:c r="F162" s="108"/>
      <x:c r="G162" s="108"/>
      <x:c r="H162" s="108"/>
      <x:c r="I162" s="124"/>
      <x:c r="J162" s="108"/>
      <x:c r="K162" s="108"/>
      <x:c r="L162" s="161"/>
      <x:c r="M162" s="161"/>
      <x:c r="N162" s="161"/>
      <x:c r="O162" s="161"/>
      <x:c r="P162" s="161"/>
      <x:c r="Q162" s="161"/>
      <x:c r="R162" s="161"/>
      <x:c r="S162" s="161"/>
      <x:c r="T162" s="161"/>
      <x:c r="U162" s="161"/>
      <x:c r="V162" s="161"/>
      <x:c r="W162" s="161"/>
      <x:c r="X162" s="161"/>
      <x:c r="Y162" s="161"/>
      <x:c r="Z162" s="161"/>
    </x:row>
    <x:row r="163">
      <x:c r="A163" s="124"/>
      <x:c r="B163" s="108"/>
      <x:c r="C163" s="129" t="str">
        <x:f>IFERROR(VLOOKUP(B163,'03 Clientes'!$A$6:$N$200,2,FALSE),"")</x:f>
      </x:c>
      <x:c r="D163" s="108"/>
      <x:c r="E163" s="108"/>
      <x:c r="F163" s="108"/>
      <x:c r="G163" s="108"/>
      <x:c r="H163" s="108"/>
      <x:c r="I163" s="124"/>
      <x:c r="J163" s="108"/>
      <x:c r="K163" s="108"/>
      <x:c r="L163" s="161"/>
      <x:c r="M163" s="161"/>
      <x:c r="N163" s="161"/>
      <x:c r="O163" s="161"/>
      <x:c r="P163" s="161"/>
      <x:c r="Q163" s="161"/>
      <x:c r="R163" s="161"/>
      <x:c r="S163" s="161"/>
      <x:c r="T163" s="161"/>
      <x:c r="U163" s="161"/>
      <x:c r="V163" s="161"/>
      <x:c r="W163" s="161"/>
      <x:c r="X163" s="161"/>
      <x:c r="Y163" s="161"/>
      <x:c r="Z163" s="161"/>
    </x:row>
    <x:row r="164">
      <x:c r="A164" s="124"/>
      <x:c r="B164" s="108"/>
      <x:c r="C164" s="129" t="str">
        <x:f>IFERROR(VLOOKUP(B164,'03 Clientes'!$A$6:$N$200,2,FALSE),"")</x:f>
      </x:c>
      <x:c r="D164" s="108"/>
      <x:c r="E164" s="108"/>
      <x:c r="F164" s="108"/>
      <x:c r="G164" s="108"/>
      <x:c r="H164" s="108"/>
      <x:c r="I164" s="124"/>
      <x:c r="J164" s="108"/>
      <x:c r="K164" s="108"/>
      <x:c r="L164" s="161"/>
      <x:c r="M164" s="161"/>
      <x:c r="N164" s="161"/>
      <x:c r="O164" s="161"/>
      <x:c r="P164" s="161"/>
      <x:c r="Q164" s="161"/>
      <x:c r="R164" s="161"/>
      <x:c r="S164" s="161"/>
      <x:c r="T164" s="161"/>
      <x:c r="U164" s="161"/>
      <x:c r="V164" s="161"/>
      <x:c r="W164" s="161"/>
      <x:c r="X164" s="161"/>
      <x:c r="Y164" s="161"/>
      <x:c r="Z164" s="161"/>
    </x:row>
    <x:row r="165">
      <x:c r="A165" s="124"/>
      <x:c r="B165" s="108"/>
      <x:c r="C165" s="129" t="str">
        <x:f>IFERROR(VLOOKUP(B165,'03 Clientes'!$A$6:$N$200,2,FALSE),"")</x:f>
      </x:c>
      <x:c r="D165" s="108"/>
      <x:c r="E165" s="108"/>
      <x:c r="F165" s="108"/>
      <x:c r="G165" s="108"/>
      <x:c r="H165" s="108"/>
      <x:c r="I165" s="124"/>
      <x:c r="J165" s="108"/>
      <x:c r="K165" s="108"/>
      <x:c r="L165" s="161"/>
      <x:c r="M165" s="161"/>
      <x:c r="N165" s="161"/>
      <x:c r="O165" s="161"/>
      <x:c r="P165" s="161"/>
      <x:c r="Q165" s="161"/>
      <x:c r="R165" s="161"/>
      <x:c r="S165" s="161"/>
      <x:c r="T165" s="161"/>
      <x:c r="U165" s="161"/>
      <x:c r="V165" s="161"/>
      <x:c r="W165" s="161"/>
      <x:c r="X165" s="161"/>
      <x:c r="Y165" s="161"/>
      <x:c r="Z165" s="161"/>
    </x:row>
    <x:row r="166">
      <x:c r="A166" s="124"/>
      <x:c r="B166" s="108"/>
      <x:c r="C166" s="129" t="str">
        <x:f>IFERROR(VLOOKUP(B166,'03 Clientes'!$A$6:$N$200,2,FALSE),"")</x:f>
      </x:c>
      <x:c r="D166" s="108"/>
      <x:c r="E166" s="108"/>
      <x:c r="F166" s="108"/>
      <x:c r="G166" s="108"/>
      <x:c r="H166" s="108"/>
      <x:c r="I166" s="124"/>
      <x:c r="J166" s="108"/>
      <x:c r="K166" s="108"/>
      <x:c r="L166" s="161"/>
      <x:c r="M166" s="161"/>
      <x:c r="N166" s="161"/>
      <x:c r="O166" s="161"/>
      <x:c r="P166" s="161"/>
      <x:c r="Q166" s="161"/>
      <x:c r="R166" s="161"/>
      <x:c r="S166" s="161"/>
      <x:c r="T166" s="161"/>
      <x:c r="U166" s="161"/>
      <x:c r="V166" s="161"/>
      <x:c r="W166" s="161"/>
      <x:c r="X166" s="161"/>
      <x:c r="Y166" s="161"/>
      <x:c r="Z166" s="161"/>
    </x:row>
    <x:row r="167">
      <x:c r="A167" s="124"/>
      <x:c r="B167" s="108"/>
      <x:c r="C167" s="129" t="str">
        <x:f>IFERROR(VLOOKUP(B167,'03 Clientes'!$A$6:$N$200,2,FALSE),"")</x:f>
      </x:c>
      <x:c r="D167" s="108"/>
      <x:c r="E167" s="108"/>
      <x:c r="F167" s="108"/>
      <x:c r="G167" s="108"/>
      <x:c r="H167" s="108"/>
      <x:c r="I167" s="124"/>
      <x:c r="J167" s="108"/>
      <x:c r="K167" s="108"/>
      <x:c r="L167" s="161"/>
      <x:c r="M167" s="161"/>
      <x:c r="N167" s="161"/>
      <x:c r="O167" s="161"/>
      <x:c r="P167" s="161"/>
      <x:c r="Q167" s="161"/>
      <x:c r="R167" s="161"/>
      <x:c r="S167" s="161"/>
      <x:c r="T167" s="161"/>
      <x:c r="U167" s="161"/>
      <x:c r="V167" s="161"/>
      <x:c r="W167" s="161"/>
      <x:c r="X167" s="161"/>
      <x:c r="Y167" s="161"/>
      <x:c r="Z167" s="161"/>
    </x:row>
    <x:row r="168">
      <x:c r="A168" s="124"/>
      <x:c r="B168" s="108"/>
      <x:c r="C168" s="129" t="str">
        <x:f>IFERROR(VLOOKUP(B168,'03 Clientes'!$A$6:$N$200,2,FALSE),"")</x:f>
      </x:c>
      <x:c r="D168" s="108"/>
      <x:c r="E168" s="108"/>
      <x:c r="F168" s="108"/>
      <x:c r="G168" s="108"/>
      <x:c r="H168" s="108"/>
      <x:c r="I168" s="124"/>
      <x:c r="J168" s="108"/>
      <x:c r="K168" s="108"/>
      <x:c r="L168" s="161"/>
      <x:c r="M168" s="161"/>
      <x:c r="N168" s="161"/>
      <x:c r="O168" s="161"/>
      <x:c r="P168" s="161"/>
      <x:c r="Q168" s="161"/>
      <x:c r="R168" s="161"/>
      <x:c r="S168" s="161"/>
      <x:c r="T168" s="161"/>
      <x:c r="U168" s="161"/>
      <x:c r="V168" s="161"/>
      <x:c r="W168" s="161"/>
      <x:c r="X168" s="161"/>
      <x:c r="Y168" s="161"/>
      <x:c r="Z168" s="161"/>
    </x:row>
    <x:row r="169">
      <x:c r="A169" s="124"/>
      <x:c r="B169" s="108"/>
      <x:c r="C169" s="129" t="str">
        <x:f>IFERROR(VLOOKUP(B169,'03 Clientes'!$A$6:$N$200,2,FALSE),"")</x:f>
      </x:c>
      <x:c r="D169" s="108"/>
      <x:c r="E169" s="108"/>
      <x:c r="F169" s="108"/>
      <x:c r="G169" s="108"/>
      <x:c r="H169" s="108"/>
      <x:c r="I169" s="124"/>
      <x:c r="J169" s="108"/>
      <x:c r="K169" s="108"/>
      <x:c r="L169" s="161"/>
      <x:c r="M169" s="161"/>
      <x:c r="N169" s="161"/>
      <x:c r="O169" s="161"/>
      <x:c r="P169" s="161"/>
      <x:c r="Q169" s="161"/>
      <x:c r="R169" s="161"/>
      <x:c r="S169" s="161"/>
      <x:c r="T169" s="161"/>
      <x:c r="U169" s="161"/>
      <x:c r="V169" s="161"/>
      <x:c r="W169" s="161"/>
      <x:c r="X169" s="161"/>
      <x:c r="Y169" s="161"/>
      <x:c r="Z169" s="161"/>
    </x:row>
    <x:row r="170">
      <x:c r="A170" s="124"/>
      <x:c r="B170" s="108"/>
      <x:c r="C170" s="129" t="str">
        <x:f>IFERROR(VLOOKUP(B170,'03 Clientes'!$A$6:$N$200,2,FALSE),"")</x:f>
      </x:c>
      <x:c r="D170" s="108"/>
      <x:c r="E170" s="108"/>
      <x:c r="F170" s="108"/>
      <x:c r="G170" s="108"/>
      <x:c r="H170" s="108"/>
      <x:c r="I170" s="124"/>
      <x:c r="J170" s="108"/>
      <x:c r="K170" s="108"/>
      <x:c r="L170" s="161"/>
      <x:c r="M170" s="161"/>
      <x:c r="N170" s="161"/>
      <x:c r="O170" s="161"/>
      <x:c r="P170" s="161"/>
      <x:c r="Q170" s="161"/>
      <x:c r="R170" s="161"/>
      <x:c r="S170" s="161"/>
      <x:c r="T170" s="161"/>
      <x:c r="U170" s="161"/>
      <x:c r="V170" s="161"/>
      <x:c r="W170" s="161"/>
      <x:c r="X170" s="161"/>
      <x:c r="Y170" s="161"/>
      <x:c r="Z170" s="161"/>
    </x:row>
    <x:row r="171">
      <x:c r="A171" s="124"/>
      <x:c r="B171" s="108"/>
      <x:c r="C171" s="129" t="str">
        <x:f>IFERROR(VLOOKUP(B171,'03 Clientes'!$A$6:$N$200,2,FALSE),"")</x:f>
      </x:c>
      <x:c r="D171" s="108"/>
      <x:c r="E171" s="108"/>
      <x:c r="F171" s="108"/>
      <x:c r="G171" s="108"/>
      <x:c r="H171" s="108"/>
      <x:c r="I171" s="124"/>
      <x:c r="J171" s="108"/>
      <x:c r="K171" s="108"/>
      <x:c r="L171" s="161"/>
      <x:c r="M171" s="161"/>
      <x:c r="N171" s="161"/>
      <x:c r="O171" s="161"/>
      <x:c r="P171" s="161"/>
      <x:c r="Q171" s="161"/>
      <x:c r="R171" s="161"/>
      <x:c r="S171" s="161"/>
      <x:c r="T171" s="161"/>
      <x:c r="U171" s="161"/>
      <x:c r="V171" s="161"/>
      <x:c r="W171" s="161"/>
      <x:c r="X171" s="161"/>
      <x:c r="Y171" s="161"/>
      <x:c r="Z171" s="161"/>
    </x:row>
    <x:row r="172">
      <x:c r="A172" s="124"/>
      <x:c r="B172" s="108"/>
      <x:c r="C172" s="129" t="str">
        <x:f>IFERROR(VLOOKUP(B172,'03 Clientes'!$A$6:$N$200,2,FALSE),"")</x:f>
      </x:c>
      <x:c r="D172" s="108"/>
      <x:c r="E172" s="108"/>
      <x:c r="F172" s="108"/>
      <x:c r="G172" s="108"/>
      <x:c r="H172" s="108"/>
      <x:c r="I172" s="124"/>
      <x:c r="J172" s="108"/>
      <x:c r="K172" s="108"/>
      <x:c r="L172" s="161"/>
      <x:c r="M172" s="161"/>
      <x:c r="N172" s="161"/>
      <x:c r="O172" s="161"/>
      <x:c r="P172" s="161"/>
      <x:c r="Q172" s="161"/>
      <x:c r="R172" s="161"/>
      <x:c r="S172" s="161"/>
      <x:c r="T172" s="161"/>
      <x:c r="U172" s="161"/>
      <x:c r="V172" s="161"/>
      <x:c r="W172" s="161"/>
      <x:c r="X172" s="161"/>
      <x:c r="Y172" s="161"/>
      <x:c r="Z172" s="161"/>
    </x:row>
    <x:row r="173">
      <x:c r="A173" s="124"/>
      <x:c r="B173" s="108"/>
      <x:c r="C173" s="129" t="str">
        <x:f>IFERROR(VLOOKUP(B173,'03 Clientes'!$A$6:$N$200,2,FALSE),"")</x:f>
      </x:c>
      <x:c r="D173" s="108"/>
      <x:c r="E173" s="108"/>
      <x:c r="F173" s="108"/>
      <x:c r="G173" s="108"/>
      <x:c r="H173" s="108"/>
      <x:c r="I173" s="124"/>
      <x:c r="J173" s="108"/>
      <x:c r="K173" s="108"/>
      <x:c r="L173" s="161"/>
      <x:c r="M173" s="161"/>
      <x:c r="N173" s="161"/>
      <x:c r="O173" s="161"/>
      <x:c r="P173" s="161"/>
      <x:c r="Q173" s="161"/>
      <x:c r="R173" s="161"/>
      <x:c r="S173" s="161"/>
      <x:c r="T173" s="161"/>
      <x:c r="U173" s="161"/>
      <x:c r="V173" s="161"/>
      <x:c r="W173" s="161"/>
      <x:c r="X173" s="161"/>
      <x:c r="Y173" s="161"/>
      <x:c r="Z173" s="161"/>
    </x:row>
    <x:row r="174">
      <x:c r="A174" s="124"/>
      <x:c r="B174" s="108"/>
      <x:c r="C174" s="129" t="str">
        <x:f>IFERROR(VLOOKUP(B174,'03 Clientes'!$A$6:$N$200,2,FALSE),"")</x:f>
      </x:c>
      <x:c r="D174" s="108"/>
      <x:c r="E174" s="108"/>
      <x:c r="F174" s="108"/>
      <x:c r="G174" s="108"/>
      <x:c r="H174" s="108"/>
      <x:c r="I174" s="124"/>
      <x:c r="J174" s="108"/>
      <x:c r="K174" s="108"/>
      <x:c r="L174" s="161"/>
      <x:c r="M174" s="161"/>
      <x:c r="N174" s="161"/>
      <x:c r="O174" s="161"/>
      <x:c r="P174" s="161"/>
      <x:c r="Q174" s="161"/>
      <x:c r="R174" s="161"/>
      <x:c r="S174" s="161"/>
      <x:c r="T174" s="161"/>
      <x:c r="U174" s="161"/>
      <x:c r="V174" s="161"/>
      <x:c r="W174" s="161"/>
      <x:c r="X174" s="161"/>
      <x:c r="Y174" s="161"/>
      <x:c r="Z174" s="161"/>
    </x:row>
    <x:row r="175">
      <x:c r="A175" s="124"/>
      <x:c r="B175" s="108"/>
      <x:c r="C175" s="129" t="str">
        <x:f>IFERROR(VLOOKUP(B175,'03 Clientes'!$A$6:$N$200,2,FALSE),"")</x:f>
      </x:c>
      <x:c r="D175" s="108"/>
      <x:c r="E175" s="108"/>
      <x:c r="F175" s="108"/>
      <x:c r="G175" s="108"/>
      <x:c r="H175" s="108"/>
      <x:c r="I175" s="124"/>
      <x:c r="J175" s="108"/>
      <x:c r="K175" s="108"/>
      <x:c r="L175" s="161"/>
      <x:c r="M175" s="161"/>
      <x:c r="N175" s="161"/>
      <x:c r="O175" s="161"/>
      <x:c r="P175" s="161"/>
      <x:c r="Q175" s="161"/>
      <x:c r="R175" s="161"/>
      <x:c r="S175" s="161"/>
      <x:c r="T175" s="161"/>
      <x:c r="U175" s="161"/>
      <x:c r="V175" s="161"/>
      <x:c r="W175" s="161"/>
      <x:c r="X175" s="161"/>
      <x:c r="Y175" s="161"/>
      <x:c r="Z175" s="161"/>
    </x:row>
    <x:row r="176">
      <x:c r="A176" s="124"/>
      <x:c r="B176" s="108"/>
      <x:c r="C176" s="129" t="str">
        <x:f>IFERROR(VLOOKUP(B176,'03 Clientes'!$A$6:$N$200,2,FALSE),"")</x:f>
      </x:c>
      <x:c r="D176" s="108"/>
      <x:c r="E176" s="108"/>
      <x:c r="F176" s="108"/>
      <x:c r="G176" s="108"/>
      <x:c r="H176" s="108"/>
      <x:c r="I176" s="124"/>
      <x:c r="J176" s="108"/>
      <x:c r="K176" s="108"/>
      <x:c r="L176" s="161"/>
      <x:c r="M176" s="161"/>
      <x:c r="N176" s="161"/>
      <x:c r="O176" s="161"/>
      <x:c r="P176" s="161"/>
      <x:c r="Q176" s="161"/>
      <x:c r="R176" s="161"/>
      <x:c r="S176" s="161"/>
      <x:c r="T176" s="161"/>
      <x:c r="U176" s="161"/>
      <x:c r="V176" s="161"/>
      <x:c r="W176" s="161"/>
      <x:c r="X176" s="161"/>
      <x:c r="Y176" s="161"/>
      <x:c r="Z176" s="161"/>
    </x:row>
    <x:row r="177">
      <x:c r="A177" s="124"/>
      <x:c r="B177" s="108"/>
      <x:c r="C177" s="129" t="str">
        <x:f>IFERROR(VLOOKUP(B177,'03 Clientes'!$A$6:$N$200,2,FALSE),"")</x:f>
      </x:c>
      <x:c r="D177" s="108"/>
      <x:c r="E177" s="108"/>
      <x:c r="F177" s="108"/>
      <x:c r="G177" s="108"/>
      <x:c r="H177" s="108"/>
      <x:c r="I177" s="124"/>
      <x:c r="J177" s="108"/>
      <x:c r="K177" s="108"/>
      <x:c r="L177" s="161"/>
      <x:c r="M177" s="161"/>
      <x:c r="N177" s="161"/>
      <x:c r="O177" s="161"/>
      <x:c r="P177" s="161"/>
      <x:c r="Q177" s="161"/>
      <x:c r="R177" s="161"/>
      <x:c r="S177" s="161"/>
      <x:c r="T177" s="161"/>
      <x:c r="U177" s="161"/>
      <x:c r="V177" s="161"/>
      <x:c r="W177" s="161"/>
      <x:c r="X177" s="161"/>
      <x:c r="Y177" s="161"/>
      <x:c r="Z177" s="161"/>
    </x:row>
    <x:row r="178">
      <x:c r="A178" s="124"/>
      <x:c r="B178" s="108"/>
      <x:c r="C178" s="129" t="str">
        <x:f>IFERROR(VLOOKUP(B178,'03 Clientes'!$A$6:$N$200,2,FALSE),"")</x:f>
      </x:c>
      <x:c r="D178" s="108"/>
      <x:c r="E178" s="108"/>
      <x:c r="F178" s="108"/>
      <x:c r="G178" s="108"/>
      <x:c r="H178" s="108"/>
      <x:c r="I178" s="124"/>
      <x:c r="J178" s="108"/>
      <x:c r="K178" s="108"/>
      <x:c r="L178" s="161"/>
      <x:c r="M178" s="161"/>
      <x:c r="N178" s="161"/>
      <x:c r="O178" s="161"/>
      <x:c r="P178" s="161"/>
      <x:c r="Q178" s="161"/>
      <x:c r="R178" s="161"/>
      <x:c r="S178" s="161"/>
      <x:c r="T178" s="161"/>
      <x:c r="U178" s="161"/>
      <x:c r="V178" s="161"/>
      <x:c r="W178" s="161"/>
      <x:c r="X178" s="161"/>
      <x:c r="Y178" s="161"/>
      <x:c r="Z178" s="161"/>
    </x:row>
    <x:row r="179">
      <x:c r="A179" s="124"/>
      <x:c r="B179" s="108"/>
      <x:c r="C179" s="129" t="str">
        <x:f>IFERROR(VLOOKUP(B179,'03 Clientes'!$A$6:$N$200,2,FALSE),"")</x:f>
      </x:c>
      <x:c r="D179" s="108"/>
      <x:c r="E179" s="108"/>
      <x:c r="F179" s="108"/>
      <x:c r="G179" s="108"/>
      <x:c r="H179" s="108"/>
      <x:c r="I179" s="124"/>
      <x:c r="J179" s="108"/>
      <x:c r="K179" s="108"/>
      <x:c r="L179" s="161"/>
      <x:c r="M179" s="161"/>
      <x:c r="N179" s="161"/>
      <x:c r="O179" s="161"/>
      <x:c r="P179" s="161"/>
      <x:c r="Q179" s="161"/>
      <x:c r="R179" s="161"/>
      <x:c r="S179" s="161"/>
      <x:c r="T179" s="161"/>
      <x:c r="U179" s="161"/>
      <x:c r="V179" s="161"/>
      <x:c r="W179" s="161"/>
      <x:c r="X179" s="161"/>
      <x:c r="Y179" s="161"/>
      <x:c r="Z179" s="161"/>
    </x:row>
    <x:row r="180">
      <x:c r="A180" s="124"/>
      <x:c r="B180" s="108"/>
      <x:c r="C180" s="129" t="str">
        <x:f>IFERROR(VLOOKUP(B180,'03 Clientes'!$A$6:$N$200,2,FALSE),"")</x:f>
      </x:c>
      <x:c r="D180" s="108"/>
      <x:c r="E180" s="108"/>
      <x:c r="F180" s="108"/>
      <x:c r="G180" s="108"/>
      <x:c r="H180" s="108"/>
      <x:c r="I180" s="124"/>
      <x:c r="J180" s="108"/>
      <x:c r="K180" s="108"/>
      <x:c r="L180" s="161"/>
      <x:c r="M180" s="161"/>
      <x:c r="N180" s="161"/>
      <x:c r="O180" s="161"/>
      <x:c r="P180" s="161"/>
      <x:c r="Q180" s="161"/>
      <x:c r="R180" s="161"/>
      <x:c r="S180" s="161"/>
      <x:c r="T180" s="161"/>
      <x:c r="U180" s="161"/>
      <x:c r="V180" s="161"/>
      <x:c r="W180" s="161"/>
      <x:c r="X180" s="161"/>
      <x:c r="Y180" s="161"/>
      <x:c r="Z180" s="161"/>
    </x:row>
    <x:row r="181">
      <x:c r="A181" s="124"/>
      <x:c r="B181" s="108"/>
      <x:c r="C181" s="129" t="str">
        <x:f>IFERROR(VLOOKUP(B181,'03 Clientes'!$A$6:$N$200,2,FALSE),"")</x:f>
      </x:c>
      <x:c r="D181" s="108"/>
      <x:c r="E181" s="108"/>
      <x:c r="F181" s="108"/>
      <x:c r="G181" s="108"/>
      <x:c r="H181" s="108"/>
      <x:c r="I181" s="124"/>
      <x:c r="J181" s="108"/>
      <x:c r="K181" s="108"/>
      <x:c r="L181" s="161"/>
      <x:c r="M181" s="161"/>
      <x:c r="N181" s="161"/>
      <x:c r="O181" s="161"/>
      <x:c r="P181" s="161"/>
      <x:c r="Q181" s="161"/>
      <x:c r="R181" s="161"/>
      <x:c r="S181" s="161"/>
      <x:c r="T181" s="161"/>
      <x:c r="U181" s="161"/>
      <x:c r="V181" s="161"/>
      <x:c r="W181" s="161"/>
      <x:c r="X181" s="161"/>
      <x:c r="Y181" s="161"/>
      <x:c r="Z181" s="161"/>
    </x:row>
    <x:row r="182">
      <x:c r="A182" s="124"/>
      <x:c r="B182" s="108"/>
      <x:c r="C182" s="129" t="str">
        <x:f>IFERROR(VLOOKUP(B182,'03 Clientes'!$A$6:$N$200,2,FALSE),"")</x:f>
      </x:c>
      <x:c r="D182" s="108"/>
      <x:c r="E182" s="108"/>
      <x:c r="F182" s="108"/>
      <x:c r="G182" s="108"/>
      <x:c r="H182" s="108"/>
      <x:c r="I182" s="124"/>
      <x:c r="J182" s="108"/>
      <x:c r="K182" s="108"/>
      <x:c r="L182" s="161"/>
      <x:c r="M182" s="161"/>
      <x:c r="N182" s="161"/>
      <x:c r="O182" s="161"/>
      <x:c r="P182" s="161"/>
      <x:c r="Q182" s="161"/>
      <x:c r="R182" s="161"/>
      <x:c r="S182" s="161"/>
      <x:c r="T182" s="161"/>
      <x:c r="U182" s="161"/>
      <x:c r="V182" s="161"/>
      <x:c r="W182" s="161"/>
      <x:c r="X182" s="161"/>
      <x:c r="Y182" s="161"/>
      <x:c r="Z182" s="161"/>
    </x:row>
    <x:row r="183">
      <x:c r="A183" s="124"/>
      <x:c r="B183" s="108"/>
      <x:c r="C183" s="129" t="str">
        <x:f>IFERROR(VLOOKUP(B183,'03 Clientes'!$A$6:$N$200,2,FALSE),"")</x:f>
      </x:c>
      <x:c r="D183" s="108"/>
      <x:c r="E183" s="108"/>
      <x:c r="F183" s="108"/>
      <x:c r="G183" s="108"/>
      <x:c r="H183" s="108"/>
      <x:c r="I183" s="124"/>
      <x:c r="J183" s="108"/>
      <x:c r="K183" s="108"/>
      <x:c r="L183" s="161"/>
      <x:c r="M183" s="161"/>
      <x:c r="N183" s="161"/>
      <x:c r="O183" s="161"/>
      <x:c r="P183" s="161"/>
      <x:c r="Q183" s="161"/>
      <x:c r="R183" s="161"/>
      <x:c r="S183" s="161"/>
      <x:c r="T183" s="161"/>
      <x:c r="U183" s="161"/>
      <x:c r="V183" s="161"/>
      <x:c r="W183" s="161"/>
      <x:c r="X183" s="161"/>
      <x:c r="Y183" s="161"/>
      <x:c r="Z183" s="161"/>
    </x:row>
    <x:row r="184">
      <x:c r="A184" s="124"/>
      <x:c r="B184" s="108"/>
      <x:c r="C184" s="129" t="str">
        <x:f>IFERROR(VLOOKUP(B184,'03 Clientes'!$A$6:$N$200,2,FALSE),"")</x:f>
      </x:c>
      <x:c r="D184" s="108"/>
      <x:c r="E184" s="108"/>
      <x:c r="F184" s="108"/>
      <x:c r="G184" s="108"/>
      <x:c r="H184" s="108"/>
      <x:c r="I184" s="124"/>
      <x:c r="J184" s="108"/>
      <x:c r="K184" s="108"/>
      <x:c r="L184" s="161"/>
      <x:c r="M184" s="161"/>
      <x:c r="N184" s="161"/>
      <x:c r="O184" s="161"/>
      <x:c r="P184" s="161"/>
      <x:c r="Q184" s="161"/>
      <x:c r="R184" s="161"/>
      <x:c r="S184" s="161"/>
      <x:c r="T184" s="161"/>
      <x:c r="U184" s="161"/>
      <x:c r="V184" s="161"/>
      <x:c r="W184" s="161"/>
      <x:c r="X184" s="161"/>
      <x:c r="Y184" s="161"/>
      <x:c r="Z184" s="161"/>
    </x:row>
    <x:row r="185">
      <x:c r="A185" s="124"/>
      <x:c r="B185" s="108"/>
      <x:c r="C185" s="129" t="str">
        <x:f>IFERROR(VLOOKUP(B185,'03 Clientes'!$A$6:$N$200,2,FALSE),"")</x:f>
      </x:c>
      <x:c r="D185" s="108"/>
      <x:c r="E185" s="108"/>
      <x:c r="F185" s="108"/>
      <x:c r="G185" s="108"/>
      <x:c r="H185" s="108"/>
      <x:c r="I185" s="124"/>
      <x:c r="J185" s="108"/>
      <x:c r="K185" s="108"/>
      <x:c r="L185" s="161"/>
      <x:c r="M185" s="161"/>
      <x:c r="N185" s="161"/>
      <x:c r="O185" s="161"/>
      <x:c r="P185" s="161"/>
      <x:c r="Q185" s="161"/>
      <x:c r="R185" s="161"/>
      <x:c r="S185" s="161"/>
      <x:c r="T185" s="161"/>
      <x:c r="U185" s="161"/>
      <x:c r="V185" s="161"/>
      <x:c r="W185" s="161"/>
      <x:c r="X185" s="161"/>
      <x:c r="Y185" s="161"/>
      <x:c r="Z185" s="161"/>
    </x:row>
    <x:row r="186">
      <x:c r="A186" s="124"/>
      <x:c r="B186" s="108"/>
      <x:c r="C186" s="129" t="str">
        <x:f>IFERROR(VLOOKUP(B186,'03 Clientes'!$A$6:$N$200,2,FALSE),"")</x:f>
      </x:c>
      <x:c r="D186" s="108"/>
      <x:c r="E186" s="108"/>
      <x:c r="F186" s="108"/>
      <x:c r="G186" s="108"/>
      <x:c r="H186" s="108"/>
      <x:c r="I186" s="124"/>
      <x:c r="J186" s="108"/>
      <x:c r="K186" s="108"/>
      <x:c r="L186" s="161"/>
      <x:c r="M186" s="161"/>
      <x:c r="N186" s="161"/>
      <x:c r="O186" s="161"/>
      <x:c r="P186" s="161"/>
      <x:c r="Q186" s="161"/>
      <x:c r="R186" s="161"/>
      <x:c r="S186" s="161"/>
      <x:c r="T186" s="161"/>
      <x:c r="U186" s="161"/>
      <x:c r="V186" s="161"/>
      <x:c r="W186" s="161"/>
      <x:c r="X186" s="161"/>
      <x:c r="Y186" s="161"/>
      <x:c r="Z186" s="161"/>
    </x:row>
    <x:row r="187">
      <x:c r="A187" s="124"/>
      <x:c r="B187" s="108"/>
      <x:c r="C187" s="129" t="str">
        <x:f>IFERROR(VLOOKUP(B187,'03 Clientes'!$A$6:$N$200,2,FALSE),"")</x:f>
      </x:c>
      <x:c r="D187" s="108"/>
      <x:c r="E187" s="108"/>
      <x:c r="F187" s="108"/>
      <x:c r="G187" s="108"/>
      <x:c r="H187" s="108"/>
      <x:c r="I187" s="124"/>
      <x:c r="J187" s="108"/>
      <x:c r="K187" s="108"/>
      <x:c r="L187" s="161"/>
      <x:c r="M187" s="161"/>
      <x:c r="N187" s="161"/>
      <x:c r="O187" s="161"/>
      <x:c r="P187" s="161"/>
      <x:c r="Q187" s="161"/>
      <x:c r="R187" s="161"/>
      <x:c r="S187" s="161"/>
      <x:c r="T187" s="161"/>
      <x:c r="U187" s="161"/>
      <x:c r="V187" s="161"/>
      <x:c r="W187" s="161"/>
      <x:c r="X187" s="161"/>
      <x:c r="Y187" s="161"/>
      <x:c r="Z187" s="161"/>
    </x:row>
    <x:row r="188">
      <x:c r="A188" s="124"/>
      <x:c r="B188" s="108"/>
      <x:c r="C188" s="129" t="str">
        <x:f>IFERROR(VLOOKUP(B188,'03 Clientes'!$A$6:$N$200,2,FALSE),"")</x:f>
      </x:c>
      <x:c r="D188" s="108"/>
      <x:c r="E188" s="108"/>
      <x:c r="F188" s="108"/>
      <x:c r="G188" s="108"/>
      <x:c r="H188" s="108"/>
      <x:c r="I188" s="124"/>
      <x:c r="J188" s="108"/>
      <x:c r="K188" s="108"/>
      <x:c r="L188" s="161"/>
      <x:c r="M188" s="161"/>
      <x:c r="N188" s="161"/>
      <x:c r="O188" s="161"/>
      <x:c r="P188" s="161"/>
      <x:c r="Q188" s="161"/>
      <x:c r="R188" s="161"/>
      <x:c r="S188" s="161"/>
      <x:c r="T188" s="161"/>
      <x:c r="U188" s="161"/>
      <x:c r="V188" s="161"/>
      <x:c r="W188" s="161"/>
      <x:c r="X188" s="161"/>
      <x:c r="Y188" s="161"/>
      <x:c r="Z188" s="161"/>
    </x:row>
    <x:row r="189">
      <x:c r="A189" s="124"/>
      <x:c r="B189" s="108"/>
      <x:c r="C189" s="129" t="str">
        <x:f>IFERROR(VLOOKUP(B189,'03 Clientes'!$A$6:$N$200,2,FALSE),"")</x:f>
      </x:c>
      <x:c r="D189" s="108"/>
      <x:c r="E189" s="108"/>
      <x:c r="F189" s="108"/>
      <x:c r="G189" s="108"/>
      <x:c r="H189" s="108"/>
      <x:c r="I189" s="124"/>
      <x:c r="J189" s="108"/>
      <x:c r="K189" s="108"/>
      <x:c r="L189" s="161"/>
      <x:c r="M189" s="161"/>
      <x:c r="N189" s="161"/>
      <x:c r="O189" s="161"/>
      <x:c r="P189" s="161"/>
      <x:c r="Q189" s="161"/>
      <x:c r="R189" s="161"/>
      <x:c r="S189" s="161"/>
      <x:c r="T189" s="161"/>
      <x:c r="U189" s="161"/>
      <x:c r="V189" s="161"/>
      <x:c r="W189" s="161"/>
      <x:c r="X189" s="161"/>
      <x:c r="Y189" s="161"/>
      <x:c r="Z189" s="161"/>
    </x:row>
    <x:row r="190">
      <x:c r="A190" s="124"/>
      <x:c r="B190" s="108"/>
      <x:c r="C190" s="129" t="str">
        <x:f>IFERROR(VLOOKUP(B190,'03 Clientes'!$A$6:$N$200,2,FALSE),"")</x:f>
      </x:c>
      <x:c r="D190" s="108"/>
      <x:c r="E190" s="108"/>
      <x:c r="F190" s="108"/>
      <x:c r="G190" s="108"/>
      <x:c r="H190" s="108"/>
      <x:c r="I190" s="124"/>
      <x:c r="J190" s="108"/>
      <x:c r="K190" s="108"/>
      <x:c r="L190" s="161"/>
      <x:c r="M190" s="161"/>
      <x:c r="N190" s="161"/>
      <x:c r="O190" s="161"/>
      <x:c r="P190" s="161"/>
      <x:c r="Q190" s="161"/>
      <x:c r="R190" s="161"/>
      <x:c r="S190" s="161"/>
      <x:c r="T190" s="161"/>
      <x:c r="U190" s="161"/>
      <x:c r="V190" s="161"/>
      <x:c r="W190" s="161"/>
      <x:c r="X190" s="161"/>
      <x:c r="Y190" s="161"/>
      <x:c r="Z190" s="161"/>
    </x:row>
    <x:row r="191">
      <x:c r="A191" s="124"/>
      <x:c r="B191" s="108"/>
      <x:c r="C191" s="129" t="str">
        <x:f>IFERROR(VLOOKUP(B191,'03 Clientes'!$A$6:$N$200,2,FALSE),"")</x:f>
      </x:c>
      <x:c r="D191" s="108"/>
      <x:c r="E191" s="108"/>
      <x:c r="F191" s="108"/>
      <x:c r="G191" s="108"/>
      <x:c r="H191" s="108"/>
      <x:c r="I191" s="124"/>
      <x:c r="J191" s="108"/>
      <x:c r="K191" s="108"/>
      <x:c r="L191" s="161"/>
      <x:c r="M191" s="161"/>
      <x:c r="N191" s="161"/>
      <x:c r="O191" s="161"/>
      <x:c r="P191" s="161"/>
      <x:c r="Q191" s="161"/>
      <x:c r="R191" s="161"/>
      <x:c r="S191" s="161"/>
      <x:c r="T191" s="161"/>
      <x:c r="U191" s="161"/>
      <x:c r="V191" s="161"/>
      <x:c r="W191" s="161"/>
      <x:c r="X191" s="161"/>
      <x:c r="Y191" s="161"/>
      <x:c r="Z191" s="161"/>
    </x:row>
    <x:row r="192">
      <x:c r="A192" s="124"/>
      <x:c r="B192" s="108"/>
      <x:c r="C192" s="129" t="str">
        <x:f>IFERROR(VLOOKUP(B192,'03 Clientes'!$A$6:$N$200,2,FALSE),"")</x:f>
      </x:c>
      <x:c r="D192" s="108"/>
      <x:c r="E192" s="108"/>
      <x:c r="F192" s="108"/>
      <x:c r="G192" s="108"/>
      <x:c r="H192" s="108"/>
      <x:c r="I192" s="124"/>
      <x:c r="J192" s="108"/>
      <x:c r="K192" s="108"/>
      <x:c r="L192" s="161"/>
      <x:c r="M192" s="161"/>
      <x:c r="N192" s="161"/>
      <x:c r="O192" s="161"/>
      <x:c r="P192" s="161"/>
      <x:c r="Q192" s="161"/>
      <x:c r="R192" s="161"/>
      <x:c r="S192" s="161"/>
      <x:c r="T192" s="161"/>
      <x:c r="U192" s="161"/>
      <x:c r="V192" s="161"/>
      <x:c r="W192" s="161"/>
      <x:c r="X192" s="161"/>
      <x:c r="Y192" s="161"/>
      <x:c r="Z192" s="161"/>
    </x:row>
    <x:row r="193">
      <x:c r="A193" s="124"/>
      <x:c r="B193" s="108"/>
      <x:c r="C193" s="129" t="str">
        <x:f>IFERROR(VLOOKUP(B193,'03 Clientes'!$A$6:$N$200,2,FALSE),"")</x:f>
      </x:c>
      <x:c r="D193" s="108"/>
      <x:c r="E193" s="108"/>
      <x:c r="F193" s="108"/>
      <x:c r="G193" s="108"/>
      <x:c r="H193" s="108"/>
      <x:c r="I193" s="124"/>
      <x:c r="J193" s="108"/>
      <x:c r="K193" s="108"/>
      <x:c r="L193" s="161"/>
      <x:c r="M193" s="161"/>
      <x:c r="N193" s="161"/>
      <x:c r="O193" s="161"/>
      <x:c r="P193" s="161"/>
      <x:c r="Q193" s="161"/>
      <x:c r="R193" s="161"/>
      <x:c r="S193" s="161"/>
      <x:c r="T193" s="161"/>
      <x:c r="U193" s="161"/>
      <x:c r="V193" s="161"/>
      <x:c r="W193" s="161"/>
      <x:c r="X193" s="161"/>
      <x:c r="Y193" s="161"/>
      <x:c r="Z193" s="161"/>
    </x:row>
    <x:row r="194">
      <x:c r="A194" s="124"/>
      <x:c r="B194" s="108"/>
      <x:c r="C194" s="129" t="str">
        <x:f>IFERROR(VLOOKUP(B194,'03 Clientes'!$A$6:$N$200,2,FALSE),"")</x:f>
      </x:c>
      <x:c r="D194" s="108"/>
      <x:c r="E194" s="108"/>
      <x:c r="F194" s="108"/>
      <x:c r="G194" s="108"/>
      <x:c r="H194" s="108"/>
      <x:c r="I194" s="124"/>
      <x:c r="J194" s="108"/>
      <x:c r="K194" s="108"/>
      <x:c r="L194" s="161"/>
      <x:c r="M194" s="161"/>
      <x:c r="N194" s="161"/>
      <x:c r="O194" s="161"/>
      <x:c r="P194" s="161"/>
      <x:c r="Q194" s="161"/>
      <x:c r="R194" s="161"/>
      <x:c r="S194" s="161"/>
      <x:c r="T194" s="161"/>
      <x:c r="U194" s="161"/>
      <x:c r="V194" s="161"/>
      <x:c r="W194" s="161"/>
      <x:c r="X194" s="161"/>
      <x:c r="Y194" s="161"/>
      <x:c r="Z194" s="161"/>
    </x:row>
    <x:row r="195">
      <x:c r="A195" s="124"/>
      <x:c r="B195" s="108"/>
      <x:c r="C195" s="129" t="str">
        <x:f>IFERROR(VLOOKUP(B195,'03 Clientes'!$A$6:$N$200,2,FALSE),"")</x:f>
      </x:c>
      <x:c r="D195" s="108"/>
      <x:c r="E195" s="108"/>
      <x:c r="F195" s="108"/>
      <x:c r="G195" s="108"/>
      <x:c r="H195" s="108"/>
      <x:c r="I195" s="124"/>
      <x:c r="J195" s="108"/>
      <x:c r="K195" s="108"/>
      <x:c r="L195" s="161"/>
      <x:c r="M195" s="161"/>
      <x:c r="N195" s="161"/>
      <x:c r="O195" s="161"/>
      <x:c r="P195" s="161"/>
      <x:c r="Q195" s="161"/>
      <x:c r="R195" s="161"/>
      <x:c r="S195" s="161"/>
      <x:c r="T195" s="161"/>
      <x:c r="U195" s="161"/>
      <x:c r="V195" s="161"/>
      <x:c r="W195" s="161"/>
      <x:c r="X195" s="161"/>
      <x:c r="Y195" s="161"/>
      <x:c r="Z195" s="161"/>
    </x:row>
    <x:row r="196">
      <x:c r="A196" s="124"/>
      <x:c r="B196" s="108"/>
      <x:c r="C196" s="129" t="str">
        <x:f>IFERROR(VLOOKUP(B196,'03 Clientes'!$A$6:$N$200,2,FALSE),"")</x:f>
      </x:c>
      <x:c r="D196" s="108"/>
      <x:c r="E196" s="108"/>
      <x:c r="F196" s="108"/>
      <x:c r="G196" s="108"/>
      <x:c r="H196" s="108"/>
      <x:c r="I196" s="124"/>
      <x:c r="J196" s="108"/>
      <x:c r="K196" s="108"/>
      <x:c r="L196" s="161"/>
      <x:c r="M196" s="161"/>
      <x:c r="N196" s="161"/>
      <x:c r="O196" s="161"/>
      <x:c r="P196" s="161"/>
      <x:c r="Q196" s="161"/>
      <x:c r="R196" s="161"/>
      <x:c r="S196" s="161"/>
      <x:c r="T196" s="161"/>
      <x:c r="U196" s="161"/>
      <x:c r="V196" s="161"/>
      <x:c r="W196" s="161"/>
      <x:c r="X196" s="161"/>
      <x:c r="Y196" s="161"/>
      <x:c r="Z196" s="161"/>
    </x:row>
    <x:row r="197">
      <x:c r="A197" s="124"/>
      <x:c r="B197" s="108"/>
      <x:c r="C197" s="129" t="str">
        <x:f>IFERROR(VLOOKUP(B197,'03 Clientes'!$A$6:$N$200,2,FALSE),"")</x:f>
      </x:c>
      <x:c r="D197" s="108"/>
      <x:c r="E197" s="108"/>
      <x:c r="F197" s="108"/>
      <x:c r="G197" s="108"/>
      <x:c r="H197" s="108"/>
      <x:c r="I197" s="124"/>
      <x:c r="J197" s="108"/>
      <x:c r="K197" s="108"/>
      <x:c r="L197" s="161"/>
      <x:c r="M197" s="161"/>
      <x:c r="N197" s="161"/>
      <x:c r="O197" s="161"/>
      <x:c r="P197" s="161"/>
      <x:c r="Q197" s="161"/>
      <x:c r="R197" s="161"/>
      <x:c r="S197" s="161"/>
      <x:c r="T197" s="161"/>
      <x:c r="U197" s="161"/>
      <x:c r="V197" s="161"/>
      <x:c r="W197" s="161"/>
      <x:c r="X197" s="161"/>
      <x:c r="Y197" s="161"/>
      <x:c r="Z197" s="161"/>
    </x:row>
    <x:row r="198">
      <x:c r="A198" s="124"/>
      <x:c r="B198" s="108"/>
      <x:c r="C198" s="129" t="str">
        <x:f>IFERROR(VLOOKUP(B198,'03 Clientes'!$A$6:$N$200,2,FALSE),"")</x:f>
      </x:c>
      <x:c r="D198" s="108"/>
      <x:c r="E198" s="108"/>
      <x:c r="F198" s="108"/>
      <x:c r="G198" s="108"/>
      <x:c r="H198" s="108"/>
      <x:c r="I198" s="124"/>
      <x:c r="J198" s="108"/>
      <x:c r="K198" s="108"/>
      <x:c r="L198" s="161"/>
      <x:c r="M198" s="161"/>
      <x:c r="N198" s="161"/>
      <x:c r="O198" s="161"/>
      <x:c r="P198" s="161"/>
      <x:c r="Q198" s="161"/>
      <x:c r="R198" s="161"/>
      <x:c r="S198" s="161"/>
      <x:c r="T198" s="161"/>
      <x:c r="U198" s="161"/>
      <x:c r="V198" s="161"/>
      <x:c r="W198" s="161"/>
      <x:c r="X198" s="161"/>
      <x:c r="Y198" s="161"/>
      <x:c r="Z198" s="161"/>
    </x:row>
    <x:row r="199">
      <x:c r="A199" s="124"/>
      <x:c r="B199" s="108"/>
      <x:c r="C199" s="129" t="str">
        <x:f>IFERROR(VLOOKUP(B199,'03 Clientes'!$A$6:$N$200,2,FALSE),"")</x:f>
      </x:c>
      <x:c r="D199" s="108"/>
      <x:c r="E199" s="108"/>
      <x:c r="F199" s="108"/>
      <x:c r="G199" s="108"/>
      <x:c r="H199" s="108"/>
      <x:c r="I199" s="124"/>
      <x:c r="J199" s="108"/>
      <x:c r="K199" s="108"/>
      <x:c r="L199" s="161"/>
      <x:c r="M199" s="161"/>
      <x:c r="N199" s="161"/>
      <x:c r="O199" s="161"/>
      <x:c r="P199" s="161"/>
      <x:c r="Q199" s="161"/>
      <x:c r="R199" s="161"/>
      <x:c r="S199" s="161"/>
      <x:c r="T199" s="161"/>
      <x:c r="U199" s="161"/>
      <x:c r="V199" s="161"/>
      <x:c r="W199" s="161"/>
      <x:c r="X199" s="161"/>
      <x:c r="Y199" s="161"/>
      <x:c r="Z199" s="161"/>
    </x:row>
    <x:row r="200">
      <x:c r="A200" s="124"/>
      <x:c r="B200" s="108"/>
      <x:c r="C200" s="129" t="str">
        <x:f>IFERROR(VLOOKUP(B200,'03 Clientes'!$A$6:$N$200,2,FALSE),"")</x:f>
      </x:c>
      <x:c r="D200" s="108"/>
      <x:c r="E200" s="108"/>
      <x:c r="F200" s="108"/>
      <x:c r="G200" s="108"/>
      <x:c r="H200" s="108"/>
      <x:c r="I200" s="124"/>
      <x:c r="J200" s="108"/>
      <x:c r="K200" s="108"/>
      <x:c r="L200" s="161"/>
      <x:c r="M200" s="161"/>
      <x:c r="N200" s="161"/>
      <x:c r="O200" s="161"/>
      <x:c r="P200" s="161"/>
      <x:c r="Q200" s="161"/>
      <x:c r="R200" s="161"/>
      <x:c r="S200" s="161"/>
      <x:c r="T200" s="161"/>
      <x:c r="U200" s="161"/>
      <x:c r="V200" s="161"/>
      <x:c r="W200" s="161"/>
      <x:c r="X200" s="161"/>
      <x:c r="Y200" s="161"/>
      <x:c r="Z200" s="161"/>
    </x:row>
    <x:row r="201">
      <x:c r="A201" s="160"/>
      <x:c r="B201" s="160"/>
      <x:c r="C201" s="160"/>
      <x:c r="D201" s="160"/>
      <x:c r="E201" s="160"/>
      <x:c r="F201" s="160"/>
      <x:c r="G201" s="160"/>
      <x:c r="H201" s="160"/>
      <x:c r="I201" s="160"/>
      <x:c r="J201" s="160"/>
      <x:c r="K201" s="160"/>
      <x:c r="L201" s="161"/>
      <x:c r="M201" s="161"/>
      <x:c r="N201" s="161"/>
      <x:c r="O201" s="161"/>
      <x:c r="P201" s="161"/>
      <x:c r="Q201" s="161"/>
      <x:c r="R201" s="161"/>
      <x:c r="S201" s="161"/>
      <x:c r="T201" s="161"/>
      <x:c r="U201" s="161"/>
      <x:c r="V201" s="161"/>
      <x:c r="W201" s="161"/>
      <x:c r="X201" s="161"/>
      <x:c r="Y201" s="161"/>
      <x:c r="Z201" s="161"/>
    </x:row>
    <x:row r="202">
      <x:c r="A202" s="160"/>
      <x:c r="B202" s="160"/>
      <x:c r="C202" s="160"/>
      <x:c r="D202" s="160"/>
      <x:c r="E202" s="160"/>
      <x:c r="F202" s="160"/>
      <x:c r="G202" s="160"/>
      <x:c r="H202" s="160"/>
      <x:c r="I202" s="160"/>
      <x:c r="J202" s="160"/>
      <x:c r="K202" s="160"/>
      <x:c r="L202" s="161"/>
      <x:c r="M202" s="161"/>
      <x:c r="N202" s="161"/>
      <x:c r="O202" s="161"/>
      <x:c r="P202" s="161"/>
      <x:c r="Q202" s="161"/>
      <x:c r="R202" s="161"/>
      <x:c r="S202" s="161"/>
      <x:c r="T202" s="161"/>
      <x:c r="U202" s="161"/>
      <x:c r="V202" s="161"/>
      <x:c r="W202" s="161"/>
      <x:c r="X202" s="161"/>
      <x:c r="Y202" s="161"/>
      <x:c r="Z202" s="161"/>
    </x:row>
    <x:row r="203">
      <x:c r="A203" s="160"/>
      <x:c r="B203" s="160"/>
      <x:c r="C203" s="160"/>
      <x:c r="D203" s="160"/>
      <x:c r="E203" s="160"/>
      <x:c r="F203" s="160"/>
      <x:c r="G203" s="160"/>
      <x:c r="H203" s="160"/>
      <x:c r="I203" s="160"/>
      <x:c r="J203" s="160"/>
      <x:c r="K203" s="160"/>
      <x:c r="L203" s="161"/>
      <x:c r="M203" s="161"/>
      <x:c r="N203" s="161"/>
      <x:c r="O203" s="161"/>
      <x:c r="P203" s="161"/>
      <x:c r="Q203" s="161"/>
      <x:c r="R203" s="161"/>
      <x:c r="S203" s="161"/>
      <x:c r="T203" s="161"/>
      <x:c r="U203" s="161"/>
      <x:c r="V203" s="161"/>
      <x:c r="W203" s="161"/>
      <x:c r="X203" s="161"/>
      <x:c r="Y203" s="161"/>
      <x:c r="Z203" s="161"/>
    </x:row>
    <x:row r="204">
      <x:c r="A204" s="160"/>
      <x:c r="B204" s="160"/>
      <x:c r="C204" s="160"/>
      <x:c r="D204" s="160"/>
      <x:c r="E204" s="160"/>
      <x:c r="F204" s="160"/>
      <x:c r="G204" s="160"/>
      <x:c r="H204" s="160"/>
      <x:c r="I204" s="160"/>
      <x:c r="J204" s="160"/>
      <x:c r="K204" s="160"/>
      <x:c r="L204" s="161"/>
      <x:c r="M204" s="161"/>
      <x:c r="N204" s="161"/>
      <x:c r="O204" s="161"/>
      <x:c r="P204" s="161"/>
      <x:c r="Q204" s="161"/>
      <x:c r="R204" s="161"/>
      <x:c r="S204" s="161"/>
      <x:c r="T204" s="161"/>
      <x:c r="U204" s="161"/>
      <x:c r="V204" s="161"/>
      <x:c r="W204" s="161"/>
      <x:c r="X204" s="161"/>
      <x:c r="Y204" s="161"/>
      <x:c r="Z204" s="161"/>
    </x:row>
    <x:row r="205">
      <x:c r="A205" s="160"/>
      <x:c r="B205" s="160"/>
      <x:c r="C205" s="160"/>
      <x:c r="D205" s="160"/>
      <x:c r="E205" s="160"/>
      <x:c r="F205" s="160"/>
      <x:c r="G205" s="160"/>
      <x:c r="H205" s="160"/>
      <x:c r="I205" s="160"/>
      <x:c r="J205" s="160"/>
      <x:c r="K205" s="160"/>
      <x:c r="L205" s="161"/>
      <x:c r="M205" s="161"/>
      <x:c r="N205" s="161"/>
      <x:c r="O205" s="161"/>
      <x:c r="P205" s="161"/>
      <x:c r="Q205" s="161"/>
      <x:c r="R205" s="161"/>
      <x:c r="S205" s="161"/>
      <x:c r="T205" s="161"/>
      <x:c r="U205" s="161"/>
      <x:c r="V205" s="161"/>
      <x:c r="W205" s="161"/>
      <x:c r="X205" s="161"/>
      <x:c r="Y205" s="161"/>
      <x:c r="Z205" s="161"/>
    </x:row>
    <x:row r="206">
      <x:c r="A206" s="160"/>
      <x:c r="B206" s="160"/>
      <x:c r="C206" s="160"/>
      <x:c r="D206" s="160"/>
      <x:c r="E206" s="160"/>
      <x:c r="F206" s="160"/>
      <x:c r="G206" s="160"/>
      <x:c r="H206" s="160"/>
      <x:c r="I206" s="160"/>
      <x:c r="J206" s="160"/>
      <x:c r="K206" s="160"/>
      <x:c r="L206" s="161"/>
      <x:c r="M206" s="161"/>
      <x:c r="N206" s="161"/>
      <x:c r="O206" s="161"/>
      <x:c r="P206" s="161"/>
      <x:c r="Q206" s="161"/>
      <x:c r="R206" s="161"/>
      <x:c r="S206" s="161"/>
      <x:c r="T206" s="161"/>
      <x:c r="U206" s="161"/>
      <x:c r="V206" s="161"/>
      <x:c r="W206" s="161"/>
      <x:c r="X206" s="161"/>
      <x:c r="Y206" s="161"/>
      <x:c r="Z206" s="161"/>
    </x:row>
    <x:row r="207">
      <x:c r="A207" s="160"/>
      <x:c r="B207" s="160"/>
      <x:c r="C207" s="160"/>
      <x:c r="D207" s="160"/>
      <x:c r="E207" s="160"/>
      <x:c r="F207" s="160"/>
      <x:c r="G207" s="160"/>
      <x:c r="H207" s="160"/>
      <x:c r="I207" s="160"/>
      <x:c r="J207" s="160"/>
      <x:c r="K207" s="160"/>
      <x:c r="L207" s="161"/>
      <x:c r="M207" s="161"/>
      <x:c r="N207" s="161"/>
      <x:c r="O207" s="161"/>
      <x:c r="P207" s="161"/>
      <x:c r="Q207" s="161"/>
      <x:c r="R207" s="161"/>
      <x:c r="S207" s="161"/>
      <x:c r="T207" s="161"/>
      <x:c r="U207" s="161"/>
      <x:c r="V207" s="161"/>
      <x:c r="W207" s="161"/>
      <x:c r="X207" s="161"/>
      <x:c r="Y207" s="161"/>
      <x:c r="Z207" s="161"/>
    </x:row>
    <x:row r="208">
      <x:c r="A208" s="160"/>
      <x:c r="B208" s="160"/>
      <x:c r="C208" s="160"/>
      <x:c r="D208" s="160"/>
      <x:c r="E208" s="160"/>
      <x:c r="F208" s="160"/>
      <x:c r="G208" s="160"/>
      <x:c r="H208" s="160"/>
      <x:c r="I208" s="160"/>
      <x:c r="J208" s="160"/>
      <x:c r="K208" s="160"/>
      <x:c r="L208" s="161"/>
      <x:c r="M208" s="161"/>
      <x:c r="N208" s="161"/>
      <x:c r="O208" s="161"/>
      <x:c r="P208" s="161"/>
      <x:c r="Q208" s="161"/>
      <x:c r="R208" s="161"/>
      <x:c r="S208" s="161"/>
      <x:c r="T208" s="161"/>
      <x:c r="U208" s="161"/>
      <x:c r="V208" s="161"/>
      <x:c r="W208" s="161"/>
      <x:c r="X208" s="161"/>
      <x:c r="Y208" s="161"/>
      <x:c r="Z208" s="161"/>
    </x:row>
    <x:row r="209">
      <x:c r="A209" s="160"/>
      <x:c r="B209" s="160"/>
      <x:c r="C209" s="160"/>
      <x:c r="D209" s="160"/>
      <x:c r="E209" s="160"/>
      <x:c r="F209" s="160"/>
      <x:c r="G209" s="160"/>
      <x:c r="H209" s="160"/>
      <x:c r="I209" s="160"/>
      <x:c r="J209" s="160"/>
      <x:c r="K209" s="160"/>
      <x:c r="L209" s="161"/>
      <x:c r="M209" s="161"/>
      <x:c r="N209" s="161"/>
      <x:c r="O209" s="161"/>
      <x:c r="P209" s="161"/>
      <x:c r="Q209" s="161"/>
      <x:c r="R209" s="161"/>
      <x:c r="S209" s="161"/>
      <x:c r="T209" s="161"/>
      <x:c r="U209" s="161"/>
      <x:c r="V209" s="161"/>
      <x:c r="W209" s="161"/>
      <x:c r="X209" s="161"/>
      <x:c r="Y209" s="161"/>
      <x:c r="Z209" s="161"/>
    </x:row>
    <x:row r="210">
      <x:c r="A210" s="160"/>
      <x:c r="B210" s="160"/>
      <x:c r="C210" s="160"/>
      <x:c r="D210" s="160"/>
      <x:c r="E210" s="160"/>
      <x:c r="F210" s="160"/>
      <x:c r="G210" s="160"/>
      <x:c r="H210" s="160"/>
      <x:c r="I210" s="160"/>
      <x:c r="J210" s="160"/>
      <x:c r="K210" s="160"/>
      <x:c r="L210" s="161"/>
      <x:c r="M210" s="161"/>
      <x:c r="N210" s="161"/>
      <x:c r="O210" s="161"/>
      <x:c r="P210" s="161"/>
      <x:c r="Q210" s="161"/>
      <x:c r="R210" s="161"/>
      <x:c r="S210" s="161"/>
      <x:c r="T210" s="161"/>
      <x:c r="U210" s="161"/>
      <x:c r="V210" s="161"/>
      <x:c r="W210" s="161"/>
      <x:c r="X210" s="161"/>
      <x:c r="Y210" s="161"/>
      <x:c r="Z210" s="161"/>
    </x:row>
    <x:row r="211">
      <x:c r="A211" s="160"/>
      <x:c r="B211" s="160"/>
      <x:c r="C211" s="160"/>
      <x:c r="D211" s="160"/>
      <x:c r="E211" s="160"/>
      <x:c r="F211" s="160"/>
      <x:c r="G211" s="160"/>
      <x:c r="H211" s="160"/>
      <x:c r="I211" s="160"/>
      <x:c r="J211" s="160"/>
      <x:c r="K211" s="160"/>
      <x:c r="L211" s="161"/>
      <x:c r="M211" s="161"/>
      <x:c r="N211" s="161"/>
      <x:c r="O211" s="161"/>
      <x:c r="P211" s="161"/>
      <x:c r="Q211" s="161"/>
      <x:c r="R211" s="161"/>
      <x:c r="S211" s="161"/>
      <x:c r="T211" s="161"/>
      <x:c r="U211" s="161"/>
      <x:c r="V211" s="161"/>
      <x:c r="W211" s="161"/>
      <x:c r="X211" s="161"/>
      <x:c r="Y211" s="161"/>
      <x:c r="Z211" s="161"/>
    </x:row>
    <x:row r="212">
      <x:c r="A212" s="160"/>
      <x:c r="B212" s="160"/>
      <x:c r="C212" s="160"/>
      <x:c r="D212" s="160"/>
      <x:c r="E212" s="160"/>
      <x:c r="F212" s="160"/>
      <x:c r="G212" s="160"/>
      <x:c r="H212" s="160"/>
      <x:c r="I212" s="160"/>
      <x:c r="J212" s="160"/>
      <x:c r="K212" s="160"/>
      <x:c r="L212" s="161"/>
      <x:c r="M212" s="161"/>
      <x:c r="N212" s="161"/>
      <x:c r="O212" s="161"/>
      <x:c r="P212" s="161"/>
      <x:c r="Q212" s="161"/>
      <x:c r="R212" s="161"/>
      <x:c r="S212" s="161"/>
      <x:c r="T212" s="161"/>
      <x:c r="U212" s="161"/>
      <x:c r="V212" s="161"/>
      <x:c r="W212" s="161"/>
      <x:c r="X212" s="161"/>
      <x:c r="Y212" s="161"/>
      <x:c r="Z212" s="161"/>
    </x:row>
    <x:row r="213">
      <x:c r="A213" s="160"/>
      <x:c r="B213" s="160"/>
      <x:c r="C213" s="160"/>
      <x:c r="D213" s="160"/>
      <x:c r="E213" s="160"/>
      <x:c r="F213" s="160"/>
      <x:c r="G213" s="160"/>
      <x:c r="H213" s="160"/>
      <x:c r="I213" s="160"/>
      <x:c r="J213" s="160"/>
      <x:c r="K213" s="160"/>
      <x:c r="L213" s="161"/>
      <x:c r="M213" s="161"/>
      <x:c r="N213" s="161"/>
      <x:c r="O213" s="161"/>
      <x:c r="P213" s="161"/>
      <x:c r="Q213" s="161"/>
      <x:c r="R213" s="161"/>
      <x:c r="S213" s="161"/>
      <x:c r="T213" s="161"/>
      <x:c r="U213" s="161"/>
      <x:c r="V213" s="161"/>
      <x:c r="W213" s="161"/>
      <x:c r="X213" s="161"/>
      <x:c r="Y213" s="161"/>
      <x:c r="Z213" s="161"/>
    </x:row>
    <x:row r="214">
      <x:c r="A214" s="160"/>
      <x:c r="B214" s="160"/>
      <x:c r="C214" s="160"/>
      <x:c r="D214" s="160"/>
      <x:c r="E214" s="160"/>
      <x:c r="F214" s="160"/>
      <x:c r="G214" s="160"/>
      <x:c r="H214" s="160"/>
      <x:c r="I214" s="160"/>
      <x:c r="J214" s="160"/>
      <x:c r="K214" s="160"/>
      <x:c r="L214" s="161"/>
      <x:c r="M214" s="161"/>
      <x:c r="N214" s="161"/>
      <x:c r="O214" s="161"/>
      <x:c r="P214" s="161"/>
      <x:c r="Q214" s="161"/>
      <x:c r="R214" s="161"/>
      <x:c r="S214" s="161"/>
      <x:c r="T214" s="161"/>
      <x:c r="U214" s="161"/>
      <x:c r="V214" s="161"/>
      <x:c r="W214" s="161"/>
      <x:c r="X214" s="161"/>
      <x:c r="Y214" s="161"/>
      <x:c r="Z214" s="161"/>
    </x:row>
    <x:row r="215">
      <x:c r="A215" s="160"/>
      <x:c r="B215" s="160"/>
      <x:c r="C215" s="160"/>
      <x:c r="D215" s="160"/>
      <x:c r="E215" s="160"/>
      <x:c r="F215" s="160"/>
      <x:c r="G215" s="160"/>
      <x:c r="H215" s="160"/>
      <x:c r="I215" s="160"/>
      <x:c r="J215" s="160"/>
      <x:c r="K215" s="160"/>
      <x:c r="L215" s="161"/>
      <x:c r="M215" s="161"/>
      <x:c r="N215" s="161"/>
      <x:c r="O215" s="161"/>
      <x:c r="P215" s="161"/>
      <x:c r="Q215" s="161"/>
      <x:c r="R215" s="161"/>
      <x:c r="S215" s="161"/>
      <x:c r="T215" s="161"/>
      <x:c r="U215" s="161"/>
      <x:c r="V215" s="161"/>
      <x:c r="W215" s="161"/>
      <x:c r="X215" s="161"/>
      <x:c r="Y215" s="161"/>
      <x:c r="Z215" s="161"/>
    </x:row>
    <x:row r="216">
      <x:c r="A216" s="160"/>
      <x:c r="B216" s="160"/>
      <x:c r="C216" s="160"/>
      <x:c r="D216" s="160"/>
      <x:c r="E216" s="160"/>
      <x:c r="F216" s="160"/>
      <x:c r="G216" s="160"/>
      <x:c r="H216" s="160"/>
      <x:c r="I216" s="160"/>
      <x:c r="J216" s="160"/>
      <x:c r="K216" s="160"/>
      <x:c r="L216" s="161"/>
      <x:c r="M216" s="161"/>
      <x:c r="N216" s="161"/>
      <x:c r="O216" s="161"/>
      <x:c r="P216" s="161"/>
      <x:c r="Q216" s="161"/>
      <x:c r="R216" s="161"/>
      <x:c r="S216" s="161"/>
      <x:c r="T216" s="161"/>
      <x:c r="U216" s="161"/>
      <x:c r="V216" s="161"/>
      <x:c r="W216" s="161"/>
      <x:c r="X216" s="161"/>
      <x:c r="Y216" s="161"/>
      <x:c r="Z216" s="161"/>
    </x:row>
    <x:row r="217">
      <x:c r="A217" s="160"/>
      <x:c r="B217" s="160"/>
      <x:c r="C217" s="160"/>
      <x:c r="D217" s="160"/>
      <x:c r="E217" s="160"/>
      <x:c r="F217" s="160"/>
      <x:c r="G217" s="160"/>
      <x:c r="H217" s="160"/>
      <x:c r="I217" s="160"/>
      <x:c r="J217" s="160"/>
      <x:c r="K217" s="160"/>
      <x:c r="L217" s="161"/>
      <x:c r="M217" s="161"/>
      <x:c r="N217" s="161"/>
      <x:c r="O217" s="161"/>
      <x:c r="P217" s="161"/>
      <x:c r="Q217" s="161"/>
      <x:c r="R217" s="161"/>
      <x:c r="S217" s="161"/>
      <x:c r="T217" s="161"/>
      <x:c r="U217" s="161"/>
      <x:c r="V217" s="161"/>
      <x:c r="W217" s="161"/>
      <x:c r="X217" s="161"/>
      <x:c r="Y217" s="161"/>
      <x:c r="Z217" s="161"/>
    </x:row>
    <x:row r="218">
      <x:c r="A218" s="160"/>
      <x:c r="B218" s="160"/>
      <x:c r="C218" s="160"/>
      <x:c r="D218" s="160"/>
      <x:c r="E218" s="160"/>
      <x:c r="F218" s="160"/>
      <x:c r="G218" s="160"/>
      <x:c r="H218" s="160"/>
      <x:c r="I218" s="160"/>
      <x:c r="J218" s="160"/>
      <x:c r="K218" s="160"/>
      <x:c r="L218" s="161"/>
      <x:c r="M218" s="161"/>
      <x:c r="N218" s="161"/>
      <x:c r="O218" s="161"/>
      <x:c r="P218" s="161"/>
      <x:c r="Q218" s="161"/>
      <x:c r="R218" s="161"/>
      <x:c r="S218" s="161"/>
      <x:c r="T218" s="161"/>
      <x:c r="U218" s="161"/>
      <x:c r="V218" s="161"/>
      <x:c r="W218" s="161"/>
      <x:c r="X218" s="161"/>
      <x:c r="Y218" s="161"/>
      <x:c r="Z218" s="161"/>
    </x:row>
    <x:row r="219">
      <x:c r="A219" s="160"/>
      <x:c r="B219" s="160"/>
      <x:c r="C219" s="160"/>
      <x:c r="D219" s="160"/>
      <x:c r="E219" s="160"/>
      <x:c r="F219" s="160"/>
      <x:c r="G219" s="160"/>
      <x:c r="H219" s="160"/>
      <x:c r="I219" s="160"/>
      <x:c r="J219" s="160"/>
      <x:c r="K219" s="160"/>
      <x:c r="L219" s="161"/>
      <x:c r="M219" s="161"/>
      <x:c r="N219" s="161"/>
      <x:c r="O219" s="161"/>
      <x:c r="P219" s="161"/>
      <x:c r="Q219" s="161"/>
      <x:c r="R219" s="161"/>
      <x:c r="S219" s="161"/>
      <x:c r="T219" s="161"/>
      <x:c r="U219" s="161"/>
      <x:c r="V219" s="161"/>
      <x:c r="W219" s="161"/>
      <x:c r="X219" s="161"/>
      <x:c r="Y219" s="161"/>
      <x:c r="Z219" s="161"/>
    </x:row>
    <x:row r="220">
      <x:c r="A220" s="160"/>
      <x:c r="B220" s="160"/>
      <x:c r="C220" s="160"/>
      <x:c r="D220" s="160"/>
      <x:c r="E220" s="160"/>
      <x:c r="F220" s="160"/>
      <x:c r="G220" s="160"/>
      <x:c r="H220" s="160"/>
      <x:c r="I220" s="160"/>
      <x:c r="J220" s="160"/>
      <x:c r="K220" s="160"/>
      <x:c r="L220" s="161"/>
      <x:c r="M220" s="161"/>
      <x:c r="N220" s="161"/>
      <x:c r="O220" s="161"/>
      <x:c r="P220" s="161"/>
      <x:c r="Q220" s="161"/>
      <x:c r="R220" s="161"/>
      <x:c r="S220" s="161"/>
      <x:c r="T220" s="161"/>
      <x:c r="U220" s="161"/>
      <x:c r="V220" s="161"/>
      <x:c r="W220" s="161"/>
      <x:c r="X220" s="161"/>
      <x:c r="Y220" s="161"/>
      <x:c r="Z220" s="161"/>
    </x:row>
    <x:row r="221">
      <x:c r="A221" s="161"/>
      <x:c r="B221" s="161"/>
      <x:c r="C221" s="161"/>
      <x:c r="D221" s="161"/>
      <x:c r="E221" s="161"/>
      <x:c r="F221" s="161"/>
      <x:c r="G221" s="161"/>
      <x:c r="H221" s="161"/>
      <x:c r="I221" s="161"/>
      <x:c r="J221" s="161"/>
      <x:c r="K221" s="161"/>
      <x:c r="L221" s="161"/>
      <x:c r="M221" s="161"/>
      <x:c r="N221" s="161"/>
      <x:c r="O221" s="161"/>
      <x:c r="P221" s="161"/>
      <x:c r="Q221" s="161"/>
      <x:c r="R221" s="161"/>
      <x:c r="S221" s="161"/>
      <x:c r="T221" s="161"/>
      <x:c r="U221" s="161"/>
      <x:c r="V221" s="161"/>
      <x:c r="W221" s="161"/>
      <x:c r="X221" s="161"/>
      <x:c r="Y221" s="161"/>
      <x:c r="Z221" s="161"/>
    </x:row>
    <x:row r="222">
      <x:c r="A222" s="161"/>
      <x:c r="B222" s="161"/>
      <x:c r="C222" s="161"/>
      <x:c r="D222" s="161"/>
      <x:c r="E222" s="161"/>
      <x:c r="F222" s="161"/>
      <x:c r="G222" s="161"/>
      <x:c r="H222" s="161"/>
      <x:c r="I222" s="161"/>
      <x:c r="J222" s="161"/>
      <x:c r="K222" s="161"/>
      <x:c r="L222" s="161"/>
      <x:c r="M222" s="161"/>
      <x:c r="N222" s="161"/>
      <x:c r="O222" s="161"/>
      <x:c r="P222" s="161"/>
      <x:c r="Q222" s="161"/>
      <x:c r="R222" s="161"/>
      <x:c r="S222" s="161"/>
      <x:c r="T222" s="161"/>
      <x:c r="U222" s="161"/>
      <x:c r="V222" s="161"/>
      <x:c r="W222" s="161"/>
      <x:c r="X222" s="161"/>
      <x:c r="Y222" s="161"/>
      <x:c r="Z222" s="161"/>
    </x:row>
    <x:row r="223">
      <x:c r="A223" s="161"/>
      <x:c r="B223" s="161"/>
      <x:c r="C223" s="161"/>
      <x:c r="D223" s="161"/>
      <x:c r="E223" s="161"/>
      <x:c r="F223" s="161"/>
      <x:c r="G223" s="161"/>
      <x:c r="H223" s="161"/>
      <x:c r="I223" s="161"/>
      <x:c r="J223" s="161"/>
      <x:c r="K223" s="161"/>
      <x:c r="L223" s="161"/>
      <x:c r="M223" s="161"/>
      <x:c r="N223" s="161"/>
      <x:c r="O223" s="161"/>
      <x:c r="P223" s="161"/>
      <x:c r="Q223" s="161"/>
      <x:c r="R223" s="161"/>
      <x:c r="S223" s="161"/>
      <x:c r="T223" s="161"/>
      <x:c r="U223" s="161"/>
      <x:c r="V223" s="161"/>
      <x:c r="W223" s="161"/>
      <x:c r="X223" s="161"/>
      <x:c r="Y223" s="161"/>
      <x:c r="Z223" s="161"/>
    </x:row>
    <x:row r="224">
      <x:c r="A224" s="161"/>
      <x:c r="B224" s="161"/>
      <x:c r="C224" s="161"/>
      <x:c r="D224" s="161"/>
      <x:c r="E224" s="161"/>
      <x:c r="F224" s="161"/>
      <x:c r="G224" s="161"/>
      <x:c r="H224" s="161"/>
      <x:c r="I224" s="161"/>
      <x:c r="J224" s="161"/>
      <x:c r="K224" s="161"/>
      <x:c r="L224" s="161"/>
      <x:c r="M224" s="161"/>
      <x:c r="N224" s="161"/>
      <x:c r="O224" s="161"/>
      <x:c r="P224" s="161"/>
      <x:c r="Q224" s="161"/>
      <x:c r="R224" s="161"/>
      <x:c r="S224" s="161"/>
      <x:c r="T224" s="161"/>
      <x:c r="U224" s="161"/>
      <x:c r="V224" s="161"/>
      <x:c r="W224" s="161"/>
      <x:c r="X224" s="161"/>
      <x:c r="Y224" s="161"/>
      <x:c r="Z224" s="161"/>
    </x:row>
    <x:row r="225">
      <x:c r="A225" s="161"/>
      <x:c r="B225" s="161"/>
      <x:c r="C225" s="161"/>
      <x:c r="D225" s="161"/>
      <x:c r="E225" s="161"/>
      <x:c r="F225" s="161"/>
      <x:c r="G225" s="161"/>
      <x:c r="H225" s="161"/>
      <x:c r="I225" s="161"/>
      <x:c r="J225" s="161"/>
      <x:c r="K225" s="161"/>
      <x:c r="L225" s="161"/>
      <x:c r="M225" s="161"/>
      <x:c r="N225" s="161"/>
      <x:c r="O225" s="161"/>
      <x:c r="P225" s="161"/>
      <x:c r="Q225" s="161"/>
      <x:c r="R225" s="161"/>
      <x:c r="S225" s="161"/>
      <x:c r="T225" s="161"/>
      <x:c r="U225" s="161"/>
      <x:c r="V225" s="161"/>
      <x:c r="W225" s="161"/>
      <x:c r="X225" s="161"/>
      <x:c r="Y225" s="161"/>
      <x:c r="Z225" s="161"/>
    </x:row>
    <x:row r="226">
      <x:c r="A226" s="161"/>
      <x:c r="B226" s="161"/>
      <x:c r="C226" s="161"/>
      <x:c r="D226" s="161"/>
      <x:c r="E226" s="161"/>
      <x:c r="F226" s="161"/>
      <x:c r="G226" s="161"/>
      <x:c r="H226" s="161"/>
      <x:c r="I226" s="161"/>
      <x:c r="J226" s="161"/>
      <x:c r="K226" s="161"/>
      <x:c r="L226" s="161"/>
      <x:c r="M226" s="161"/>
      <x:c r="N226" s="161"/>
      <x:c r="O226" s="161"/>
      <x:c r="P226" s="161"/>
      <x:c r="Q226" s="161"/>
      <x:c r="R226" s="161"/>
      <x:c r="S226" s="161"/>
      <x:c r="T226" s="161"/>
      <x:c r="U226" s="161"/>
      <x:c r="V226" s="161"/>
      <x:c r="W226" s="161"/>
      <x:c r="X226" s="161"/>
      <x:c r="Y226" s="161"/>
      <x:c r="Z226" s="161"/>
    </x:row>
    <x:row r="227">
      <x:c r="A227" s="161"/>
      <x:c r="B227" s="161"/>
      <x:c r="C227" s="161"/>
      <x:c r="D227" s="161"/>
      <x:c r="E227" s="161"/>
      <x:c r="F227" s="161"/>
      <x:c r="G227" s="161"/>
      <x:c r="H227" s="161"/>
      <x:c r="I227" s="161"/>
      <x:c r="J227" s="161"/>
      <x:c r="K227" s="161"/>
      <x:c r="L227" s="161"/>
      <x:c r="M227" s="161"/>
      <x:c r="N227" s="161"/>
      <x:c r="O227" s="161"/>
      <x:c r="P227" s="161"/>
      <x:c r="Q227" s="161"/>
      <x:c r="R227" s="161"/>
      <x:c r="S227" s="161"/>
      <x:c r="T227" s="161"/>
      <x:c r="U227" s="161"/>
      <x:c r="V227" s="161"/>
      <x:c r="W227" s="161"/>
      <x:c r="X227" s="161"/>
      <x:c r="Y227" s="161"/>
      <x:c r="Z227" s="161"/>
    </x:row>
    <x:row r="228">
      <x:c r="A228" s="161"/>
      <x:c r="B228" s="161"/>
      <x:c r="C228" s="161"/>
      <x:c r="D228" s="161"/>
      <x:c r="E228" s="161"/>
      <x:c r="F228" s="161"/>
      <x:c r="G228" s="161"/>
      <x:c r="H228" s="161"/>
      <x:c r="I228" s="161"/>
      <x:c r="J228" s="161"/>
      <x:c r="K228" s="161"/>
      <x:c r="L228" s="161"/>
      <x:c r="M228" s="161"/>
      <x:c r="N228" s="161"/>
      <x:c r="O228" s="161"/>
      <x:c r="P228" s="161"/>
      <x:c r="Q228" s="161"/>
      <x:c r="R228" s="161"/>
      <x:c r="S228" s="161"/>
      <x:c r="T228" s="161"/>
      <x:c r="U228" s="161"/>
      <x:c r="V228" s="161"/>
      <x:c r="W228" s="161"/>
      <x:c r="X228" s="161"/>
      <x:c r="Y228" s="161"/>
      <x:c r="Z228" s="161"/>
    </x:row>
    <x:row r="229">
      <x:c r="A229" s="161"/>
      <x:c r="B229" s="161"/>
      <x:c r="C229" s="161"/>
      <x:c r="D229" s="161"/>
      <x:c r="E229" s="161"/>
      <x:c r="F229" s="161"/>
      <x:c r="G229" s="161"/>
      <x:c r="H229" s="161"/>
      <x:c r="I229" s="161"/>
      <x:c r="J229" s="161"/>
      <x:c r="K229" s="161"/>
      <x:c r="L229" s="161"/>
      <x:c r="M229" s="161"/>
      <x:c r="N229" s="161"/>
      <x:c r="O229" s="161"/>
      <x:c r="P229" s="161"/>
      <x:c r="Q229" s="161"/>
      <x:c r="R229" s="161"/>
      <x:c r="S229" s="161"/>
      <x:c r="T229" s="161"/>
      <x:c r="U229" s="161"/>
      <x:c r="V229" s="161"/>
      <x:c r="W229" s="161"/>
      <x:c r="X229" s="161"/>
      <x:c r="Y229" s="161"/>
      <x:c r="Z229" s="161"/>
    </x:row>
    <x:row r="230">
      <x:c r="A230" s="161"/>
      <x:c r="B230" s="161"/>
      <x:c r="C230" s="161"/>
      <x:c r="D230" s="161"/>
      <x:c r="E230" s="161"/>
      <x:c r="F230" s="161"/>
      <x:c r="G230" s="161"/>
      <x:c r="H230" s="161"/>
      <x:c r="I230" s="161"/>
      <x:c r="J230" s="161"/>
      <x:c r="K230" s="161"/>
      <x:c r="L230" s="161"/>
      <x:c r="M230" s="161"/>
      <x:c r="N230" s="161"/>
      <x:c r="O230" s="161"/>
      <x:c r="P230" s="161"/>
      <x:c r="Q230" s="161"/>
      <x:c r="R230" s="161"/>
      <x:c r="S230" s="161"/>
      <x:c r="T230" s="161"/>
      <x:c r="U230" s="161"/>
      <x:c r="V230" s="161"/>
      <x:c r="W230" s="161"/>
      <x:c r="X230" s="161"/>
      <x:c r="Y230" s="161"/>
      <x:c r="Z230" s="161"/>
    </x:row>
    <x:row r="231">
      <x:c r="A231" s="161"/>
      <x:c r="B231" s="161"/>
      <x:c r="C231" s="161"/>
      <x:c r="D231" s="161"/>
      <x:c r="E231" s="161"/>
      <x:c r="F231" s="161"/>
      <x:c r="G231" s="161"/>
      <x:c r="H231" s="161"/>
      <x:c r="I231" s="161"/>
      <x:c r="J231" s="161"/>
      <x:c r="K231" s="161"/>
      <x:c r="L231" s="161"/>
      <x:c r="M231" s="161"/>
      <x:c r="N231" s="161"/>
      <x:c r="O231" s="161"/>
      <x:c r="P231" s="161"/>
      <x:c r="Q231" s="161"/>
      <x:c r="R231" s="161"/>
      <x:c r="S231" s="161"/>
      <x:c r="T231" s="161"/>
      <x:c r="U231" s="161"/>
      <x:c r="V231" s="161"/>
      <x:c r="W231" s="161"/>
      <x:c r="X231" s="161"/>
      <x:c r="Y231" s="161"/>
      <x:c r="Z231" s="161"/>
    </x:row>
    <x:row r="232">
      <x:c r="A232" s="161"/>
      <x:c r="B232" s="161"/>
      <x:c r="C232" s="161"/>
      <x:c r="D232" s="161"/>
      <x:c r="E232" s="161"/>
      <x:c r="F232" s="161"/>
      <x:c r="G232" s="161"/>
      <x:c r="H232" s="161"/>
      <x:c r="I232" s="161"/>
      <x:c r="J232" s="161"/>
      <x:c r="K232" s="161"/>
      <x:c r="L232" s="161"/>
      <x:c r="M232" s="161"/>
      <x:c r="N232" s="161"/>
      <x:c r="O232" s="161"/>
      <x:c r="P232" s="161"/>
      <x:c r="Q232" s="161"/>
      <x:c r="R232" s="161"/>
      <x:c r="S232" s="161"/>
      <x:c r="T232" s="161"/>
      <x:c r="U232" s="161"/>
      <x:c r="V232" s="161"/>
      <x:c r="W232" s="161"/>
      <x:c r="X232" s="161"/>
      <x:c r="Y232" s="161"/>
      <x:c r="Z232" s="161"/>
    </x:row>
    <x:row r="233">
      <x:c r="A233" s="161"/>
      <x:c r="B233" s="161"/>
      <x:c r="C233" s="161"/>
      <x:c r="D233" s="161"/>
      <x:c r="E233" s="161"/>
      <x:c r="F233" s="161"/>
      <x:c r="G233" s="161"/>
      <x:c r="H233" s="161"/>
      <x:c r="I233" s="161"/>
      <x:c r="J233" s="161"/>
      <x:c r="K233" s="161"/>
      <x:c r="L233" s="161"/>
      <x:c r="M233" s="161"/>
      <x:c r="N233" s="161"/>
      <x:c r="O233" s="161"/>
      <x:c r="P233" s="161"/>
      <x:c r="Q233" s="161"/>
      <x:c r="R233" s="161"/>
      <x:c r="S233" s="161"/>
      <x:c r="T233" s="161"/>
      <x:c r="U233" s="161"/>
      <x:c r="V233" s="161"/>
      <x:c r="W233" s="161"/>
      <x:c r="X233" s="161"/>
      <x:c r="Y233" s="161"/>
      <x:c r="Z233" s="161"/>
    </x:row>
    <x:row r="234">
      <x:c r="A234" s="161"/>
      <x:c r="B234" s="161"/>
      <x:c r="C234" s="161"/>
      <x:c r="D234" s="161"/>
      <x:c r="E234" s="161"/>
      <x:c r="F234" s="161"/>
      <x:c r="G234" s="161"/>
      <x:c r="H234" s="161"/>
      <x:c r="I234" s="161"/>
      <x:c r="J234" s="161"/>
      <x:c r="K234" s="161"/>
      <x:c r="L234" s="161"/>
      <x:c r="M234" s="161"/>
      <x:c r="N234" s="161"/>
      <x:c r="O234" s="161"/>
      <x:c r="P234" s="161"/>
      <x:c r="Q234" s="161"/>
      <x:c r="R234" s="161"/>
      <x:c r="S234" s="161"/>
      <x:c r="T234" s="161"/>
      <x:c r="U234" s="161"/>
      <x:c r="V234" s="161"/>
      <x:c r="W234" s="161"/>
      <x:c r="X234" s="161"/>
      <x:c r="Y234" s="161"/>
      <x:c r="Z234" s="161"/>
    </x:row>
    <x:row r="235">
      <x:c r="A235" s="161"/>
      <x:c r="B235" s="161"/>
      <x:c r="C235" s="161"/>
      <x:c r="D235" s="161"/>
      <x:c r="E235" s="161"/>
      <x:c r="F235" s="161"/>
      <x:c r="G235" s="161"/>
      <x:c r="H235" s="161"/>
      <x:c r="I235" s="161"/>
      <x:c r="J235" s="161"/>
      <x:c r="K235" s="161"/>
      <x:c r="L235" s="161"/>
      <x:c r="M235" s="161"/>
      <x:c r="N235" s="161"/>
      <x:c r="O235" s="161"/>
      <x:c r="P235" s="161"/>
      <x:c r="Q235" s="161"/>
      <x:c r="R235" s="161"/>
      <x:c r="S235" s="161"/>
      <x:c r="T235" s="161"/>
      <x:c r="U235" s="161"/>
      <x:c r="V235" s="161"/>
      <x:c r="W235" s="161"/>
      <x:c r="X235" s="161"/>
      <x:c r="Y235" s="161"/>
      <x:c r="Z235" s="161"/>
    </x:row>
    <x:row r="236">
      <x:c r="A236" s="161"/>
      <x:c r="B236" s="161"/>
      <x:c r="C236" s="161"/>
      <x:c r="D236" s="161"/>
      <x:c r="E236" s="161"/>
      <x:c r="F236" s="161"/>
      <x:c r="G236" s="161"/>
      <x:c r="H236" s="161"/>
      <x:c r="I236" s="161"/>
      <x:c r="J236" s="161"/>
      <x:c r="K236" s="161"/>
      <x:c r="L236" s="161"/>
      <x:c r="M236" s="161"/>
      <x:c r="N236" s="161"/>
      <x:c r="O236" s="161"/>
      <x:c r="P236" s="161"/>
      <x:c r="Q236" s="161"/>
      <x:c r="R236" s="161"/>
      <x:c r="S236" s="161"/>
      <x:c r="T236" s="161"/>
      <x:c r="U236" s="161"/>
      <x:c r="V236" s="161"/>
      <x:c r="W236" s="161"/>
      <x:c r="X236" s="161"/>
      <x:c r="Y236" s="161"/>
      <x:c r="Z236" s="161"/>
    </x:row>
    <x:row r="237">
      <x:c r="A237" s="161"/>
      <x:c r="B237" s="161"/>
      <x:c r="C237" s="161"/>
      <x:c r="D237" s="161"/>
      <x:c r="E237" s="161"/>
      <x:c r="F237" s="161"/>
      <x:c r="G237" s="161"/>
      <x:c r="H237" s="161"/>
      <x:c r="I237" s="161"/>
      <x:c r="J237" s="161"/>
      <x:c r="K237" s="161"/>
      <x:c r="L237" s="161"/>
      <x:c r="M237" s="161"/>
      <x:c r="N237" s="161"/>
      <x:c r="O237" s="161"/>
      <x:c r="P237" s="161"/>
      <x:c r="Q237" s="161"/>
      <x:c r="R237" s="161"/>
      <x:c r="S237" s="161"/>
      <x:c r="T237" s="161"/>
      <x:c r="U237" s="161"/>
      <x:c r="V237" s="161"/>
      <x:c r="W237" s="161"/>
      <x:c r="X237" s="161"/>
      <x:c r="Y237" s="161"/>
      <x:c r="Z237" s="161"/>
    </x:row>
    <x:row r="238">
      <x:c r="A238" s="161"/>
      <x:c r="B238" s="161"/>
      <x:c r="C238" s="161"/>
      <x:c r="D238" s="161"/>
      <x:c r="E238" s="161"/>
      <x:c r="F238" s="161"/>
      <x:c r="G238" s="161"/>
      <x:c r="H238" s="161"/>
      <x:c r="I238" s="161"/>
      <x:c r="J238" s="161"/>
      <x:c r="K238" s="161"/>
      <x:c r="L238" s="161"/>
      <x:c r="M238" s="161"/>
      <x:c r="N238" s="161"/>
      <x:c r="O238" s="161"/>
      <x:c r="P238" s="161"/>
      <x:c r="Q238" s="161"/>
      <x:c r="R238" s="161"/>
      <x:c r="S238" s="161"/>
      <x:c r="T238" s="161"/>
      <x:c r="U238" s="161"/>
      <x:c r="V238" s="161"/>
      <x:c r="W238" s="161"/>
      <x:c r="X238" s="161"/>
      <x:c r="Y238" s="161"/>
      <x:c r="Z238" s="161"/>
    </x:row>
    <x:row r="239">
      <x:c r="A239" s="161"/>
      <x:c r="B239" s="161"/>
      <x:c r="C239" s="161"/>
      <x:c r="D239" s="161"/>
      <x:c r="E239" s="161"/>
      <x:c r="F239" s="161"/>
      <x:c r="G239" s="161"/>
      <x:c r="H239" s="161"/>
      <x:c r="I239" s="161"/>
      <x:c r="J239" s="161"/>
      <x:c r="K239" s="161"/>
      <x:c r="L239" s="161"/>
      <x:c r="M239" s="161"/>
      <x:c r="N239" s="161"/>
      <x:c r="O239" s="161"/>
      <x:c r="P239" s="161"/>
      <x:c r="Q239" s="161"/>
      <x:c r="R239" s="161"/>
      <x:c r="S239" s="161"/>
      <x:c r="T239" s="161"/>
      <x:c r="U239" s="161"/>
      <x:c r="V239" s="161"/>
      <x:c r="W239" s="161"/>
      <x:c r="X239" s="161"/>
      <x:c r="Y239" s="161"/>
      <x:c r="Z239" s="161"/>
    </x:row>
    <x:row r="240">
      <x:c r="A240" s="161"/>
      <x:c r="B240" s="161"/>
      <x:c r="C240" s="161"/>
      <x:c r="D240" s="161"/>
      <x:c r="E240" s="161"/>
      <x:c r="F240" s="161"/>
      <x:c r="G240" s="161"/>
      <x:c r="H240" s="161"/>
      <x:c r="I240" s="161"/>
      <x:c r="J240" s="161"/>
      <x:c r="K240" s="161"/>
      <x:c r="L240" s="161"/>
      <x:c r="M240" s="161"/>
      <x:c r="N240" s="161"/>
      <x:c r="O240" s="161"/>
      <x:c r="P240" s="161"/>
      <x:c r="Q240" s="161"/>
      <x:c r="R240" s="161"/>
      <x:c r="S240" s="161"/>
      <x:c r="T240" s="161"/>
      <x:c r="U240" s="161"/>
      <x:c r="V240" s="161"/>
      <x:c r="W240" s="161"/>
      <x:c r="X240" s="161"/>
      <x:c r="Y240" s="161"/>
      <x:c r="Z240" s="161"/>
    </x:row>
    <x:row r="241">
      <x:c r="A241" s="161"/>
      <x:c r="B241" s="161"/>
      <x:c r="C241" s="161"/>
      <x:c r="D241" s="161"/>
      <x:c r="E241" s="161"/>
      <x:c r="F241" s="161"/>
      <x:c r="G241" s="161"/>
      <x:c r="H241" s="161"/>
      <x:c r="I241" s="161"/>
      <x:c r="J241" s="161"/>
      <x:c r="K241" s="161"/>
      <x:c r="L241" s="161"/>
      <x:c r="M241" s="161"/>
      <x:c r="N241" s="161"/>
      <x:c r="O241" s="161"/>
      <x:c r="P241" s="161"/>
      <x:c r="Q241" s="161"/>
      <x:c r="R241" s="161"/>
      <x:c r="S241" s="161"/>
      <x:c r="T241" s="161"/>
      <x:c r="U241" s="161"/>
      <x:c r="V241" s="161"/>
      <x:c r="W241" s="161"/>
      <x:c r="X241" s="161"/>
      <x:c r="Y241" s="161"/>
      <x:c r="Z241" s="161"/>
    </x:row>
    <x:row r="242">
      <x:c r="A242" s="161"/>
      <x:c r="B242" s="161"/>
      <x:c r="C242" s="161"/>
      <x:c r="D242" s="161"/>
      <x:c r="E242" s="161"/>
      <x:c r="F242" s="161"/>
      <x:c r="G242" s="161"/>
      <x:c r="H242" s="161"/>
      <x:c r="I242" s="161"/>
      <x:c r="J242" s="161"/>
      <x:c r="K242" s="161"/>
      <x:c r="L242" s="161"/>
      <x:c r="M242" s="161"/>
      <x:c r="N242" s="161"/>
      <x:c r="O242" s="161"/>
      <x:c r="P242" s="161"/>
      <x:c r="Q242" s="161"/>
      <x:c r="R242" s="161"/>
      <x:c r="S242" s="161"/>
      <x:c r="T242" s="161"/>
      <x:c r="U242" s="161"/>
      <x:c r="V242" s="161"/>
      <x:c r="W242" s="161"/>
      <x:c r="X242" s="161"/>
      <x:c r="Y242" s="161"/>
      <x:c r="Z242" s="161"/>
    </x:row>
    <x:row r="243">
      <x:c r="A243" s="161"/>
      <x:c r="B243" s="161"/>
      <x:c r="C243" s="161"/>
      <x:c r="D243" s="161"/>
      <x:c r="E243" s="161"/>
      <x:c r="F243" s="161"/>
      <x:c r="G243" s="161"/>
      <x:c r="H243" s="161"/>
      <x:c r="I243" s="161"/>
      <x:c r="J243" s="161"/>
      <x:c r="K243" s="161"/>
      <x:c r="L243" s="161"/>
      <x:c r="M243" s="161"/>
      <x:c r="N243" s="161"/>
      <x:c r="O243" s="161"/>
      <x:c r="P243" s="161"/>
      <x:c r="Q243" s="161"/>
      <x:c r="R243" s="161"/>
      <x:c r="S243" s="161"/>
      <x:c r="T243" s="161"/>
      <x:c r="U243" s="161"/>
      <x:c r="V243" s="161"/>
      <x:c r="W243" s="161"/>
      <x:c r="X243" s="161"/>
      <x:c r="Y243" s="161"/>
      <x:c r="Z243" s="161"/>
    </x:row>
    <x:row r="244">
      <x:c r="A244" s="161"/>
      <x:c r="B244" s="161"/>
      <x:c r="C244" s="161"/>
      <x:c r="D244" s="161"/>
      <x:c r="E244" s="161"/>
      <x:c r="F244" s="161"/>
      <x:c r="G244" s="161"/>
      <x:c r="H244" s="161"/>
      <x:c r="I244" s="161"/>
      <x:c r="J244" s="161"/>
      <x:c r="K244" s="161"/>
      <x:c r="L244" s="161"/>
      <x:c r="M244" s="161"/>
      <x:c r="N244" s="161"/>
      <x:c r="O244" s="161"/>
      <x:c r="P244" s="161"/>
      <x:c r="Q244" s="161"/>
      <x:c r="R244" s="161"/>
      <x:c r="S244" s="161"/>
      <x:c r="T244" s="161"/>
      <x:c r="U244" s="161"/>
      <x:c r="V244" s="161"/>
      <x:c r="W244" s="161"/>
      <x:c r="X244" s="161"/>
      <x:c r="Y244" s="161"/>
      <x:c r="Z244" s="161"/>
    </x:row>
    <x:row r="245">
      <x:c r="A245" s="161"/>
      <x:c r="B245" s="161"/>
      <x:c r="C245" s="161"/>
      <x:c r="D245" s="161"/>
      <x:c r="E245" s="161"/>
      <x:c r="F245" s="161"/>
      <x:c r="G245" s="161"/>
      <x:c r="H245" s="161"/>
      <x:c r="I245" s="161"/>
      <x:c r="J245" s="161"/>
      <x:c r="K245" s="161"/>
      <x:c r="L245" s="161"/>
      <x:c r="M245" s="161"/>
      <x:c r="N245" s="161"/>
      <x:c r="O245" s="161"/>
      <x:c r="P245" s="161"/>
      <x:c r="Q245" s="161"/>
      <x:c r="R245" s="161"/>
      <x:c r="S245" s="161"/>
      <x:c r="T245" s="161"/>
      <x:c r="U245" s="161"/>
      <x:c r="V245" s="161"/>
      <x:c r="W245" s="161"/>
      <x:c r="X245" s="161"/>
      <x:c r="Y245" s="161"/>
      <x:c r="Z245" s="161"/>
    </x:row>
    <x:row r="246">
      <x:c r="A246" s="161"/>
      <x:c r="B246" s="161"/>
      <x:c r="C246" s="161"/>
      <x:c r="D246" s="161"/>
      <x:c r="E246" s="161"/>
      <x:c r="F246" s="161"/>
      <x:c r="G246" s="161"/>
      <x:c r="H246" s="161"/>
      <x:c r="I246" s="161"/>
      <x:c r="J246" s="161"/>
      <x:c r="K246" s="161"/>
      <x:c r="L246" s="161"/>
      <x:c r="M246" s="161"/>
      <x:c r="N246" s="161"/>
      <x:c r="O246" s="161"/>
      <x:c r="P246" s="161"/>
      <x:c r="Q246" s="161"/>
      <x:c r="R246" s="161"/>
      <x:c r="S246" s="161"/>
      <x:c r="T246" s="161"/>
      <x:c r="U246" s="161"/>
      <x:c r="V246" s="161"/>
      <x:c r="W246" s="161"/>
      <x:c r="X246" s="161"/>
      <x:c r="Y246" s="161"/>
      <x:c r="Z246" s="161"/>
    </x:row>
    <x:row r="247">
      <x:c r="A247" s="161"/>
      <x:c r="B247" s="161"/>
      <x:c r="C247" s="161"/>
      <x:c r="D247" s="161"/>
      <x:c r="E247" s="161"/>
      <x:c r="F247" s="161"/>
      <x:c r="G247" s="161"/>
      <x:c r="H247" s="161"/>
      <x:c r="I247" s="161"/>
      <x:c r="J247" s="161"/>
      <x:c r="K247" s="161"/>
      <x:c r="L247" s="161"/>
      <x:c r="M247" s="161"/>
      <x:c r="N247" s="161"/>
      <x:c r="O247" s="161"/>
      <x:c r="P247" s="161"/>
      <x:c r="Q247" s="161"/>
      <x:c r="R247" s="161"/>
      <x:c r="S247" s="161"/>
      <x:c r="T247" s="161"/>
      <x:c r="U247" s="161"/>
      <x:c r="V247" s="161"/>
      <x:c r="W247" s="161"/>
      <x:c r="X247" s="161"/>
      <x:c r="Y247" s="161"/>
      <x:c r="Z247" s="161"/>
    </x:row>
    <x:row r="248">
      <x:c r="A248" s="161"/>
      <x:c r="B248" s="161"/>
      <x:c r="C248" s="161"/>
      <x:c r="D248" s="161"/>
      <x:c r="E248" s="161"/>
      <x:c r="F248" s="161"/>
      <x:c r="G248" s="161"/>
      <x:c r="H248" s="161"/>
      <x:c r="I248" s="161"/>
      <x:c r="J248" s="161"/>
      <x:c r="K248" s="161"/>
      <x:c r="L248" s="161"/>
      <x:c r="M248" s="161"/>
      <x:c r="N248" s="161"/>
      <x:c r="O248" s="161"/>
      <x:c r="P248" s="161"/>
      <x:c r="Q248" s="161"/>
      <x:c r="R248" s="161"/>
      <x:c r="S248" s="161"/>
      <x:c r="T248" s="161"/>
      <x:c r="U248" s="161"/>
      <x:c r="V248" s="161"/>
      <x:c r="W248" s="161"/>
      <x:c r="X248" s="161"/>
      <x:c r="Y248" s="161"/>
      <x:c r="Z248" s="161"/>
    </x:row>
    <x:row r="249">
      <x:c r="A249" s="161"/>
      <x:c r="B249" s="161"/>
      <x:c r="C249" s="161"/>
      <x:c r="D249" s="161"/>
      <x:c r="E249" s="161"/>
      <x:c r="F249" s="161"/>
      <x:c r="G249" s="161"/>
      <x:c r="H249" s="161"/>
      <x:c r="I249" s="161"/>
      <x:c r="J249" s="161"/>
      <x:c r="K249" s="161"/>
      <x:c r="L249" s="161"/>
      <x:c r="M249" s="161"/>
      <x:c r="N249" s="161"/>
      <x:c r="O249" s="161"/>
      <x:c r="P249" s="161"/>
      <x:c r="Q249" s="161"/>
      <x:c r="R249" s="161"/>
      <x:c r="S249" s="161"/>
      <x:c r="T249" s="161"/>
      <x:c r="U249" s="161"/>
      <x:c r="V249" s="161"/>
      <x:c r="W249" s="161"/>
      <x:c r="X249" s="161"/>
      <x:c r="Y249" s="161"/>
      <x:c r="Z249" s="161"/>
    </x:row>
    <x:row r="250">
      <x:c r="A250" s="161"/>
      <x:c r="B250" s="161"/>
      <x:c r="C250" s="161"/>
      <x:c r="D250" s="161"/>
      <x:c r="E250" s="161"/>
      <x:c r="F250" s="161"/>
      <x:c r="G250" s="161"/>
      <x:c r="H250" s="161"/>
      <x:c r="I250" s="161"/>
      <x:c r="J250" s="161"/>
      <x:c r="K250" s="161"/>
      <x:c r="L250" s="161"/>
      <x:c r="M250" s="161"/>
      <x:c r="N250" s="161"/>
      <x:c r="O250" s="161"/>
      <x:c r="P250" s="161"/>
      <x:c r="Q250" s="161"/>
      <x:c r="R250" s="161"/>
      <x:c r="S250" s="161"/>
      <x:c r="T250" s="161"/>
      <x:c r="U250" s="161"/>
      <x:c r="V250" s="161"/>
      <x:c r="W250" s="161"/>
      <x:c r="X250" s="161"/>
      <x:c r="Y250" s="161"/>
      <x:c r="Z250" s="161"/>
    </x:row>
  </x:sheetData>
  <x:mergeCells>
    <x:mergeCell ref="A1:H1"/>
    <x:mergeCell ref="A2:H3"/>
    <x:mergeCell ref="I1:J1"/>
  </x:mergeCells>
  <x:dataValidations count="4">
    <x:dataValidation type="list" sqref="B6:B200">
      <x:formula1>'03 Clientes'!$A$6:$A$200</x:formula1>
    </x:dataValidation>
    <x:dataValidation type="list" sqref="D6:D200">
      <x:formula1>'02 Config'!$H$6:$H$12</x:formula1>
    </x:dataValidation>
    <x:dataValidation type="list" sqref="G6:G200">
      <x:formula1>'02 Config'!$D$6:$D$10</x:formula1>
    </x:dataValidation>
    <x:dataValidation type="list" sqref="J6:J200">
      <x:formula1>'02 Config'!$J$19:$J$21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4fcb52b18e453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24" hidden="0" customWidth="1"/>
    <x:col min="5" max="5" width="30" hidden="0" customWidth="1"/>
    <x:col min="6" max="6" width="18" hidden="0" customWidth="1"/>
    <x:col min="7" max="7" width="14" hidden="0" customWidth="1"/>
    <x:col min="8" max="8" width="12" hidden="0" customWidth="1"/>
    <x:col min="9" max="9" width="16" hidden="0" customWidth="1"/>
    <x:col min="10" max="10" width="34" hidden="0" customWidth="1"/>
  </x:cols>
  <x:sheetData>
    <x:row r="1" ht="42" customHeight="1">
      <x:c r="A1" s="45" t="str">
        <x:v>Actividades comerciales</x:v>
      </x:c>
      <x:c r="B1" s="160"/>
      <x:c r="C1" s="160"/>
      <x:c r="D1" s="160"/>
      <x:c r="E1" s="160"/>
      <x:c r="F1" s="160"/>
      <x:c r="G1" s="160"/>
      <x:c r="H1" s="160"/>
      <x:c r="I1" s="58" t="str">
        <x:v>AGENDA</x:v>
      </x:c>
      <x:c r="J1" s="160"/>
      <x:c r="K1" s="161"/>
      <x:c r="L1" s="161"/>
      <x:c r="M1" s="161"/>
      <x:c r="N1" s="161"/>
      <x:c r="O1" s="161"/>
      <x:c r="P1" s="161"/>
      <x:c r="Q1" s="161"/>
      <x:c r="R1" s="161"/>
      <x:c r="S1" s="161"/>
      <x:c r="T1" s="161"/>
      <x:c r="U1" s="161"/>
      <x:c r="V1" s="161"/>
      <x:c r="W1" s="161"/>
      <x:c r="X1" s="161"/>
      <x:c r="Y1" s="161"/>
      <x:c r="Z1" s="161"/>
    </x:row>
    <x:row r="2">
      <x:c r="A2" s="166" t="str">
        <x:v>Planifica tareas internas vinculadas al seguimiento de clientes y oportunidades.</x:v>
      </x:c>
      <x:c r="B2" s="160"/>
      <x:c r="C2" s="160"/>
      <x:c r="D2" s="160"/>
      <x:c r="E2" s="160"/>
      <x:c r="F2" s="160"/>
      <x:c r="G2" s="160"/>
      <x:c r="H2" s="160"/>
      <x:c r="I2" s="160"/>
      <x:c r="J2" s="160"/>
      <x:c r="K2" s="161"/>
      <x:c r="L2" s="161"/>
      <x:c r="M2" s="161"/>
      <x:c r="N2" s="161"/>
      <x:c r="O2" s="161"/>
      <x:c r="P2" s="161"/>
      <x:c r="Q2" s="161"/>
      <x:c r="R2" s="161"/>
      <x:c r="S2" s="161"/>
      <x:c r="T2" s="161"/>
      <x:c r="U2" s="161"/>
      <x:c r="V2" s="161"/>
      <x:c r="W2" s="161"/>
      <x:c r="X2" s="161"/>
      <x:c r="Y2" s="161"/>
      <x:c r="Z2" s="161"/>
    </x:row>
    <x:row r="3">
      <x:c r="A3" s="160"/>
      <x:c r="B3" s="160"/>
      <x:c r="C3" s="160"/>
      <x:c r="D3" s="160"/>
      <x:c r="E3" s="160"/>
      <x:c r="F3" s="160"/>
      <x:c r="G3" s="160"/>
      <x:c r="H3" s="160"/>
      <x:c r="I3" s="160"/>
      <x:c r="J3" s="160"/>
      <x:c r="K3" s="161"/>
      <x:c r="L3" s="161"/>
      <x:c r="M3" s="161"/>
      <x:c r="N3" s="161"/>
      <x:c r="O3" s="161"/>
      <x:c r="P3" s="161"/>
      <x:c r="Q3" s="161"/>
      <x:c r="R3" s="161"/>
      <x:c r="S3" s="161"/>
      <x:c r="T3" s="161"/>
      <x:c r="U3" s="161"/>
      <x:c r="V3" s="161"/>
      <x:c r="W3" s="161"/>
      <x:c r="X3" s="161"/>
      <x:c r="Y3" s="161"/>
      <x:c r="Z3" s="161"/>
    </x:row>
    <x:row r="4">
      <x:c r="A4" s="160"/>
      <x:c r="B4" s="160"/>
      <x:c r="C4" s="160"/>
      <x:c r="D4" s="160"/>
      <x:c r="E4" s="160"/>
      <x:c r="F4" s="160"/>
      <x:c r="G4" s="160"/>
      <x:c r="H4" s="160"/>
      <x:c r="I4" s="160"/>
      <x:c r="J4" s="160"/>
      <x:c r="K4" s="161"/>
      <x:c r="L4" s="161"/>
      <x:c r="M4" s="161"/>
      <x:c r="N4" s="161"/>
      <x:c r="O4" s="161"/>
      <x:c r="P4" s="161"/>
      <x:c r="Q4" s="161"/>
      <x:c r="R4" s="161"/>
      <x:c r="S4" s="161"/>
      <x:c r="T4" s="161"/>
      <x:c r="U4" s="161"/>
      <x:c r="V4" s="161"/>
      <x:c r="W4" s="161"/>
      <x:c r="X4" s="161"/>
      <x:c r="Y4" s="161"/>
      <x:c r="Z4" s="161"/>
    </x:row>
    <x:row r="5">
      <x:c r="A5" s="65" t="str">
        <x:v>ID Actividad</x:v>
      </x:c>
      <x:c r="B5" s="65" t="str">
        <x:v>Fecha creación</x:v>
      </x:c>
      <x:c r="C5" s="65" t="str">
        <x:v>Responsable</x:v>
      </x:c>
      <x:c r="D5" s="65" t="str">
        <x:v>Cliente</x:v>
      </x:c>
      <x:c r="E5" s="65" t="str">
        <x:v>Actividad</x:v>
      </x:c>
      <x:c r="F5" s="65" t="str">
        <x:v>Fecha compromiso</x:v>
      </x:c>
      <x:c r="G5" s="65" t="str">
        <x:v>Estatus</x:v>
      </x:c>
      <x:c r="H5" s="65" t="str">
        <x:v>Prioridad</x:v>
      </x:c>
      <x:c r="I5" s="65" t="str">
        <x:v>Días para vencer</x:v>
      </x:c>
      <x:c r="J5" s="65" t="str">
        <x:v>Notas</x:v>
      </x:c>
      <x:c r="K5" s="161"/>
      <x:c r="L5" s="161"/>
      <x:c r="M5" s="161"/>
      <x:c r="N5" s="161"/>
      <x:c r="O5" s="161"/>
      <x:c r="P5" s="161"/>
      <x:c r="Q5" s="161"/>
      <x:c r="R5" s="161"/>
      <x:c r="S5" s="161"/>
      <x:c r="T5" s="161"/>
      <x:c r="U5" s="161"/>
      <x:c r="V5" s="161"/>
      <x:c r="W5" s="161"/>
      <x:c r="X5" s="161"/>
      <x:c r="Y5" s="161"/>
      <x:c r="Z5" s="161"/>
    </x:row>
    <x:row r="6">
      <x:c r="A6" s="129" t="str">
        <x:v>ACT-001</x:v>
      </x:c>
      <x:c r="B6" s="124" t="n">
        <x:v>46152</x:v>
      </x:c>
      <x:c r="C6" s="108" t="str">
        <x:v>Ejecutivo 1</x:v>
      </x:c>
      <x:c r="D6" s="108" t="str">
        <x:v>Clínica Dermalysse</x:v>
      </x:c>
      <x:c r="E6" s="108" t="str">
        <x:v>Enviar propuesta actualizada</x:v>
      </x:c>
      <x:c r="F6" s="124" t="n">
        <x:v>46157</x:v>
      </x:c>
      <x:c r="G6" s="108" t="str">
        <x:v>Pendiente</x:v>
      </x:c>
      <x:c r="H6" s="108" t="str">
        <x:v>Alta</x:v>
      </x:c>
      <x:c r="I6" s="129" t="n">
        <x:f>IF(F6="","",F6-TODAY())</x:f>
        <x:v>4</x:v>
      </x:c>
      <x:c r="J6" s="108" t="str">
        <x:v>Validar inversión final.</x:v>
      </x:c>
      <x:c r="K6" s="161"/>
      <x:c r="L6" s="161"/>
      <x:c r="M6" s="161"/>
      <x:c r="N6" s="161"/>
      <x:c r="O6" s="161"/>
      <x:c r="P6" s="161"/>
      <x:c r="Q6" s="161"/>
      <x:c r="R6" s="161"/>
      <x:c r="S6" s="161"/>
      <x:c r="T6" s="161"/>
      <x:c r="U6" s="161"/>
      <x:c r="V6" s="161"/>
      <x:c r="W6" s="161"/>
      <x:c r="X6" s="161"/>
      <x:c r="Y6" s="161"/>
      <x:c r="Z6" s="161"/>
    </x:row>
    <x:row r="7">
      <x:c r="A7" s="129" t="str">
        <x:v>ACT-002</x:v>
      </x:c>
      <x:c r="B7" s="124" t="n">
        <x:v>46153</x:v>
      </x:c>
      <x:c r="C7" s="108" t="str">
        <x:v>Ejecutivo 2</x:v>
      </x:c>
      <x:c r="D7" s="108" t="str">
        <x:v>AgroMarket MX</x:v>
      </x:c>
      <x:c r="E7" s="108" t="str">
        <x:v>Realizar demo de CRM</x:v>
      </x:c>
      <x:c r="F7" s="124" t="n">
        <x:v>46160</x:v>
      </x:c>
      <x:c r="G7" s="108" t="str">
        <x:v>Pendiente</x:v>
      </x:c>
      <x:c r="H7" s="108" t="str">
        <x:v>Media</x:v>
      </x:c>
      <x:c r="I7" s="129" t="n">
        <x:f>IF(F7="","",F7-TODAY())</x:f>
        <x:v>7</x:v>
      </x:c>
      <x:c r="J7" s="108" t="str">
        <x:v>Enviar link de reunión.</x:v>
      </x:c>
      <x:c r="K7" s="161"/>
      <x:c r="L7" s="161"/>
      <x:c r="M7" s="161"/>
      <x:c r="N7" s="161"/>
      <x:c r="O7" s="161"/>
      <x:c r="P7" s="161"/>
      <x:c r="Q7" s="161"/>
      <x:c r="R7" s="161"/>
      <x:c r="S7" s="161"/>
      <x:c r="T7" s="161"/>
      <x:c r="U7" s="161"/>
      <x:c r="V7" s="161"/>
      <x:c r="W7" s="161"/>
      <x:c r="X7" s="161"/>
      <x:c r="Y7" s="161"/>
      <x:c r="Z7" s="161"/>
    </x:row>
    <x:row r="8">
      <x:c r="A8" s="129" t="str">
        <x:f>IF(E8&lt;&gt;"","ACT-"&amp;TEXT(ROW()-5,"000"),"")</x:f>
      </x:c>
      <x:c r="B8" s="124"/>
      <x:c r="C8" s="108"/>
      <x:c r="D8" s="108"/>
      <x:c r="E8" s="108"/>
      <x:c r="F8" s="124"/>
      <x:c r="G8" s="108"/>
      <x:c r="H8" s="108"/>
      <x:c r="I8" s="129" t="str">
        <x:f>IF(F8="","",F8-TODAY())</x:f>
      </x:c>
      <x:c r="J8" s="108"/>
      <x:c r="K8" s="161"/>
      <x:c r="L8" s="161"/>
      <x:c r="M8" s="161"/>
      <x:c r="N8" s="161"/>
      <x:c r="O8" s="161"/>
      <x:c r="P8" s="161"/>
      <x:c r="Q8" s="161"/>
      <x:c r="R8" s="161"/>
      <x:c r="S8" s="161"/>
      <x:c r="T8" s="161"/>
      <x:c r="U8" s="161"/>
      <x:c r="V8" s="161"/>
      <x:c r="W8" s="161"/>
      <x:c r="X8" s="161"/>
      <x:c r="Y8" s="161"/>
      <x:c r="Z8" s="161"/>
    </x:row>
    <x:row r="9">
      <x:c r="A9" s="129" t="str">
        <x:f>IF(E9&lt;&gt;"","ACT-"&amp;TEXT(ROW()-5,"000"),"")</x:f>
      </x:c>
      <x:c r="B9" s="124"/>
      <x:c r="C9" s="108"/>
      <x:c r="D9" s="108"/>
      <x:c r="E9" s="108"/>
      <x:c r="F9" s="124"/>
      <x:c r="G9" s="108"/>
      <x:c r="H9" s="108"/>
      <x:c r="I9" s="129" t="str">
        <x:f>IF(F9="","",F9-TODAY())</x:f>
      </x:c>
      <x:c r="J9" s="108"/>
      <x:c r="K9" s="161"/>
      <x:c r="L9" s="161"/>
      <x:c r="M9" s="161"/>
      <x:c r="N9" s="161"/>
      <x:c r="O9" s="161"/>
      <x:c r="P9" s="161"/>
      <x:c r="Q9" s="161"/>
      <x:c r="R9" s="161"/>
      <x:c r="S9" s="161"/>
      <x:c r="T9" s="161"/>
      <x:c r="U9" s="161"/>
      <x:c r="V9" s="161"/>
      <x:c r="W9" s="161"/>
      <x:c r="X9" s="161"/>
      <x:c r="Y9" s="161"/>
      <x:c r="Z9" s="161"/>
    </x:row>
    <x:row r="10">
      <x:c r="A10" s="129" t="str">
        <x:f>IF(E10&lt;&gt;"","ACT-"&amp;TEXT(ROW()-5,"000"),"")</x:f>
      </x:c>
      <x:c r="B10" s="124"/>
      <x:c r="C10" s="108"/>
      <x:c r="D10" s="108"/>
      <x:c r="E10" s="108"/>
      <x:c r="F10" s="124"/>
      <x:c r="G10" s="108"/>
      <x:c r="H10" s="108"/>
      <x:c r="I10" s="129" t="str">
        <x:f>IF(F10="","",F10-TODAY())</x:f>
      </x:c>
      <x:c r="J10" s="108"/>
      <x:c r="K10" s="161"/>
      <x:c r="L10" s="161"/>
      <x:c r="M10" s="161"/>
      <x:c r="N10" s="161"/>
      <x:c r="O10" s="161"/>
      <x:c r="P10" s="161"/>
      <x:c r="Q10" s="161"/>
      <x:c r="R10" s="161"/>
      <x:c r="S10" s="161"/>
      <x:c r="T10" s="161"/>
      <x:c r="U10" s="161"/>
      <x:c r="V10" s="161"/>
      <x:c r="W10" s="161"/>
      <x:c r="X10" s="161"/>
      <x:c r="Y10" s="161"/>
      <x:c r="Z10" s="161"/>
    </x:row>
    <x:row r="11">
      <x:c r="A11" s="129" t="str">
        <x:f>IF(E11&lt;&gt;"","ACT-"&amp;TEXT(ROW()-5,"000"),"")</x:f>
      </x:c>
      <x:c r="B11" s="124"/>
      <x:c r="C11" s="108"/>
      <x:c r="D11" s="108"/>
      <x:c r="E11" s="108"/>
      <x:c r="F11" s="124"/>
      <x:c r="G11" s="108"/>
      <x:c r="H11" s="108"/>
      <x:c r="I11" s="129" t="str">
        <x:f>IF(F11="","",F11-TODAY())</x:f>
      </x:c>
      <x:c r="J11" s="108"/>
      <x:c r="K11" s="161"/>
      <x:c r="L11" s="161"/>
      <x:c r="M11" s="161"/>
      <x:c r="N11" s="161"/>
      <x:c r="O11" s="161"/>
      <x:c r="P11" s="161"/>
      <x:c r="Q11" s="161"/>
      <x:c r="R11" s="161"/>
      <x:c r="S11" s="161"/>
      <x:c r="T11" s="161"/>
      <x:c r="U11" s="161"/>
      <x:c r="V11" s="161"/>
      <x:c r="W11" s="161"/>
      <x:c r="X11" s="161"/>
      <x:c r="Y11" s="161"/>
      <x:c r="Z11" s="161"/>
    </x:row>
    <x:row r="12">
      <x:c r="A12" s="129" t="str">
        <x:f>IF(E12&lt;&gt;"","ACT-"&amp;TEXT(ROW()-5,"000"),"")</x:f>
      </x:c>
      <x:c r="B12" s="124"/>
      <x:c r="C12" s="108"/>
      <x:c r="D12" s="108"/>
      <x:c r="E12" s="108"/>
      <x:c r="F12" s="124"/>
      <x:c r="G12" s="108"/>
      <x:c r="H12" s="108"/>
      <x:c r="I12" s="129" t="str">
        <x:f>IF(F12="","",F12-TODAY())</x:f>
      </x:c>
      <x:c r="J12" s="108"/>
      <x:c r="K12" s="161"/>
      <x:c r="L12" s="161"/>
      <x:c r="M12" s="161"/>
      <x:c r="N12" s="161"/>
      <x:c r="O12" s="161"/>
      <x:c r="P12" s="161"/>
      <x:c r="Q12" s="161"/>
      <x:c r="R12" s="161"/>
      <x:c r="S12" s="161"/>
      <x:c r="T12" s="161"/>
      <x:c r="U12" s="161"/>
      <x:c r="V12" s="161"/>
      <x:c r="W12" s="161"/>
      <x:c r="X12" s="161"/>
      <x:c r="Y12" s="161"/>
      <x:c r="Z12" s="161"/>
    </x:row>
    <x:row r="13">
      <x:c r="A13" s="129" t="str">
        <x:f>IF(E13&lt;&gt;"","ACT-"&amp;TEXT(ROW()-5,"000"),"")</x:f>
      </x:c>
      <x:c r="B13" s="124"/>
      <x:c r="C13" s="108"/>
      <x:c r="D13" s="108"/>
      <x:c r="E13" s="108"/>
      <x:c r="F13" s="124"/>
      <x:c r="G13" s="108"/>
      <x:c r="H13" s="108"/>
      <x:c r="I13" s="129" t="str">
        <x:f>IF(F13="","",F13-TODAY())</x:f>
      </x:c>
      <x:c r="J13" s="108"/>
      <x:c r="K13" s="161"/>
      <x:c r="L13" s="161"/>
      <x:c r="M13" s="161"/>
      <x:c r="N13" s="161"/>
      <x:c r="O13" s="161"/>
      <x:c r="P13" s="161"/>
      <x:c r="Q13" s="161"/>
      <x:c r="R13" s="161"/>
      <x:c r="S13" s="161"/>
      <x:c r="T13" s="161"/>
      <x:c r="U13" s="161"/>
      <x:c r="V13" s="161"/>
      <x:c r="W13" s="161"/>
      <x:c r="X13" s="161"/>
      <x:c r="Y13" s="161"/>
      <x:c r="Z13" s="161"/>
    </x:row>
    <x:row r="14">
      <x:c r="A14" s="129" t="str">
        <x:f>IF(E14&lt;&gt;"","ACT-"&amp;TEXT(ROW()-5,"000"),"")</x:f>
      </x:c>
      <x:c r="B14" s="124"/>
      <x:c r="C14" s="108"/>
      <x:c r="D14" s="108"/>
      <x:c r="E14" s="108"/>
      <x:c r="F14" s="124"/>
      <x:c r="G14" s="108"/>
      <x:c r="H14" s="108"/>
      <x:c r="I14" s="129" t="str">
        <x:f>IF(F14="","",F14-TODAY())</x:f>
      </x:c>
      <x:c r="J14" s="108"/>
      <x:c r="K14" s="161"/>
      <x:c r="L14" s="161"/>
      <x:c r="M14" s="161"/>
      <x:c r="N14" s="161"/>
      <x:c r="O14" s="161"/>
      <x:c r="P14" s="161"/>
      <x:c r="Q14" s="161"/>
      <x:c r="R14" s="161"/>
      <x:c r="S14" s="161"/>
      <x:c r="T14" s="161"/>
      <x:c r="U14" s="161"/>
      <x:c r="V14" s="161"/>
      <x:c r="W14" s="161"/>
      <x:c r="X14" s="161"/>
      <x:c r="Y14" s="161"/>
      <x:c r="Z14" s="161"/>
    </x:row>
    <x:row r="15">
      <x:c r="A15" s="129" t="str">
        <x:f>IF(E15&lt;&gt;"","ACT-"&amp;TEXT(ROW()-5,"000"),"")</x:f>
      </x:c>
      <x:c r="B15" s="124"/>
      <x:c r="C15" s="108"/>
      <x:c r="D15" s="108"/>
      <x:c r="E15" s="108"/>
      <x:c r="F15" s="124"/>
      <x:c r="G15" s="108"/>
      <x:c r="H15" s="108"/>
      <x:c r="I15" s="129" t="str">
        <x:f>IF(F15="","",F15-TODAY())</x:f>
      </x:c>
      <x:c r="J15" s="108"/>
      <x:c r="K15" s="161"/>
      <x:c r="L15" s="161"/>
      <x:c r="M15" s="161"/>
      <x:c r="N15" s="161"/>
      <x:c r="O15" s="161"/>
      <x:c r="P15" s="161"/>
      <x:c r="Q15" s="161"/>
      <x:c r="R15" s="161"/>
      <x:c r="S15" s="161"/>
      <x:c r="T15" s="161"/>
      <x:c r="U15" s="161"/>
      <x:c r="V15" s="161"/>
      <x:c r="W15" s="161"/>
      <x:c r="X15" s="161"/>
      <x:c r="Y15" s="161"/>
      <x:c r="Z15" s="161"/>
    </x:row>
    <x:row r="16">
      <x:c r="A16" s="129" t="str">
        <x:f>IF(E16&lt;&gt;"","ACT-"&amp;TEXT(ROW()-5,"000"),"")</x:f>
      </x:c>
      <x:c r="B16" s="124"/>
      <x:c r="C16" s="108"/>
      <x:c r="D16" s="108"/>
      <x:c r="E16" s="108"/>
      <x:c r="F16" s="124"/>
      <x:c r="G16" s="108"/>
      <x:c r="H16" s="108"/>
      <x:c r="I16" s="129" t="str">
        <x:f>IF(F16="","",F16-TODAY())</x:f>
      </x:c>
      <x:c r="J16" s="108"/>
      <x:c r="K16" s="161"/>
      <x:c r="L16" s="161"/>
      <x:c r="M16" s="161"/>
      <x:c r="N16" s="161"/>
      <x:c r="O16" s="161"/>
      <x:c r="P16" s="161"/>
      <x:c r="Q16" s="161"/>
      <x:c r="R16" s="161"/>
      <x:c r="S16" s="161"/>
      <x:c r="T16" s="161"/>
      <x:c r="U16" s="161"/>
      <x:c r="V16" s="161"/>
      <x:c r="W16" s="161"/>
      <x:c r="X16" s="161"/>
      <x:c r="Y16" s="161"/>
      <x:c r="Z16" s="161"/>
    </x:row>
    <x:row r="17">
      <x:c r="A17" s="129" t="str">
        <x:f>IF(E17&lt;&gt;"","ACT-"&amp;TEXT(ROW()-5,"000"),"")</x:f>
      </x:c>
      <x:c r="B17" s="124"/>
      <x:c r="C17" s="108"/>
      <x:c r="D17" s="108"/>
      <x:c r="E17" s="108"/>
      <x:c r="F17" s="124"/>
      <x:c r="G17" s="108"/>
      <x:c r="H17" s="108"/>
      <x:c r="I17" s="129" t="str">
        <x:f>IF(F17="","",F17-TODAY())</x:f>
      </x:c>
      <x:c r="J17" s="108"/>
      <x:c r="K17" s="161"/>
      <x:c r="L17" s="161"/>
      <x:c r="M17" s="161"/>
      <x:c r="N17" s="161"/>
      <x:c r="O17" s="161"/>
      <x:c r="P17" s="161"/>
      <x:c r="Q17" s="161"/>
      <x:c r="R17" s="161"/>
      <x:c r="S17" s="161"/>
      <x:c r="T17" s="161"/>
      <x:c r="U17" s="161"/>
      <x:c r="V17" s="161"/>
      <x:c r="W17" s="161"/>
      <x:c r="X17" s="161"/>
      <x:c r="Y17" s="161"/>
      <x:c r="Z17" s="161"/>
    </x:row>
    <x:row r="18">
      <x:c r="A18" s="129" t="str">
        <x:f>IF(E18&lt;&gt;"","ACT-"&amp;TEXT(ROW()-5,"000"),"")</x:f>
      </x:c>
      <x:c r="B18" s="124"/>
      <x:c r="C18" s="108"/>
      <x:c r="D18" s="108"/>
      <x:c r="E18" s="108"/>
      <x:c r="F18" s="124"/>
      <x:c r="G18" s="108"/>
      <x:c r="H18" s="108"/>
      <x:c r="I18" s="129" t="str">
        <x:f>IF(F18="","",F18-TODAY())</x:f>
      </x:c>
      <x:c r="J18" s="108"/>
      <x:c r="K18" s="161"/>
      <x:c r="L18" s="161"/>
      <x:c r="M18" s="161"/>
      <x:c r="N18" s="161"/>
      <x:c r="O18" s="161"/>
      <x:c r="P18" s="161"/>
      <x:c r="Q18" s="161"/>
      <x:c r="R18" s="161"/>
      <x:c r="S18" s="161"/>
      <x:c r="T18" s="161"/>
      <x:c r="U18" s="161"/>
      <x:c r="V18" s="161"/>
      <x:c r="W18" s="161"/>
      <x:c r="X18" s="161"/>
      <x:c r="Y18" s="161"/>
      <x:c r="Z18" s="161"/>
    </x:row>
    <x:row r="19">
      <x:c r="A19" s="129" t="str">
        <x:f>IF(E19&lt;&gt;"","ACT-"&amp;TEXT(ROW()-5,"000"),"")</x:f>
      </x:c>
      <x:c r="B19" s="124"/>
      <x:c r="C19" s="108"/>
      <x:c r="D19" s="108"/>
      <x:c r="E19" s="108"/>
      <x:c r="F19" s="124"/>
      <x:c r="G19" s="108"/>
      <x:c r="H19" s="108"/>
      <x:c r="I19" s="129" t="str">
        <x:f>IF(F19="","",F19-TODAY())</x:f>
      </x:c>
      <x:c r="J19" s="108"/>
      <x:c r="K19" s="161"/>
      <x:c r="L19" s="161"/>
      <x:c r="M19" s="161"/>
      <x:c r="N19" s="161"/>
      <x:c r="O19" s="161"/>
      <x:c r="P19" s="161"/>
      <x:c r="Q19" s="161"/>
      <x:c r="R19" s="161"/>
      <x:c r="S19" s="161"/>
      <x:c r="T19" s="161"/>
      <x:c r="U19" s="161"/>
      <x:c r="V19" s="161"/>
      <x:c r="W19" s="161"/>
      <x:c r="X19" s="161"/>
      <x:c r="Y19" s="161"/>
      <x:c r="Z19" s="161"/>
    </x:row>
    <x:row r="20">
      <x:c r="A20" s="129" t="str">
        <x:f>IF(E20&lt;&gt;"","ACT-"&amp;TEXT(ROW()-5,"000"),"")</x:f>
      </x:c>
      <x:c r="B20" s="124"/>
      <x:c r="C20" s="108"/>
      <x:c r="D20" s="108"/>
      <x:c r="E20" s="108"/>
      <x:c r="F20" s="124"/>
      <x:c r="G20" s="108"/>
      <x:c r="H20" s="108"/>
      <x:c r="I20" s="129" t="str">
        <x:f>IF(F20="","",F20-TODAY())</x:f>
      </x:c>
      <x:c r="J20" s="108"/>
      <x:c r="K20" s="161"/>
      <x:c r="L20" s="161"/>
      <x:c r="M20" s="161"/>
      <x:c r="N20" s="161"/>
      <x:c r="O20" s="161"/>
      <x:c r="P20" s="161"/>
      <x:c r="Q20" s="161"/>
      <x:c r="R20" s="161"/>
      <x:c r="S20" s="161"/>
      <x:c r="T20" s="161"/>
      <x:c r="U20" s="161"/>
      <x:c r="V20" s="161"/>
      <x:c r="W20" s="161"/>
      <x:c r="X20" s="161"/>
      <x:c r="Y20" s="161"/>
      <x:c r="Z20" s="161"/>
    </x:row>
    <x:row r="21">
      <x:c r="A21" s="129" t="str">
        <x:f>IF(E21&lt;&gt;"","ACT-"&amp;TEXT(ROW()-5,"000"),"")</x:f>
      </x:c>
      <x:c r="B21" s="124"/>
      <x:c r="C21" s="108"/>
      <x:c r="D21" s="108"/>
      <x:c r="E21" s="108"/>
      <x:c r="F21" s="124"/>
      <x:c r="G21" s="108"/>
      <x:c r="H21" s="108"/>
      <x:c r="I21" s="129" t="str">
        <x:f>IF(F21="","",F21-TODAY())</x:f>
      </x:c>
      <x:c r="J21" s="108"/>
      <x:c r="K21" s="161"/>
      <x:c r="L21" s="161"/>
      <x:c r="M21" s="161"/>
      <x:c r="N21" s="161"/>
      <x:c r="O21" s="161"/>
      <x:c r="P21" s="161"/>
      <x:c r="Q21" s="161"/>
      <x:c r="R21" s="161"/>
      <x:c r="S21" s="161"/>
      <x:c r="T21" s="161"/>
      <x:c r="U21" s="161"/>
      <x:c r="V21" s="161"/>
      <x:c r="W21" s="161"/>
      <x:c r="X21" s="161"/>
      <x:c r="Y21" s="161"/>
      <x:c r="Z21" s="161"/>
    </x:row>
    <x:row r="22">
      <x:c r="A22" s="129" t="str">
        <x:f>IF(E22&lt;&gt;"","ACT-"&amp;TEXT(ROW()-5,"000"),"")</x:f>
      </x:c>
      <x:c r="B22" s="124"/>
      <x:c r="C22" s="108"/>
      <x:c r="D22" s="108"/>
      <x:c r="E22" s="108"/>
      <x:c r="F22" s="124"/>
      <x:c r="G22" s="108"/>
      <x:c r="H22" s="108"/>
      <x:c r="I22" s="129" t="str">
        <x:f>IF(F22="","",F22-TODAY())</x:f>
      </x:c>
      <x:c r="J22" s="108"/>
      <x:c r="K22" s="161"/>
      <x:c r="L22" s="161"/>
      <x:c r="M22" s="161"/>
      <x:c r="N22" s="161"/>
      <x:c r="O22" s="161"/>
      <x:c r="P22" s="161"/>
      <x:c r="Q22" s="161"/>
      <x:c r="R22" s="161"/>
      <x:c r="S22" s="161"/>
      <x:c r="T22" s="161"/>
      <x:c r="U22" s="161"/>
      <x:c r="V22" s="161"/>
      <x:c r="W22" s="161"/>
      <x:c r="X22" s="161"/>
      <x:c r="Y22" s="161"/>
      <x:c r="Z22" s="161"/>
    </x:row>
    <x:row r="23">
      <x:c r="A23" s="129" t="str">
        <x:f>IF(E23&lt;&gt;"","ACT-"&amp;TEXT(ROW()-5,"000"),"")</x:f>
      </x:c>
      <x:c r="B23" s="124"/>
      <x:c r="C23" s="108"/>
      <x:c r="D23" s="108"/>
      <x:c r="E23" s="108"/>
      <x:c r="F23" s="124"/>
      <x:c r="G23" s="108"/>
      <x:c r="H23" s="108"/>
      <x:c r="I23" s="129" t="str">
        <x:f>IF(F23="","",F23-TODAY())</x:f>
      </x:c>
      <x:c r="J23" s="108"/>
      <x:c r="K23" s="161"/>
      <x:c r="L23" s="161"/>
      <x:c r="M23" s="161"/>
      <x:c r="N23" s="161"/>
      <x:c r="O23" s="161"/>
      <x:c r="P23" s="161"/>
      <x:c r="Q23" s="161"/>
      <x:c r="R23" s="161"/>
      <x:c r="S23" s="161"/>
      <x:c r="T23" s="161"/>
      <x:c r="U23" s="161"/>
      <x:c r="V23" s="161"/>
      <x:c r="W23" s="161"/>
      <x:c r="X23" s="161"/>
      <x:c r="Y23" s="161"/>
      <x:c r="Z23" s="161"/>
    </x:row>
    <x:row r="24">
      <x:c r="A24" s="129" t="str">
        <x:f>IF(E24&lt;&gt;"","ACT-"&amp;TEXT(ROW()-5,"000"),"")</x:f>
      </x:c>
      <x:c r="B24" s="124"/>
      <x:c r="C24" s="108"/>
      <x:c r="D24" s="108"/>
      <x:c r="E24" s="108"/>
      <x:c r="F24" s="124"/>
      <x:c r="G24" s="108"/>
      <x:c r="H24" s="108"/>
      <x:c r="I24" s="129" t="str">
        <x:f>IF(F24="","",F24-TODAY())</x:f>
      </x:c>
      <x:c r="J24" s="108"/>
      <x:c r="K24" s="161"/>
      <x:c r="L24" s="161"/>
      <x:c r="M24" s="161"/>
      <x:c r="N24" s="161"/>
      <x:c r="O24" s="161"/>
      <x:c r="P24" s="161"/>
      <x:c r="Q24" s="161"/>
      <x:c r="R24" s="161"/>
      <x:c r="S24" s="161"/>
      <x:c r="T24" s="161"/>
      <x:c r="U24" s="161"/>
      <x:c r="V24" s="161"/>
      <x:c r="W24" s="161"/>
      <x:c r="X24" s="161"/>
      <x:c r="Y24" s="161"/>
      <x:c r="Z24" s="161"/>
    </x:row>
    <x:row r="25">
      <x:c r="A25" s="129" t="str">
        <x:f>IF(E25&lt;&gt;"","ACT-"&amp;TEXT(ROW()-5,"000"),"")</x:f>
      </x:c>
      <x:c r="B25" s="124"/>
      <x:c r="C25" s="108"/>
      <x:c r="D25" s="108"/>
      <x:c r="E25" s="108"/>
      <x:c r="F25" s="124"/>
      <x:c r="G25" s="108"/>
      <x:c r="H25" s="108"/>
      <x:c r="I25" s="129" t="str">
        <x:f>IF(F25="","",F25-TODAY())</x:f>
      </x:c>
      <x:c r="J25" s="108"/>
      <x:c r="K25" s="161"/>
      <x:c r="L25" s="161"/>
      <x:c r="M25" s="161"/>
      <x:c r="N25" s="161"/>
      <x:c r="O25" s="161"/>
      <x:c r="P25" s="161"/>
      <x:c r="Q25" s="161"/>
      <x:c r="R25" s="161"/>
      <x:c r="S25" s="161"/>
      <x:c r="T25" s="161"/>
      <x:c r="U25" s="161"/>
      <x:c r="V25" s="161"/>
      <x:c r="W25" s="161"/>
      <x:c r="X25" s="161"/>
      <x:c r="Y25" s="161"/>
      <x:c r="Z25" s="161"/>
    </x:row>
    <x:row r="26">
      <x:c r="A26" s="129" t="str">
        <x:f>IF(E26&lt;&gt;"","ACT-"&amp;TEXT(ROW()-5,"000"),"")</x:f>
      </x:c>
      <x:c r="B26" s="124"/>
      <x:c r="C26" s="108"/>
      <x:c r="D26" s="108"/>
      <x:c r="E26" s="108"/>
      <x:c r="F26" s="124"/>
      <x:c r="G26" s="108"/>
      <x:c r="H26" s="108"/>
      <x:c r="I26" s="129" t="str">
        <x:f>IF(F26="","",F26-TODAY())</x:f>
      </x:c>
      <x:c r="J26" s="108"/>
      <x:c r="K26" s="161"/>
      <x:c r="L26" s="161"/>
      <x:c r="M26" s="161"/>
      <x:c r="N26" s="161"/>
      <x:c r="O26" s="161"/>
      <x:c r="P26" s="161"/>
      <x:c r="Q26" s="161"/>
      <x:c r="R26" s="161"/>
      <x:c r="S26" s="161"/>
      <x:c r="T26" s="161"/>
      <x:c r="U26" s="161"/>
      <x:c r="V26" s="161"/>
      <x:c r="W26" s="161"/>
      <x:c r="X26" s="161"/>
      <x:c r="Y26" s="161"/>
      <x:c r="Z26" s="161"/>
    </x:row>
    <x:row r="27">
      <x:c r="A27" s="129" t="str">
        <x:f>IF(E27&lt;&gt;"","ACT-"&amp;TEXT(ROW()-5,"000"),"")</x:f>
      </x:c>
      <x:c r="B27" s="124"/>
      <x:c r="C27" s="108"/>
      <x:c r="D27" s="108"/>
      <x:c r="E27" s="108"/>
      <x:c r="F27" s="124"/>
      <x:c r="G27" s="108"/>
      <x:c r="H27" s="108"/>
      <x:c r="I27" s="129" t="str">
        <x:f>IF(F27="","",F27-TODAY())</x:f>
      </x:c>
      <x:c r="J27" s="108"/>
      <x:c r="K27" s="161"/>
      <x:c r="L27" s="161"/>
      <x:c r="M27" s="161"/>
      <x:c r="N27" s="161"/>
      <x:c r="O27" s="161"/>
      <x:c r="P27" s="161"/>
      <x:c r="Q27" s="161"/>
      <x:c r="R27" s="161"/>
      <x:c r="S27" s="161"/>
      <x:c r="T27" s="161"/>
      <x:c r="U27" s="161"/>
      <x:c r="V27" s="161"/>
      <x:c r="W27" s="161"/>
      <x:c r="X27" s="161"/>
      <x:c r="Y27" s="161"/>
      <x:c r="Z27" s="161"/>
    </x:row>
    <x:row r="28">
      <x:c r="A28" s="129" t="str">
        <x:f>IF(E28&lt;&gt;"","ACT-"&amp;TEXT(ROW()-5,"000"),"")</x:f>
      </x:c>
      <x:c r="B28" s="124"/>
      <x:c r="C28" s="108"/>
      <x:c r="D28" s="108"/>
      <x:c r="E28" s="108"/>
      <x:c r="F28" s="124"/>
      <x:c r="G28" s="108"/>
      <x:c r="H28" s="108"/>
      <x:c r="I28" s="129" t="str">
        <x:f>IF(F28="","",F28-TODAY())</x:f>
      </x:c>
      <x:c r="J28" s="108"/>
      <x:c r="K28" s="161"/>
      <x:c r="L28" s="161"/>
      <x:c r="M28" s="161"/>
      <x:c r="N28" s="161"/>
      <x:c r="O28" s="161"/>
      <x:c r="P28" s="161"/>
      <x:c r="Q28" s="161"/>
      <x:c r="R28" s="161"/>
      <x:c r="S28" s="161"/>
      <x:c r="T28" s="161"/>
      <x:c r="U28" s="161"/>
      <x:c r="V28" s="161"/>
      <x:c r="W28" s="161"/>
      <x:c r="X28" s="161"/>
      <x:c r="Y28" s="161"/>
      <x:c r="Z28" s="161"/>
    </x:row>
    <x:row r="29">
      <x:c r="A29" s="129" t="str">
        <x:f>IF(E29&lt;&gt;"","ACT-"&amp;TEXT(ROW()-5,"000"),"")</x:f>
      </x:c>
      <x:c r="B29" s="124"/>
      <x:c r="C29" s="108"/>
      <x:c r="D29" s="108"/>
      <x:c r="E29" s="108"/>
      <x:c r="F29" s="124"/>
      <x:c r="G29" s="108"/>
      <x:c r="H29" s="108"/>
      <x:c r="I29" s="129" t="str">
        <x:f>IF(F29="","",F29-TODAY())</x:f>
      </x:c>
      <x:c r="J29" s="108"/>
      <x:c r="K29" s="161"/>
      <x:c r="L29" s="161"/>
      <x:c r="M29" s="161"/>
      <x:c r="N29" s="161"/>
      <x:c r="O29" s="161"/>
      <x:c r="P29" s="161"/>
      <x:c r="Q29" s="161"/>
      <x:c r="R29" s="161"/>
      <x:c r="S29" s="161"/>
      <x:c r="T29" s="161"/>
      <x:c r="U29" s="161"/>
      <x:c r="V29" s="161"/>
      <x:c r="W29" s="161"/>
      <x:c r="X29" s="161"/>
      <x:c r="Y29" s="161"/>
      <x:c r="Z29" s="161"/>
    </x:row>
    <x:row r="30">
      <x:c r="A30" s="129" t="str">
        <x:f>IF(E30&lt;&gt;"","ACT-"&amp;TEXT(ROW()-5,"000"),"")</x:f>
      </x:c>
      <x:c r="B30" s="124"/>
      <x:c r="C30" s="108"/>
      <x:c r="D30" s="108"/>
      <x:c r="E30" s="108"/>
      <x:c r="F30" s="124"/>
      <x:c r="G30" s="108"/>
      <x:c r="H30" s="108"/>
      <x:c r="I30" s="129" t="str">
        <x:f>IF(F30="","",F30-TODAY())</x:f>
      </x:c>
      <x:c r="J30" s="108"/>
      <x:c r="K30" s="161"/>
      <x:c r="L30" s="161"/>
      <x:c r="M30" s="161"/>
      <x:c r="N30" s="161"/>
      <x:c r="O30" s="161"/>
      <x:c r="P30" s="161"/>
      <x:c r="Q30" s="161"/>
      <x:c r="R30" s="161"/>
      <x:c r="S30" s="161"/>
      <x:c r="T30" s="161"/>
      <x:c r="U30" s="161"/>
      <x:c r="V30" s="161"/>
      <x:c r="W30" s="161"/>
      <x:c r="X30" s="161"/>
      <x:c r="Y30" s="161"/>
      <x:c r="Z30" s="161"/>
    </x:row>
    <x:row r="31">
      <x:c r="A31" s="129" t="str">
        <x:f>IF(E31&lt;&gt;"","ACT-"&amp;TEXT(ROW()-5,"000"),"")</x:f>
      </x:c>
      <x:c r="B31" s="124"/>
      <x:c r="C31" s="108"/>
      <x:c r="D31" s="108"/>
      <x:c r="E31" s="108"/>
      <x:c r="F31" s="124"/>
      <x:c r="G31" s="108"/>
      <x:c r="H31" s="108"/>
      <x:c r="I31" s="129" t="str">
        <x:f>IF(F31="","",F31-TODAY())</x:f>
      </x:c>
      <x:c r="J31" s="108"/>
      <x:c r="K31" s="161"/>
      <x:c r="L31" s="161"/>
      <x:c r="M31" s="161"/>
      <x:c r="N31" s="161"/>
      <x:c r="O31" s="161"/>
      <x:c r="P31" s="161"/>
      <x:c r="Q31" s="161"/>
      <x:c r="R31" s="161"/>
      <x:c r="S31" s="161"/>
      <x:c r="T31" s="161"/>
      <x:c r="U31" s="161"/>
      <x:c r="V31" s="161"/>
      <x:c r="W31" s="161"/>
      <x:c r="X31" s="161"/>
      <x:c r="Y31" s="161"/>
      <x:c r="Z31" s="161"/>
    </x:row>
    <x:row r="32">
      <x:c r="A32" s="129" t="str">
        <x:f>IF(E32&lt;&gt;"","ACT-"&amp;TEXT(ROW()-5,"000"),"")</x:f>
      </x:c>
      <x:c r="B32" s="124"/>
      <x:c r="C32" s="108"/>
      <x:c r="D32" s="108"/>
      <x:c r="E32" s="108"/>
      <x:c r="F32" s="124"/>
      <x:c r="G32" s="108"/>
      <x:c r="H32" s="108"/>
      <x:c r="I32" s="129" t="str">
        <x:f>IF(F32="","",F32-TODAY())</x:f>
      </x:c>
      <x:c r="J32" s="108"/>
      <x:c r="K32" s="161"/>
      <x:c r="L32" s="161"/>
      <x:c r="M32" s="161"/>
      <x:c r="N32" s="161"/>
      <x:c r="O32" s="161"/>
      <x:c r="P32" s="161"/>
      <x:c r="Q32" s="161"/>
      <x:c r="R32" s="161"/>
      <x:c r="S32" s="161"/>
      <x:c r="T32" s="161"/>
      <x:c r="U32" s="161"/>
      <x:c r="V32" s="161"/>
      <x:c r="W32" s="161"/>
      <x:c r="X32" s="161"/>
      <x:c r="Y32" s="161"/>
      <x:c r="Z32" s="161"/>
    </x:row>
    <x:row r="33">
      <x:c r="A33" s="129" t="str">
        <x:f>IF(E33&lt;&gt;"","ACT-"&amp;TEXT(ROW()-5,"000"),"")</x:f>
      </x:c>
      <x:c r="B33" s="124"/>
      <x:c r="C33" s="108"/>
      <x:c r="D33" s="108"/>
      <x:c r="E33" s="108"/>
      <x:c r="F33" s="124"/>
      <x:c r="G33" s="108"/>
      <x:c r="H33" s="108"/>
      <x:c r="I33" s="129" t="str">
        <x:f>IF(F33="","",F33-TODAY())</x:f>
      </x:c>
      <x:c r="J33" s="108"/>
      <x:c r="K33" s="161"/>
      <x:c r="L33" s="161"/>
      <x:c r="M33" s="161"/>
      <x:c r="N33" s="161"/>
      <x:c r="O33" s="161"/>
      <x:c r="P33" s="161"/>
      <x:c r="Q33" s="161"/>
      <x:c r="R33" s="161"/>
      <x:c r="S33" s="161"/>
      <x:c r="T33" s="161"/>
      <x:c r="U33" s="161"/>
      <x:c r="V33" s="161"/>
      <x:c r="W33" s="161"/>
      <x:c r="X33" s="161"/>
      <x:c r="Y33" s="161"/>
      <x:c r="Z33" s="161"/>
    </x:row>
    <x:row r="34">
      <x:c r="A34" s="129" t="str">
        <x:f>IF(E34&lt;&gt;"","ACT-"&amp;TEXT(ROW()-5,"000"),"")</x:f>
      </x:c>
      <x:c r="B34" s="124"/>
      <x:c r="C34" s="108"/>
      <x:c r="D34" s="108"/>
      <x:c r="E34" s="108"/>
      <x:c r="F34" s="124"/>
      <x:c r="G34" s="108"/>
      <x:c r="H34" s="108"/>
      <x:c r="I34" s="129" t="str">
        <x:f>IF(F34="","",F34-TODAY())</x:f>
      </x:c>
      <x:c r="J34" s="108"/>
      <x:c r="K34" s="161"/>
      <x:c r="L34" s="161"/>
      <x:c r="M34" s="161"/>
      <x:c r="N34" s="161"/>
      <x:c r="O34" s="161"/>
      <x:c r="P34" s="161"/>
      <x:c r="Q34" s="161"/>
      <x:c r="R34" s="161"/>
      <x:c r="S34" s="161"/>
      <x:c r="T34" s="161"/>
      <x:c r="U34" s="161"/>
      <x:c r="V34" s="161"/>
      <x:c r="W34" s="161"/>
      <x:c r="X34" s="161"/>
      <x:c r="Y34" s="161"/>
      <x:c r="Z34" s="161"/>
    </x:row>
    <x:row r="35">
      <x:c r="A35" s="129" t="str">
        <x:f>IF(E35&lt;&gt;"","ACT-"&amp;TEXT(ROW()-5,"000"),"")</x:f>
      </x:c>
      <x:c r="B35" s="124"/>
      <x:c r="C35" s="108"/>
      <x:c r="D35" s="108"/>
      <x:c r="E35" s="108"/>
      <x:c r="F35" s="124"/>
      <x:c r="G35" s="108"/>
      <x:c r="H35" s="108"/>
      <x:c r="I35" s="129" t="str">
        <x:f>IF(F35="","",F35-TODAY())</x:f>
      </x:c>
      <x:c r="J35" s="108"/>
      <x:c r="K35" s="161"/>
      <x:c r="L35" s="161"/>
      <x:c r="M35" s="161"/>
      <x:c r="N35" s="161"/>
      <x:c r="O35" s="161"/>
      <x:c r="P35" s="161"/>
      <x:c r="Q35" s="161"/>
      <x:c r="R35" s="161"/>
      <x:c r="S35" s="161"/>
      <x:c r="T35" s="161"/>
      <x:c r="U35" s="161"/>
      <x:c r="V35" s="161"/>
      <x:c r="W35" s="161"/>
      <x:c r="X35" s="161"/>
      <x:c r="Y35" s="161"/>
      <x:c r="Z35" s="161"/>
    </x:row>
    <x:row r="36">
      <x:c r="A36" s="129" t="str">
        <x:f>IF(E36&lt;&gt;"","ACT-"&amp;TEXT(ROW()-5,"000"),"")</x:f>
      </x:c>
      <x:c r="B36" s="124"/>
      <x:c r="C36" s="108"/>
      <x:c r="D36" s="108"/>
      <x:c r="E36" s="108"/>
      <x:c r="F36" s="124"/>
      <x:c r="G36" s="108"/>
      <x:c r="H36" s="108"/>
      <x:c r="I36" s="129" t="str">
        <x:f>IF(F36="","",F36-TODAY())</x:f>
      </x:c>
      <x:c r="J36" s="108"/>
      <x:c r="K36" s="161"/>
      <x:c r="L36" s="161"/>
      <x:c r="M36" s="161"/>
      <x:c r="N36" s="161"/>
      <x:c r="O36" s="161"/>
      <x:c r="P36" s="161"/>
      <x:c r="Q36" s="161"/>
      <x:c r="R36" s="161"/>
      <x:c r="S36" s="161"/>
      <x:c r="T36" s="161"/>
      <x:c r="U36" s="161"/>
      <x:c r="V36" s="161"/>
      <x:c r="W36" s="161"/>
      <x:c r="X36" s="161"/>
      <x:c r="Y36" s="161"/>
      <x:c r="Z36" s="161"/>
    </x:row>
    <x:row r="37">
      <x:c r="A37" s="129" t="str">
        <x:f>IF(E37&lt;&gt;"","ACT-"&amp;TEXT(ROW()-5,"000"),"")</x:f>
      </x:c>
      <x:c r="B37" s="124"/>
      <x:c r="C37" s="108"/>
      <x:c r="D37" s="108"/>
      <x:c r="E37" s="108"/>
      <x:c r="F37" s="124"/>
      <x:c r="G37" s="108"/>
      <x:c r="H37" s="108"/>
      <x:c r="I37" s="129" t="str">
        <x:f>IF(F37="","",F37-TODAY())</x:f>
      </x:c>
      <x:c r="J37" s="108"/>
      <x:c r="K37" s="161"/>
      <x:c r="L37" s="161"/>
      <x:c r="M37" s="161"/>
      <x:c r="N37" s="161"/>
      <x:c r="O37" s="161"/>
      <x:c r="P37" s="161"/>
      <x:c r="Q37" s="161"/>
      <x:c r="R37" s="161"/>
      <x:c r="S37" s="161"/>
      <x:c r="T37" s="161"/>
      <x:c r="U37" s="161"/>
      <x:c r="V37" s="161"/>
      <x:c r="W37" s="161"/>
      <x:c r="X37" s="161"/>
      <x:c r="Y37" s="161"/>
      <x:c r="Z37" s="161"/>
    </x:row>
    <x:row r="38">
      <x:c r="A38" s="129" t="str">
        <x:f>IF(E38&lt;&gt;"","ACT-"&amp;TEXT(ROW()-5,"000"),"")</x:f>
      </x:c>
      <x:c r="B38" s="124"/>
      <x:c r="C38" s="108"/>
      <x:c r="D38" s="108"/>
      <x:c r="E38" s="108"/>
      <x:c r="F38" s="124"/>
      <x:c r="G38" s="108"/>
      <x:c r="H38" s="108"/>
      <x:c r="I38" s="129" t="str">
        <x:f>IF(F38="","",F38-TODAY())</x:f>
      </x:c>
      <x:c r="J38" s="108"/>
      <x:c r="K38" s="161"/>
      <x:c r="L38" s="161"/>
      <x:c r="M38" s="161"/>
      <x:c r="N38" s="161"/>
      <x:c r="O38" s="161"/>
      <x:c r="P38" s="161"/>
      <x:c r="Q38" s="161"/>
      <x:c r="R38" s="161"/>
      <x:c r="S38" s="161"/>
      <x:c r="T38" s="161"/>
      <x:c r="U38" s="161"/>
      <x:c r="V38" s="161"/>
      <x:c r="W38" s="161"/>
      <x:c r="X38" s="161"/>
      <x:c r="Y38" s="161"/>
      <x:c r="Z38" s="161"/>
    </x:row>
    <x:row r="39">
      <x:c r="A39" s="129" t="str">
        <x:f>IF(E39&lt;&gt;"","ACT-"&amp;TEXT(ROW()-5,"000"),"")</x:f>
      </x:c>
      <x:c r="B39" s="124"/>
      <x:c r="C39" s="108"/>
      <x:c r="D39" s="108"/>
      <x:c r="E39" s="108"/>
      <x:c r="F39" s="124"/>
      <x:c r="G39" s="108"/>
      <x:c r="H39" s="108"/>
      <x:c r="I39" s="129" t="str">
        <x:f>IF(F39="","",F39-TODAY())</x:f>
      </x:c>
      <x:c r="J39" s="108"/>
      <x:c r="K39" s="161"/>
      <x:c r="L39" s="161"/>
      <x:c r="M39" s="161"/>
      <x:c r="N39" s="161"/>
      <x:c r="O39" s="161"/>
      <x:c r="P39" s="161"/>
      <x:c r="Q39" s="161"/>
      <x:c r="R39" s="161"/>
      <x:c r="S39" s="161"/>
      <x:c r="T39" s="161"/>
      <x:c r="U39" s="161"/>
      <x:c r="V39" s="161"/>
      <x:c r="W39" s="161"/>
      <x:c r="X39" s="161"/>
      <x:c r="Y39" s="161"/>
      <x:c r="Z39" s="161"/>
    </x:row>
    <x:row r="40">
      <x:c r="A40" s="129" t="str">
        <x:f>IF(E40&lt;&gt;"","ACT-"&amp;TEXT(ROW()-5,"000"),"")</x:f>
      </x:c>
      <x:c r="B40" s="124"/>
      <x:c r="C40" s="108"/>
      <x:c r="D40" s="108"/>
      <x:c r="E40" s="108"/>
      <x:c r="F40" s="124"/>
      <x:c r="G40" s="108"/>
      <x:c r="H40" s="108"/>
      <x:c r="I40" s="129" t="str">
        <x:f>IF(F40="","",F40-TODAY())</x:f>
      </x:c>
      <x:c r="J40" s="108"/>
      <x:c r="K40" s="161"/>
      <x:c r="L40" s="161"/>
      <x:c r="M40" s="161"/>
      <x:c r="N40" s="161"/>
      <x:c r="O40" s="161"/>
      <x:c r="P40" s="161"/>
      <x:c r="Q40" s="161"/>
      <x:c r="R40" s="161"/>
      <x:c r="S40" s="161"/>
      <x:c r="T40" s="161"/>
      <x:c r="U40" s="161"/>
      <x:c r="V40" s="161"/>
      <x:c r="W40" s="161"/>
      <x:c r="X40" s="161"/>
      <x:c r="Y40" s="161"/>
      <x:c r="Z40" s="161"/>
    </x:row>
    <x:row r="41">
      <x:c r="A41" s="129" t="str">
        <x:f>IF(E41&lt;&gt;"","ACT-"&amp;TEXT(ROW()-5,"000"),"")</x:f>
      </x:c>
      <x:c r="B41" s="124"/>
      <x:c r="C41" s="108"/>
      <x:c r="D41" s="108"/>
      <x:c r="E41" s="108"/>
      <x:c r="F41" s="124"/>
      <x:c r="G41" s="108"/>
      <x:c r="H41" s="108"/>
      <x:c r="I41" s="129" t="str">
        <x:f>IF(F41="","",F41-TODAY())</x:f>
      </x:c>
      <x:c r="J41" s="108"/>
      <x:c r="K41" s="161"/>
      <x:c r="L41" s="161"/>
      <x:c r="M41" s="161"/>
      <x:c r="N41" s="161"/>
      <x:c r="O41" s="161"/>
      <x:c r="P41" s="161"/>
      <x:c r="Q41" s="161"/>
      <x:c r="R41" s="161"/>
      <x:c r="S41" s="161"/>
      <x:c r="T41" s="161"/>
      <x:c r="U41" s="161"/>
      <x:c r="V41" s="161"/>
      <x:c r="W41" s="161"/>
      <x:c r="X41" s="161"/>
      <x:c r="Y41" s="161"/>
      <x:c r="Z41" s="161"/>
    </x:row>
    <x:row r="42">
      <x:c r="A42" s="129" t="str">
        <x:f>IF(E42&lt;&gt;"","ACT-"&amp;TEXT(ROW()-5,"000"),"")</x:f>
      </x:c>
      <x:c r="B42" s="124"/>
      <x:c r="C42" s="108"/>
      <x:c r="D42" s="108"/>
      <x:c r="E42" s="108"/>
      <x:c r="F42" s="124"/>
      <x:c r="G42" s="108"/>
      <x:c r="H42" s="108"/>
      <x:c r="I42" s="129" t="str">
        <x:f>IF(F42="","",F42-TODAY())</x:f>
      </x:c>
      <x:c r="J42" s="108"/>
      <x:c r="K42" s="161"/>
      <x:c r="L42" s="161"/>
      <x:c r="M42" s="161"/>
      <x:c r="N42" s="161"/>
      <x:c r="O42" s="161"/>
      <x:c r="P42" s="161"/>
      <x:c r="Q42" s="161"/>
      <x:c r="R42" s="161"/>
      <x:c r="S42" s="161"/>
      <x:c r="T42" s="161"/>
      <x:c r="U42" s="161"/>
      <x:c r="V42" s="161"/>
      <x:c r="W42" s="161"/>
      <x:c r="X42" s="161"/>
      <x:c r="Y42" s="161"/>
      <x:c r="Z42" s="161"/>
    </x:row>
    <x:row r="43">
      <x:c r="A43" s="129" t="str">
        <x:f>IF(E43&lt;&gt;"","ACT-"&amp;TEXT(ROW()-5,"000"),"")</x:f>
      </x:c>
      <x:c r="B43" s="124"/>
      <x:c r="C43" s="108"/>
      <x:c r="D43" s="108"/>
      <x:c r="E43" s="108"/>
      <x:c r="F43" s="124"/>
      <x:c r="G43" s="108"/>
      <x:c r="H43" s="108"/>
      <x:c r="I43" s="129" t="str">
        <x:f>IF(F43="","",F43-TODAY())</x:f>
      </x:c>
      <x:c r="J43" s="108"/>
      <x:c r="K43" s="161"/>
      <x:c r="L43" s="161"/>
      <x:c r="M43" s="161"/>
      <x:c r="N43" s="161"/>
      <x:c r="O43" s="161"/>
      <x:c r="P43" s="161"/>
      <x:c r="Q43" s="161"/>
      <x:c r="R43" s="161"/>
      <x:c r="S43" s="161"/>
      <x:c r="T43" s="161"/>
      <x:c r="U43" s="161"/>
      <x:c r="V43" s="161"/>
      <x:c r="W43" s="161"/>
      <x:c r="X43" s="161"/>
      <x:c r="Y43" s="161"/>
      <x:c r="Z43" s="161"/>
    </x:row>
    <x:row r="44">
      <x:c r="A44" s="129" t="str">
        <x:f>IF(E44&lt;&gt;"","ACT-"&amp;TEXT(ROW()-5,"000"),"")</x:f>
      </x:c>
      <x:c r="B44" s="124"/>
      <x:c r="C44" s="108"/>
      <x:c r="D44" s="108"/>
      <x:c r="E44" s="108"/>
      <x:c r="F44" s="124"/>
      <x:c r="G44" s="108"/>
      <x:c r="H44" s="108"/>
      <x:c r="I44" s="129" t="str">
        <x:f>IF(F44="","",F44-TODAY())</x:f>
      </x:c>
      <x:c r="J44" s="108"/>
      <x:c r="K44" s="161"/>
      <x:c r="L44" s="161"/>
      <x:c r="M44" s="161"/>
      <x:c r="N44" s="161"/>
      <x:c r="O44" s="161"/>
      <x:c r="P44" s="161"/>
      <x:c r="Q44" s="161"/>
      <x:c r="R44" s="161"/>
      <x:c r="S44" s="161"/>
      <x:c r="T44" s="161"/>
      <x:c r="U44" s="161"/>
      <x:c r="V44" s="161"/>
      <x:c r="W44" s="161"/>
      <x:c r="X44" s="161"/>
      <x:c r="Y44" s="161"/>
      <x:c r="Z44" s="161"/>
    </x:row>
    <x:row r="45">
      <x:c r="A45" s="129" t="str">
        <x:f>IF(E45&lt;&gt;"","ACT-"&amp;TEXT(ROW()-5,"000"),"")</x:f>
      </x:c>
      <x:c r="B45" s="124"/>
      <x:c r="C45" s="108"/>
      <x:c r="D45" s="108"/>
      <x:c r="E45" s="108"/>
      <x:c r="F45" s="124"/>
      <x:c r="G45" s="108"/>
      <x:c r="H45" s="108"/>
      <x:c r="I45" s="129" t="str">
        <x:f>IF(F45="","",F45-TODAY())</x:f>
      </x:c>
      <x:c r="J45" s="108"/>
      <x:c r="K45" s="161"/>
      <x:c r="L45" s="161"/>
      <x:c r="M45" s="161"/>
      <x:c r="N45" s="161"/>
      <x:c r="O45" s="161"/>
      <x:c r="P45" s="161"/>
      <x:c r="Q45" s="161"/>
      <x:c r="R45" s="161"/>
      <x:c r="S45" s="161"/>
      <x:c r="T45" s="161"/>
      <x:c r="U45" s="161"/>
      <x:c r="V45" s="161"/>
      <x:c r="W45" s="161"/>
      <x:c r="X45" s="161"/>
      <x:c r="Y45" s="161"/>
      <x:c r="Z45" s="161"/>
    </x:row>
    <x:row r="46">
      <x:c r="A46" s="129" t="str">
        <x:f>IF(E46&lt;&gt;"","ACT-"&amp;TEXT(ROW()-5,"000"),"")</x:f>
      </x:c>
      <x:c r="B46" s="124"/>
      <x:c r="C46" s="108"/>
      <x:c r="D46" s="108"/>
      <x:c r="E46" s="108"/>
      <x:c r="F46" s="124"/>
      <x:c r="G46" s="108"/>
      <x:c r="H46" s="108"/>
      <x:c r="I46" s="129" t="str">
        <x:f>IF(F46="","",F46-TODAY())</x:f>
      </x:c>
      <x:c r="J46" s="108"/>
      <x:c r="K46" s="161"/>
      <x:c r="L46" s="161"/>
      <x:c r="M46" s="161"/>
      <x:c r="N46" s="161"/>
      <x:c r="O46" s="161"/>
      <x:c r="P46" s="161"/>
      <x:c r="Q46" s="161"/>
      <x:c r="R46" s="161"/>
      <x:c r="S46" s="161"/>
      <x:c r="T46" s="161"/>
      <x:c r="U46" s="161"/>
      <x:c r="V46" s="161"/>
      <x:c r="W46" s="161"/>
      <x:c r="X46" s="161"/>
      <x:c r="Y46" s="161"/>
      <x:c r="Z46" s="161"/>
    </x:row>
    <x:row r="47">
      <x:c r="A47" s="129" t="str">
        <x:f>IF(E47&lt;&gt;"","ACT-"&amp;TEXT(ROW()-5,"000"),"")</x:f>
      </x:c>
      <x:c r="B47" s="124"/>
      <x:c r="C47" s="108"/>
      <x:c r="D47" s="108"/>
      <x:c r="E47" s="108"/>
      <x:c r="F47" s="124"/>
      <x:c r="G47" s="108"/>
      <x:c r="H47" s="108"/>
      <x:c r="I47" s="129" t="str">
        <x:f>IF(F47="","",F47-TODAY())</x:f>
      </x:c>
      <x:c r="J47" s="108"/>
      <x:c r="K47" s="161"/>
      <x:c r="L47" s="161"/>
      <x:c r="M47" s="161"/>
      <x:c r="N47" s="161"/>
      <x:c r="O47" s="161"/>
      <x:c r="P47" s="161"/>
      <x:c r="Q47" s="161"/>
      <x:c r="R47" s="161"/>
      <x:c r="S47" s="161"/>
      <x:c r="T47" s="161"/>
      <x:c r="U47" s="161"/>
      <x:c r="V47" s="161"/>
      <x:c r="W47" s="161"/>
      <x:c r="X47" s="161"/>
      <x:c r="Y47" s="161"/>
      <x:c r="Z47" s="161"/>
    </x:row>
    <x:row r="48">
      <x:c r="A48" s="129" t="str">
        <x:f>IF(E48&lt;&gt;"","ACT-"&amp;TEXT(ROW()-5,"000"),"")</x:f>
      </x:c>
      <x:c r="B48" s="124"/>
      <x:c r="C48" s="108"/>
      <x:c r="D48" s="108"/>
      <x:c r="E48" s="108"/>
      <x:c r="F48" s="124"/>
      <x:c r="G48" s="108"/>
      <x:c r="H48" s="108"/>
      <x:c r="I48" s="129" t="str">
        <x:f>IF(F48="","",F48-TODAY())</x:f>
      </x:c>
      <x:c r="J48" s="108"/>
      <x:c r="K48" s="161"/>
      <x:c r="L48" s="161"/>
      <x:c r="M48" s="161"/>
      <x:c r="N48" s="161"/>
      <x:c r="O48" s="161"/>
      <x:c r="P48" s="161"/>
      <x:c r="Q48" s="161"/>
      <x:c r="R48" s="161"/>
      <x:c r="S48" s="161"/>
      <x:c r="T48" s="161"/>
      <x:c r="U48" s="161"/>
      <x:c r="V48" s="161"/>
      <x:c r="W48" s="161"/>
      <x:c r="X48" s="161"/>
      <x:c r="Y48" s="161"/>
      <x:c r="Z48" s="161"/>
    </x:row>
    <x:row r="49">
      <x:c r="A49" s="129" t="str">
        <x:f>IF(E49&lt;&gt;"","ACT-"&amp;TEXT(ROW()-5,"000"),"")</x:f>
      </x:c>
      <x:c r="B49" s="124"/>
      <x:c r="C49" s="108"/>
      <x:c r="D49" s="108"/>
      <x:c r="E49" s="108"/>
      <x:c r="F49" s="124"/>
      <x:c r="G49" s="108"/>
      <x:c r="H49" s="108"/>
      <x:c r="I49" s="129" t="str">
        <x:f>IF(F49="","",F49-TODAY())</x:f>
      </x:c>
      <x:c r="J49" s="108"/>
      <x:c r="K49" s="161"/>
      <x:c r="L49" s="161"/>
      <x:c r="M49" s="161"/>
      <x:c r="N49" s="161"/>
      <x:c r="O49" s="161"/>
      <x:c r="P49" s="161"/>
      <x:c r="Q49" s="161"/>
      <x:c r="R49" s="161"/>
      <x:c r="S49" s="161"/>
      <x:c r="T49" s="161"/>
      <x:c r="U49" s="161"/>
      <x:c r="V49" s="161"/>
      <x:c r="W49" s="161"/>
      <x:c r="X49" s="161"/>
      <x:c r="Y49" s="161"/>
      <x:c r="Z49" s="161"/>
    </x:row>
    <x:row r="50">
      <x:c r="A50" s="129" t="str">
        <x:f>IF(E50&lt;&gt;"","ACT-"&amp;TEXT(ROW()-5,"000"),"")</x:f>
      </x:c>
      <x:c r="B50" s="124"/>
      <x:c r="C50" s="108"/>
      <x:c r="D50" s="108"/>
      <x:c r="E50" s="108"/>
      <x:c r="F50" s="124"/>
      <x:c r="G50" s="108"/>
      <x:c r="H50" s="108"/>
      <x:c r="I50" s="129" t="str">
        <x:f>IF(F50="","",F50-TODAY())</x:f>
      </x:c>
      <x:c r="J50" s="108"/>
      <x:c r="K50" s="161"/>
      <x:c r="L50" s="161"/>
      <x:c r="M50" s="161"/>
      <x:c r="N50" s="161"/>
      <x:c r="O50" s="161"/>
      <x:c r="P50" s="161"/>
      <x:c r="Q50" s="161"/>
      <x:c r="R50" s="161"/>
      <x:c r="S50" s="161"/>
      <x:c r="T50" s="161"/>
      <x:c r="U50" s="161"/>
      <x:c r="V50" s="161"/>
      <x:c r="W50" s="161"/>
      <x:c r="X50" s="161"/>
      <x:c r="Y50" s="161"/>
      <x:c r="Z50" s="161"/>
    </x:row>
    <x:row r="51">
      <x:c r="A51" s="129" t="str">
        <x:f>IF(E51&lt;&gt;"","ACT-"&amp;TEXT(ROW()-5,"000"),"")</x:f>
      </x:c>
      <x:c r="B51" s="124"/>
      <x:c r="C51" s="108"/>
      <x:c r="D51" s="108"/>
      <x:c r="E51" s="108"/>
      <x:c r="F51" s="124"/>
      <x:c r="G51" s="108"/>
      <x:c r="H51" s="108"/>
      <x:c r="I51" s="129" t="str">
        <x:f>IF(F51="","",F51-TODAY())</x:f>
      </x:c>
      <x:c r="J51" s="108"/>
      <x:c r="K51" s="161"/>
      <x:c r="L51" s="161"/>
      <x:c r="M51" s="161"/>
      <x:c r="N51" s="161"/>
      <x:c r="O51" s="161"/>
      <x:c r="P51" s="161"/>
      <x:c r="Q51" s="161"/>
      <x:c r="R51" s="161"/>
      <x:c r="S51" s="161"/>
      <x:c r="T51" s="161"/>
      <x:c r="U51" s="161"/>
      <x:c r="V51" s="161"/>
      <x:c r="W51" s="161"/>
      <x:c r="X51" s="161"/>
      <x:c r="Y51" s="161"/>
      <x:c r="Z51" s="161"/>
    </x:row>
    <x:row r="52">
      <x:c r="A52" s="129" t="str">
        <x:f>IF(E52&lt;&gt;"","ACT-"&amp;TEXT(ROW()-5,"000"),"")</x:f>
      </x:c>
      <x:c r="B52" s="124"/>
      <x:c r="C52" s="108"/>
      <x:c r="D52" s="108"/>
      <x:c r="E52" s="108"/>
      <x:c r="F52" s="124"/>
      <x:c r="G52" s="108"/>
      <x:c r="H52" s="108"/>
      <x:c r="I52" s="129" t="str">
        <x:f>IF(F52="","",F52-TODAY())</x:f>
      </x:c>
      <x:c r="J52" s="108"/>
      <x:c r="K52" s="161"/>
      <x:c r="L52" s="161"/>
      <x:c r="M52" s="161"/>
      <x:c r="N52" s="161"/>
      <x:c r="O52" s="161"/>
      <x:c r="P52" s="161"/>
      <x:c r="Q52" s="161"/>
      <x:c r="R52" s="161"/>
      <x:c r="S52" s="161"/>
      <x:c r="T52" s="161"/>
      <x:c r="U52" s="161"/>
      <x:c r="V52" s="161"/>
      <x:c r="W52" s="161"/>
      <x:c r="X52" s="161"/>
      <x:c r="Y52" s="161"/>
      <x:c r="Z52" s="161"/>
    </x:row>
    <x:row r="53">
      <x:c r="A53" s="129" t="str">
        <x:f>IF(E53&lt;&gt;"","ACT-"&amp;TEXT(ROW()-5,"000"),"")</x:f>
      </x:c>
      <x:c r="B53" s="124"/>
      <x:c r="C53" s="108"/>
      <x:c r="D53" s="108"/>
      <x:c r="E53" s="108"/>
      <x:c r="F53" s="124"/>
      <x:c r="G53" s="108"/>
      <x:c r="H53" s="108"/>
      <x:c r="I53" s="129" t="str">
        <x:f>IF(F53="","",F53-TODAY())</x:f>
      </x:c>
      <x:c r="J53" s="108"/>
      <x:c r="K53" s="161"/>
      <x:c r="L53" s="161"/>
      <x:c r="M53" s="161"/>
      <x:c r="N53" s="161"/>
      <x:c r="O53" s="161"/>
      <x:c r="P53" s="161"/>
      <x:c r="Q53" s="161"/>
      <x:c r="R53" s="161"/>
      <x:c r="S53" s="161"/>
      <x:c r="T53" s="161"/>
      <x:c r="U53" s="161"/>
      <x:c r="V53" s="161"/>
      <x:c r="W53" s="161"/>
      <x:c r="X53" s="161"/>
      <x:c r="Y53" s="161"/>
      <x:c r="Z53" s="161"/>
    </x:row>
    <x:row r="54">
      <x:c r="A54" s="129" t="str">
        <x:f>IF(E54&lt;&gt;"","ACT-"&amp;TEXT(ROW()-5,"000"),"")</x:f>
      </x:c>
      <x:c r="B54" s="124"/>
      <x:c r="C54" s="108"/>
      <x:c r="D54" s="108"/>
      <x:c r="E54" s="108"/>
      <x:c r="F54" s="124"/>
      <x:c r="G54" s="108"/>
      <x:c r="H54" s="108"/>
      <x:c r="I54" s="129" t="str">
        <x:f>IF(F54="","",F54-TODAY())</x:f>
      </x:c>
      <x:c r="J54" s="108"/>
      <x:c r="K54" s="161"/>
      <x:c r="L54" s="161"/>
      <x:c r="M54" s="161"/>
      <x:c r="N54" s="161"/>
      <x:c r="O54" s="161"/>
      <x:c r="P54" s="161"/>
      <x:c r="Q54" s="161"/>
      <x:c r="R54" s="161"/>
      <x:c r="S54" s="161"/>
      <x:c r="T54" s="161"/>
      <x:c r="U54" s="161"/>
      <x:c r="V54" s="161"/>
      <x:c r="W54" s="161"/>
      <x:c r="X54" s="161"/>
      <x:c r="Y54" s="161"/>
      <x:c r="Z54" s="161"/>
    </x:row>
    <x:row r="55">
      <x:c r="A55" s="129" t="str">
        <x:f>IF(E55&lt;&gt;"","ACT-"&amp;TEXT(ROW()-5,"000"),"")</x:f>
      </x:c>
      <x:c r="B55" s="124"/>
      <x:c r="C55" s="108"/>
      <x:c r="D55" s="108"/>
      <x:c r="E55" s="108"/>
      <x:c r="F55" s="124"/>
      <x:c r="G55" s="108"/>
      <x:c r="H55" s="108"/>
      <x:c r="I55" s="129" t="str">
        <x:f>IF(F55="","",F55-TODAY())</x:f>
      </x:c>
      <x:c r="J55" s="108"/>
      <x:c r="K55" s="161"/>
      <x:c r="L55" s="161"/>
      <x:c r="M55" s="161"/>
      <x:c r="N55" s="161"/>
      <x:c r="O55" s="161"/>
      <x:c r="P55" s="161"/>
      <x:c r="Q55" s="161"/>
      <x:c r="R55" s="161"/>
      <x:c r="S55" s="161"/>
      <x:c r="T55" s="161"/>
      <x:c r="U55" s="161"/>
      <x:c r="V55" s="161"/>
      <x:c r="W55" s="161"/>
      <x:c r="X55" s="161"/>
      <x:c r="Y55" s="161"/>
      <x:c r="Z55" s="161"/>
    </x:row>
    <x:row r="56">
      <x:c r="A56" s="129" t="str">
        <x:f>IF(E56&lt;&gt;"","ACT-"&amp;TEXT(ROW()-5,"000"),"")</x:f>
      </x:c>
      <x:c r="B56" s="124"/>
      <x:c r="C56" s="108"/>
      <x:c r="D56" s="108"/>
      <x:c r="E56" s="108"/>
      <x:c r="F56" s="124"/>
      <x:c r="G56" s="108"/>
      <x:c r="H56" s="108"/>
      <x:c r="I56" s="129" t="str">
        <x:f>IF(F56="","",F56-TODAY())</x:f>
      </x:c>
      <x:c r="J56" s="108"/>
      <x:c r="K56" s="161"/>
      <x:c r="L56" s="161"/>
      <x:c r="M56" s="161"/>
      <x:c r="N56" s="161"/>
      <x:c r="O56" s="161"/>
      <x:c r="P56" s="161"/>
      <x:c r="Q56" s="161"/>
      <x:c r="R56" s="161"/>
      <x:c r="S56" s="161"/>
      <x:c r="T56" s="161"/>
      <x:c r="U56" s="161"/>
      <x:c r="V56" s="161"/>
      <x:c r="W56" s="161"/>
      <x:c r="X56" s="161"/>
      <x:c r="Y56" s="161"/>
      <x:c r="Z56" s="161"/>
    </x:row>
    <x:row r="57">
      <x:c r="A57" s="129" t="str">
        <x:f>IF(E57&lt;&gt;"","ACT-"&amp;TEXT(ROW()-5,"000"),"")</x:f>
      </x:c>
      <x:c r="B57" s="124"/>
      <x:c r="C57" s="108"/>
      <x:c r="D57" s="108"/>
      <x:c r="E57" s="108"/>
      <x:c r="F57" s="124"/>
      <x:c r="G57" s="108"/>
      <x:c r="H57" s="108"/>
      <x:c r="I57" s="129" t="str">
        <x:f>IF(F57="","",F57-TODAY())</x:f>
      </x:c>
      <x:c r="J57" s="108"/>
      <x:c r="K57" s="161"/>
      <x:c r="L57" s="161"/>
      <x:c r="M57" s="161"/>
      <x:c r="N57" s="161"/>
      <x:c r="O57" s="161"/>
      <x:c r="P57" s="161"/>
      <x:c r="Q57" s="161"/>
      <x:c r="R57" s="161"/>
      <x:c r="S57" s="161"/>
      <x:c r="T57" s="161"/>
      <x:c r="U57" s="161"/>
      <x:c r="V57" s="161"/>
      <x:c r="W57" s="161"/>
      <x:c r="X57" s="161"/>
      <x:c r="Y57" s="161"/>
      <x:c r="Z57" s="161"/>
    </x:row>
    <x:row r="58">
      <x:c r="A58" s="129" t="str">
        <x:f>IF(E58&lt;&gt;"","ACT-"&amp;TEXT(ROW()-5,"000"),"")</x:f>
      </x:c>
      <x:c r="B58" s="124"/>
      <x:c r="C58" s="108"/>
      <x:c r="D58" s="108"/>
      <x:c r="E58" s="108"/>
      <x:c r="F58" s="124"/>
      <x:c r="G58" s="108"/>
      <x:c r="H58" s="108"/>
      <x:c r="I58" s="129" t="str">
        <x:f>IF(F58="","",F58-TODAY())</x:f>
      </x:c>
      <x:c r="J58" s="108"/>
      <x:c r="K58" s="161"/>
      <x:c r="L58" s="161"/>
      <x:c r="M58" s="161"/>
      <x:c r="N58" s="161"/>
      <x:c r="O58" s="161"/>
      <x:c r="P58" s="161"/>
      <x:c r="Q58" s="161"/>
      <x:c r="R58" s="161"/>
      <x:c r="S58" s="161"/>
      <x:c r="T58" s="161"/>
      <x:c r="U58" s="161"/>
      <x:c r="V58" s="161"/>
      <x:c r="W58" s="161"/>
      <x:c r="X58" s="161"/>
      <x:c r="Y58" s="161"/>
      <x:c r="Z58" s="161"/>
    </x:row>
    <x:row r="59">
      <x:c r="A59" s="129" t="str">
        <x:f>IF(E59&lt;&gt;"","ACT-"&amp;TEXT(ROW()-5,"000"),"")</x:f>
      </x:c>
      <x:c r="B59" s="124"/>
      <x:c r="C59" s="108"/>
      <x:c r="D59" s="108"/>
      <x:c r="E59" s="108"/>
      <x:c r="F59" s="124"/>
      <x:c r="G59" s="108"/>
      <x:c r="H59" s="108"/>
      <x:c r="I59" s="129" t="str">
        <x:f>IF(F59="","",F59-TODAY())</x:f>
      </x:c>
      <x:c r="J59" s="108"/>
      <x:c r="K59" s="161"/>
      <x:c r="L59" s="161"/>
      <x:c r="M59" s="161"/>
      <x:c r="N59" s="161"/>
      <x:c r="O59" s="161"/>
      <x:c r="P59" s="161"/>
      <x:c r="Q59" s="161"/>
      <x:c r="R59" s="161"/>
      <x:c r="S59" s="161"/>
      <x:c r="T59" s="161"/>
      <x:c r="U59" s="161"/>
      <x:c r="V59" s="161"/>
      <x:c r="W59" s="161"/>
      <x:c r="X59" s="161"/>
      <x:c r="Y59" s="161"/>
      <x:c r="Z59" s="161"/>
    </x:row>
    <x:row r="60">
      <x:c r="A60" s="129" t="str">
        <x:f>IF(E60&lt;&gt;"","ACT-"&amp;TEXT(ROW()-5,"000"),"")</x:f>
      </x:c>
      <x:c r="B60" s="124"/>
      <x:c r="C60" s="108"/>
      <x:c r="D60" s="108"/>
      <x:c r="E60" s="108"/>
      <x:c r="F60" s="124"/>
      <x:c r="G60" s="108"/>
      <x:c r="H60" s="108"/>
      <x:c r="I60" s="129" t="str">
        <x:f>IF(F60="","",F60-TODAY())</x:f>
      </x:c>
      <x:c r="J60" s="108"/>
      <x:c r="K60" s="161"/>
      <x:c r="L60" s="161"/>
      <x:c r="M60" s="161"/>
      <x:c r="N60" s="161"/>
      <x:c r="O60" s="161"/>
      <x:c r="P60" s="161"/>
      <x:c r="Q60" s="161"/>
      <x:c r="R60" s="161"/>
      <x:c r="S60" s="161"/>
      <x:c r="T60" s="161"/>
      <x:c r="U60" s="161"/>
      <x:c r="V60" s="161"/>
      <x:c r="W60" s="161"/>
      <x:c r="X60" s="161"/>
      <x:c r="Y60" s="161"/>
      <x:c r="Z60" s="161"/>
    </x:row>
    <x:row r="61">
      <x:c r="A61" s="129" t="str">
        <x:f>IF(E61&lt;&gt;"","ACT-"&amp;TEXT(ROW()-5,"000"),"")</x:f>
      </x:c>
      <x:c r="B61" s="124"/>
      <x:c r="C61" s="108"/>
      <x:c r="D61" s="108"/>
      <x:c r="E61" s="108"/>
      <x:c r="F61" s="124"/>
      <x:c r="G61" s="108"/>
      <x:c r="H61" s="108"/>
      <x:c r="I61" s="129" t="str">
        <x:f>IF(F61="","",F61-TODAY())</x:f>
      </x:c>
      <x:c r="J61" s="108"/>
      <x:c r="K61" s="161"/>
      <x:c r="L61" s="161"/>
      <x:c r="M61" s="161"/>
      <x:c r="N61" s="161"/>
      <x:c r="O61" s="161"/>
      <x:c r="P61" s="161"/>
      <x:c r="Q61" s="161"/>
      <x:c r="R61" s="161"/>
      <x:c r="S61" s="161"/>
      <x:c r="T61" s="161"/>
      <x:c r="U61" s="161"/>
      <x:c r="V61" s="161"/>
      <x:c r="W61" s="161"/>
      <x:c r="X61" s="161"/>
      <x:c r="Y61" s="161"/>
      <x:c r="Z61" s="161"/>
    </x:row>
    <x:row r="62">
      <x:c r="A62" s="129" t="str">
        <x:f>IF(E62&lt;&gt;"","ACT-"&amp;TEXT(ROW()-5,"000"),"")</x:f>
      </x:c>
      <x:c r="B62" s="124"/>
      <x:c r="C62" s="108"/>
      <x:c r="D62" s="108"/>
      <x:c r="E62" s="108"/>
      <x:c r="F62" s="124"/>
      <x:c r="G62" s="108"/>
      <x:c r="H62" s="108"/>
      <x:c r="I62" s="129" t="str">
        <x:f>IF(F62="","",F62-TODAY())</x:f>
      </x:c>
      <x:c r="J62" s="108"/>
      <x:c r="K62" s="161"/>
      <x:c r="L62" s="161"/>
      <x:c r="M62" s="161"/>
      <x:c r="N62" s="161"/>
      <x:c r="O62" s="161"/>
      <x:c r="P62" s="161"/>
      <x:c r="Q62" s="161"/>
      <x:c r="R62" s="161"/>
      <x:c r="S62" s="161"/>
      <x:c r="T62" s="161"/>
      <x:c r="U62" s="161"/>
      <x:c r="V62" s="161"/>
      <x:c r="W62" s="161"/>
      <x:c r="X62" s="161"/>
      <x:c r="Y62" s="161"/>
      <x:c r="Z62" s="161"/>
    </x:row>
    <x:row r="63">
      <x:c r="A63" s="129" t="str">
        <x:f>IF(E63&lt;&gt;"","ACT-"&amp;TEXT(ROW()-5,"000"),"")</x:f>
      </x:c>
      <x:c r="B63" s="124"/>
      <x:c r="C63" s="108"/>
      <x:c r="D63" s="108"/>
      <x:c r="E63" s="108"/>
      <x:c r="F63" s="124"/>
      <x:c r="G63" s="108"/>
      <x:c r="H63" s="108"/>
      <x:c r="I63" s="129" t="str">
        <x:f>IF(F63="","",F63-TODAY())</x:f>
      </x:c>
      <x:c r="J63" s="108"/>
      <x:c r="K63" s="161"/>
      <x:c r="L63" s="161"/>
      <x:c r="M63" s="161"/>
      <x:c r="N63" s="161"/>
      <x:c r="O63" s="161"/>
      <x:c r="P63" s="161"/>
      <x:c r="Q63" s="161"/>
      <x:c r="R63" s="161"/>
      <x:c r="S63" s="161"/>
      <x:c r="T63" s="161"/>
      <x:c r="U63" s="161"/>
      <x:c r="V63" s="161"/>
      <x:c r="W63" s="161"/>
      <x:c r="X63" s="161"/>
      <x:c r="Y63" s="161"/>
      <x:c r="Z63" s="161"/>
    </x:row>
    <x:row r="64">
      <x:c r="A64" s="129" t="str">
        <x:f>IF(E64&lt;&gt;"","ACT-"&amp;TEXT(ROW()-5,"000"),"")</x:f>
      </x:c>
      <x:c r="B64" s="124"/>
      <x:c r="C64" s="108"/>
      <x:c r="D64" s="108"/>
      <x:c r="E64" s="108"/>
      <x:c r="F64" s="124"/>
      <x:c r="G64" s="108"/>
      <x:c r="H64" s="108"/>
      <x:c r="I64" s="129" t="str">
        <x:f>IF(F64="","",F64-TODAY())</x:f>
      </x:c>
      <x:c r="J64" s="108"/>
      <x:c r="K64" s="161"/>
      <x:c r="L64" s="161"/>
      <x:c r="M64" s="161"/>
      <x:c r="N64" s="161"/>
      <x:c r="O64" s="161"/>
      <x:c r="P64" s="161"/>
      <x:c r="Q64" s="161"/>
      <x:c r="R64" s="161"/>
      <x:c r="S64" s="161"/>
      <x:c r="T64" s="161"/>
      <x:c r="U64" s="161"/>
      <x:c r="V64" s="161"/>
      <x:c r="W64" s="161"/>
      <x:c r="X64" s="161"/>
      <x:c r="Y64" s="161"/>
      <x:c r="Z64" s="161"/>
    </x:row>
    <x:row r="65">
      <x:c r="A65" s="129" t="str">
        <x:f>IF(E65&lt;&gt;"","ACT-"&amp;TEXT(ROW()-5,"000"),"")</x:f>
      </x:c>
      <x:c r="B65" s="124"/>
      <x:c r="C65" s="108"/>
      <x:c r="D65" s="108"/>
      <x:c r="E65" s="108"/>
      <x:c r="F65" s="124"/>
      <x:c r="G65" s="108"/>
      <x:c r="H65" s="108"/>
      <x:c r="I65" s="129" t="str">
        <x:f>IF(F65="","",F65-TODAY())</x:f>
      </x:c>
      <x:c r="J65" s="108"/>
      <x:c r="K65" s="161"/>
      <x:c r="L65" s="161"/>
      <x:c r="M65" s="161"/>
      <x:c r="N65" s="161"/>
      <x:c r="O65" s="161"/>
      <x:c r="P65" s="161"/>
      <x:c r="Q65" s="161"/>
      <x:c r="R65" s="161"/>
      <x:c r="S65" s="161"/>
      <x:c r="T65" s="161"/>
      <x:c r="U65" s="161"/>
      <x:c r="V65" s="161"/>
      <x:c r="W65" s="161"/>
      <x:c r="X65" s="161"/>
      <x:c r="Y65" s="161"/>
      <x:c r="Z65" s="161"/>
    </x:row>
    <x:row r="66">
      <x:c r="A66" s="129" t="str">
        <x:f>IF(E66&lt;&gt;"","ACT-"&amp;TEXT(ROW()-5,"000"),"")</x:f>
      </x:c>
      <x:c r="B66" s="124"/>
      <x:c r="C66" s="108"/>
      <x:c r="D66" s="108"/>
      <x:c r="E66" s="108"/>
      <x:c r="F66" s="124"/>
      <x:c r="G66" s="108"/>
      <x:c r="H66" s="108"/>
      <x:c r="I66" s="129" t="str">
        <x:f>IF(F66="","",F66-TODAY())</x:f>
      </x:c>
      <x:c r="J66" s="108"/>
      <x:c r="K66" s="161"/>
      <x:c r="L66" s="161"/>
      <x:c r="M66" s="161"/>
      <x:c r="N66" s="161"/>
      <x:c r="O66" s="161"/>
      <x:c r="P66" s="161"/>
      <x:c r="Q66" s="161"/>
      <x:c r="R66" s="161"/>
      <x:c r="S66" s="161"/>
      <x:c r="T66" s="161"/>
      <x:c r="U66" s="161"/>
      <x:c r="V66" s="161"/>
      <x:c r="W66" s="161"/>
      <x:c r="X66" s="161"/>
      <x:c r="Y66" s="161"/>
      <x:c r="Z66" s="161"/>
    </x:row>
    <x:row r="67">
      <x:c r="A67" s="129" t="str">
        <x:f>IF(E67&lt;&gt;"","ACT-"&amp;TEXT(ROW()-5,"000"),"")</x:f>
      </x:c>
      <x:c r="B67" s="124"/>
      <x:c r="C67" s="108"/>
      <x:c r="D67" s="108"/>
      <x:c r="E67" s="108"/>
      <x:c r="F67" s="124"/>
      <x:c r="G67" s="108"/>
      <x:c r="H67" s="108"/>
      <x:c r="I67" s="129" t="str">
        <x:f>IF(F67="","",F67-TODAY())</x:f>
      </x:c>
      <x:c r="J67" s="108"/>
      <x:c r="K67" s="161"/>
      <x:c r="L67" s="161"/>
      <x:c r="M67" s="161"/>
      <x:c r="N67" s="161"/>
      <x:c r="O67" s="161"/>
      <x:c r="P67" s="161"/>
      <x:c r="Q67" s="161"/>
      <x:c r="R67" s="161"/>
      <x:c r="S67" s="161"/>
      <x:c r="T67" s="161"/>
      <x:c r="U67" s="161"/>
      <x:c r="V67" s="161"/>
      <x:c r="W67" s="161"/>
      <x:c r="X67" s="161"/>
      <x:c r="Y67" s="161"/>
      <x:c r="Z67" s="161"/>
    </x:row>
    <x:row r="68">
      <x:c r="A68" s="129" t="str">
        <x:f>IF(E68&lt;&gt;"","ACT-"&amp;TEXT(ROW()-5,"000"),"")</x:f>
      </x:c>
      <x:c r="B68" s="124"/>
      <x:c r="C68" s="108"/>
      <x:c r="D68" s="108"/>
      <x:c r="E68" s="108"/>
      <x:c r="F68" s="124"/>
      <x:c r="G68" s="108"/>
      <x:c r="H68" s="108"/>
      <x:c r="I68" s="129" t="str">
        <x:f>IF(F68="","",F68-TODAY())</x:f>
      </x:c>
      <x:c r="J68" s="108"/>
      <x:c r="K68" s="161"/>
      <x:c r="L68" s="161"/>
      <x:c r="M68" s="161"/>
      <x:c r="N68" s="161"/>
      <x:c r="O68" s="161"/>
      <x:c r="P68" s="161"/>
      <x:c r="Q68" s="161"/>
      <x:c r="R68" s="161"/>
      <x:c r="S68" s="161"/>
      <x:c r="T68" s="161"/>
      <x:c r="U68" s="161"/>
      <x:c r="V68" s="161"/>
      <x:c r="W68" s="161"/>
      <x:c r="X68" s="161"/>
      <x:c r="Y68" s="161"/>
      <x:c r="Z68" s="161"/>
    </x:row>
    <x:row r="69">
      <x:c r="A69" s="129" t="str">
        <x:f>IF(E69&lt;&gt;"","ACT-"&amp;TEXT(ROW()-5,"000"),"")</x:f>
      </x:c>
      <x:c r="B69" s="124"/>
      <x:c r="C69" s="108"/>
      <x:c r="D69" s="108"/>
      <x:c r="E69" s="108"/>
      <x:c r="F69" s="124"/>
      <x:c r="G69" s="108"/>
      <x:c r="H69" s="108"/>
      <x:c r="I69" s="129" t="str">
        <x:f>IF(F69="","",F69-TODAY())</x:f>
      </x:c>
      <x:c r="J69" s="108"/>
      <x:c r="K69" s="161"/>
      <x:c r="L69" s="161"/>
      <x:c r="M69" s="161"/>
      <x:c r="N69" s="161"/>
      <x:c r="O69" s="161"/>
      <x:c r="P69" s="161"/>
      <x:c r="Q69" s="161"/>
      <x:c r="R69" s="161"/>
      <x:c r="S69" s="161"/>
      <x:c r="T69" s="161"/>
      <x:c r="U69" s="161"/>
      <x:c r="V69" s="161"/>
      <x:c r="W69" s="161"/>
      <x:c r="X69" s="161"/>
      <x:c r="Y69" s="161"/>
      <x:c r="Z69" s="161"/>
    </x:row>
    <x:row r="70">
      <x:c r="A70" s="129" t="str">
        <x:f>IF(E70&lt;&gt;"","ACT-"&amp;TEXT(ROW()-5,"000"),"")</x:f>
      </x:c>
      <x:c r="B70" s="124"/>
      <x:c r="C70" s="108"/>
      <x:c r="D70" s="108"/>
      <x:c r="E70" s="108"/>
      <x:c r="F70" s="124"/>
      <x:c r="G70" s="108"/>
      <x:c r="H70" s="108"/>
      <x:c r="I70" s="129" t="str">
        <x:f>IF(F70="","",F70-TODAY())</x:f>
      </x:c>
      <x:c r="J70" s="108"/>
      <x:c r="K70" s="161"/>
      <x:c r="L70" s="161"/>
      <x:c r="M70" s="161"/>
      <x:c r="N70" s="161"/>
      <x:c r="O70" s="161"/>
      <x:c r="P70" s="161"/>
      <x:c r="Q70" s="161"/>
      <x:c r="R70" s="161"/>
      <x:c r="S70" s="161"/>
      <x:c r="T70" s="161"/>
      <x:c r="U70" s="161"/>
      <x:c r="V70" s="161"/>
      <x:c r="W70" s="161"/>
      <x:c r="X70" s="161"/>
      <x:c r="Y70" s="161"/>
      <x:c r="Z70" s="161"/>
    </x:row>
    <x:row r="71">
      <x:c r="A71" s="129" t="str">
        <x:f>IF(E71&lt;&gt;"","ACT-"&amp;TEXT(ROW()-5,"000"),"")</x:f>
      </x:c>
      <x:c r="B71" s="124"/>
      <x:c r="C71" s="108"/>
      <x:c r="D71" s="108"/>
      <x:c r="E71" s="108"/>
      <x:c r="F71" s="124"/>
      <x:c r="G71" s="108"/>
      <x:c r="H71" s="108"/>
      <x:c r="I71" s="129" t="str">
        <x:f>IF(F71="","",F71-TODAY())</x:f>
      </x:c>
      <x:c r="J71" s="108"/>
      <x:c r="K71" s="161"/>
      <x:c r="L71" s="161"/>
      <x:c r="M71" s="161"/>
      <x:c r="N71" s="161"/>
      <x:c r="O71" s="161"/>
      <x:c r="P71" s="161"/>
      <x:c r="Q71" s="161"/>
      <x:c r="R71" s="161"/>
      <x:c r="S71" s="161"/>
      <x:c r="T71" s="161"/>
      <x:c r="U71" s="161"/>
      <x:c r="V71" s="161"/>
      <x:c r="W71" s="161"/>
      <x:c r="X71" s="161"/>
      <x:c r="Y71" s="161"/>
      <x:c r="Z71" s="161"/>
    </x:row>
    <x:row r="72">
      <x:c r="A72" s="129" t="str">
        <x:f>IF(E72&lt;&gt;"","ACT-"&amp;TEXT(ROW()-5,"000"),"")</x:f>
      </x:c>
      <x:c r="B72" s="124"/>
      <x:c r="C72" s="108"/>
      <x:c r="D72" s="108"/>
      <x:c r="E72" s="108"/>
      <x:c r="F72" s="124"/>
      <x:c r="G72" s="108"/>
      <x:c r="H72" s="108"/>
      <x:c r="I72" s="129" t="str">
        <x:f>IF(F72="","",F72-TODAY())</x:f>
      </x:c>
      <x:c r="J72" s="108"/>
      <x:c r="K72" s="161"/>
      <x:c r="L72" s="161"/>
      <x:c r="M72" s="161"/>
      <x:c r="N72" s="161"/>
      <x:c r="O72" s="161"/>
      <x:c r="P72" s="161"/>
      <x:c r="Q72" s="161"/>
      <x:c r="R72" s="161"/>
      <x:c r="S72" s="161"/>
      <x:c r="T72" s="161"/>
      <x:c r="U72" s="161"/>
      <x:c r="V72" s="161"/>
      <x:c r="W72" s="161"/>
      <x:c r="X72" s="161"/>
      <x:c r="Y72" s="161"/>
      <x:c r="Z72" s="161"/>
    </x:row>
    <x:row r="73">
      <x:c r="A73" s="129" t="str">
        <x:f>IF(E73&lt;&gt;"","ACT-"&amp;TEXT(ROW()-5,"000"),"")</x:f>
      </x:c>
      <x:c r="B73" s="124"/>
      <x:c r="C73" s="108"/>
      <x:c r="D73" s="108"/>
      <x:c r="E73" s="108"/>
      <x:c r="F73" s="124"/>
      <x:c r="G73" s="108"/>
      <x:c r="H73" s="108"/>
      <x:c r="I73" s="129" t="str">
        <x:f>IF(F73="","",F73-TODAY())</x:f>
      </x:c>
      <x:c r="J73" s="108"/>
      <x:c r="K73" s="161"/>
      <x:c r="L73" s="161"/>
      <x:c r="M73" s="161"/>
      <x:c r="N73" s="161"/>
      <x:c r="O73" s="161"/>
      <x:c r="P73" s="161"/>
      <x:c r="Q73" s="161"/>
      <x:c r="R73" s="161"/>
      <x:c r="S73" s="161"/>
      <x:c r="T73" s="161"/>
      <x:c r="U73" s="161"/>
      <x:c r="V73" s="161"/>
      <x:c r="W73" s="161"/>
      <x:c r="X73" s="161"/>
      <x:c r="Y73" s="161"/>
      <x:c r="Z73" s="161"/>
    </x:row>
    <x:row r="74">
      <x:c r="A74" s="129" t="str">
        <x:f>IF(E74&lt;&gt;"","ACT-"&amp;TEXT(ROW()-5,"000"),"")</x:f>
      </x:c>
      <x:c r="B74" s="124"/>
      <x:c r="C74" s="108"/>
      <x:c r="D74" s="108"/>
      <x:c r="E74" s="108"/>
      <x:c r="F74" s="124"/>
      <x:c r="G74" s="108"/>
      <x:c r="H74" s="108"/>
      <x:c r="I74" s="129" t="str">
        <x:f>IF(F74="","",F74-TODAY())</x:f>
      </x:c>
      <x:c r="J74" s="108"/>
      <x:c r="K74" s="161"/>
      <x:c r="L74" s="161"/>
      <x:c r="M74" s="161"/>
      <x:c r="N74" s="161"/>
      <x:c r="O74" s="161"/>
      <x:c r="P74" s="161"/>
      <x:c r="Q74" s="161"/>
      <x:c r="R74" s="161"/>
      <x:c r="S74" s="161"/>
      <x:c r="T74" s="161"/>
      <x:c r="U74" s="161"/>
      <x:c r="V74" s="161"/>
      <x:c r="W74" s="161"/>
      <x:c r="X74" s="161"/>
      <x:c r="Y74" s="161"/>
      <x:c r="Z74" s="161"/>
    </x:row>
    <x:row r="75">
      <x:c r="A75" s="129" t="str">
        <x:f>IF(E75&lt;&gt;"","ACT-"&amp;TEXT(ROW()-5,"000"),"")</x:f>
      </x:c>
      <x:c r="B75" s="124"/>
      <x:c r="C75" s="108"/>
      <x:c r="D75" s="108"/>
      <x:c r="E75" s="108"/>
      <x:c r="F75" s="124"/>
      <x:c r="G75" s="108"/>
      <x:c r="H75" s="108"/>
      <x:c r="I75" s="129" t="str">
        <x:f>IF(F75="","",F75-TODAY())</x:f>
      </x:c>
      <x:c r="J75" s="108"/>
      <x:c r="K75" s="161"/>
      <x:c r="L75" s="161"/>
      <x:c r="M75" s="161"/>
      <x:c r="N75" s="161"/>
      <x:c r="O75" s="161"/>
      <x:c r="P75" s="161"/>
      <x:c r="Q75" s="161"/>
      <x:c r="R75" s="161"/>
      <x:c r="S75" s="161"/>
      <x:c r="T75" s="161"/>
      <x:c r="U75" s="161"/>
      <x:c r="V75" s="161"/>
      <x:c r="W75" s="161"/>
      <x:c r="X75" s="161"/>
      <x:c r="Y75" s="161"/>
      <x:c r="Z75" s="161"/>
    </x:row>
    <x:row r="76">
      <x:c r="A76" s="129" t="str">
        <x:f>IF(E76&lt;&gt;"","ACT-"&amp;TEXT(ROW()-5,"000"),"")</x:f>
      </x:c>
      <x:c r="B76" s="124"/>
      <x:c r="C76" s="108"/>
      <x:c r="D76" s="108"/>
      <x:c r="E76" s="108"/>
      <x:c r="F76" s="124"/>
      <x:c r="G76" s="108"/>
      <x:c r="H76" s="108"/>
      <x:c r="I76" s="129" t="str">
        <x:f>IF(F76="","",F76-TODAY())</x:f>
      </x:c>
      <x:c r="J76" s="108"/>
      <x:c r="K76" s="161"/>
      <x:c r="L76" s="161"/>
      <x:c r="M76" s="161"/>
      <x:c r="N76" s="161"/>
      <x:c r="O76" s="161"/>
      <x:c r="P76" s="161"/>
      <x:c r="Q76" s="161"/>
      <x:c r="R76" s="161"/>
      <x:c r="S76" s="161"/>
      <x:c r="T76" s="161"/>
      <x:c r="U76" s="161"/>
      <x:c r="V76" s="161"/>
      <x:c r="W76" s="161"/>
      <x:c r="X76" s="161"/>
      <x:c r="Y76" s="161"/>
      <x:c r="Z76" s="161"/>
    </x:row>
    <x:row r="77">
      <x:c r="A77" s="129" t="str">
        <x:f>IF(E77&lt;&gt;"","ACT-"&amp;TEXT(ROW()-5,"000"),"")</x:f>
      </x:c>
      <x:c r="B77" s="124"/>
      <x:c r="C77" s="108"/>
      <x:c r="D77" s="108"/>
      <x:c r="E77" s="108"/>
      <x:c r="F77" s="124"/>
      <x:c r="G77" s="108"/>
      <x:c r="H77" s="108"/>
      <x:c r="I77" s="129" t="str">
        <x:f>IF(F77="","",F77-TODAY())</x:f>
      </x:c>
      <x:c r="J77" s="108"/>
      <x:c r="K77" s="161"/>
      <x:c r="L77" s="161"/>
      <x:c r="M77" s="161"/>
      <x:c r="N77" s="161"/>
      <x:c r="O77" s="161"/>
      <x:c r="P77" s="161"/>
      <x:c r="Q77" s="161"/>
      <x:c r="R77" s="161"/>
      <x:c r="S77" s="161"/>
      <x:c r="T77" s="161"/>
      <x:c r="U77" s="161"/>
      <x:c r="V77" s="161"/>
      <x:c r="W77" s="161"/>
      <x:c r="X77" s="161"/>
      <x:c r="Y77" s="161"/>
      <x:c r="Z77" s="161"/>
    </x:row>
    <x:row r="78">
      <x:c r="A78" s="129" t="str">
        <x:f>IF(E78&lt;&gt;"","ACT-"&amp;TEXT(ROW()-5,"000"),"")</x:f>
      </x:c>
      <x:c r="B78" s="124"/>
      <x:c r="C78" s="108"/>
      <x:c r="D78" s="108"/>
      <x:c r="E78" s="108"/>
      <x:c r="F78" s="124"/>
      <x:c r="G78" s="108"/>
      <x:c r="H78" s="108"/>
      <x:c r="I78" s="129" t="str">
        <x:f>IF(F78="","",F78-TODAY())</x:f>
      </x:c>
      <x:c r="J78" s="108"/>
      <x:c r="K78" s="161"/>
      <x:c r="L78" s="161"/>
      <x:c r="M78" s="161"/>
      <x:c r="N78" s="161"/>
      <x:c r="O78" s="161"/>
      <x:c r="P78" s="161"/>
      <x:c r="Q78" s="161"/>
      <x:c r="R78" s="161"/>
      <x:c r="S78" s="161"/>
      <x:c r="T78" s="161"/>
      <x:c r="U78" s="161"/>
      <x:c r="V78" s="161"/>
      <x:c r="W78" s="161"/>
      <x:c r="X78" s="161"/>
      <x:c r="Y78" s="161"/>
      <x:c r="Z78" s="161"/>
    </x:row>
    <x:row r="79">
      <x:c r="A79" s="129" t="str">
        <x:f>IF(E79&lt;&gt;"","ACT-"&amp;TEXT(ROW()-5,"000"),"")</x:f>
      </x:c>
      <x:c r="B79" s="124"/>
      <x:c r="C79" s="108"/>
      <x:c r="D79" s="108"/>
      <x:c r="E79" s="108"/>
      <x:c r="F79" s="124"/>
      <x:c r="G79" s="108"/>
      <x:c r="H79" s="108"/>
      <x:c r="I79" s="129" t="str">
        <x:f>IF(F79="","",F79-TODAY())</x:f>
      </x:c>
      <x:c r="J79" s="108"/>
      <x:c r="K79" s="161"/>
      <x:c r="L79" s="161"/>
      <x:c r="M79" s="161"/>
      <x:c r="N79" s="161"/>
      <x:c r="O79" s="161"/>
      <x:c r="P79" s="161"/>
      <x:c r="Q79" s="161"/>
      <x:c r="R79" s="161"/>
      <x:c r="S79" s="161"/>
      <x:c r="T79" s="161"/>
      <x:c r="U79" s="161"/>
      <x:c r="V79" s="161"/>
      <x:c r="W79" s="161"/>
      <x:c r="X79" s="161"/>
      <x:c r="Y79" s="161"/>
      <x:c r="Z79" s="161"/>
    </x:row>
    <x:row r="80">
      <x:c r="A80" s="129" t="str">
        <x:f>IF(E80&lt;&gt;"","ACT-"&amp;TEXT(ROW()-5,"000"),"")</x:f>
      </x:c>
      <x:c r="B80" s="124"/>
      <x:c r="C80" s="108"/>
      <x:c r="D80" s="108"/>
      <x:c r="E80" s="108"/>
      <x:c r="F80" s="124"/>
      <x:c r="G80" s="108"/>
      <x:c r="H80" s="108"/>
      <x:c r="I80" s="129" t="str">
        <x:f>IF(F80="","",F80-TODAY())</x:f>
      </x:c>
      <x:c r="J80" s="108"/>
      <x:c r="K80" s="161"/>
      <x:c r="L80" s="161"/>
      <x:c r="M80" s="161"/>
      <x:c r="N80" s="161"/>
      <x:c r="O80" s="161"/>
      <x:c r="P80" s="161"/>
      <x:c r="Q80" s="161"/>
      <x:c r="R80" s="161"/>
      <x:c r="S80" s="161"/>
      <x:c r="T80" s="161"/>
      <x:c r="U80" s="161"/>
      <x:c r="V80" s="161"/>
      <x:c r="W80" s="161"/>
      <x:c r="X80" s="161"/>
      <x:c r="Y80" s="161"/>
      <x:c r="Z80" s="161"/>
    </x:row>
    <x:row r="81">
      <x:c r="A81" s="129" t="str">
        <x:f>IF(E81&lt;&gt;"","ACT-"&amp;TEXT(ROW()-5,"000"),"")</x:f>
      </x:c>
      <x:c r="B81" s="124"/>
      <x:c r="C81" s="108"/>
      <x:c r="D81" s="108"/>
      <x:c r="E81" s="108"/>
      <x:c r="F81" s="124"/>
      <x:c r="G81" s="108"/>
      <x:c r="H81" s="108"/>
      <x:c r="I81" s="129" t="str">
        <x:f>IF(F81="","",F81-TODAY())</x:f>
      </x:c>
      <x:c r="J81" s="108"/>
      <x:c r="K81" s="161"/>
      <x:c r="L81" s="161"/>
      <x:c r="M81" s="161"/>
      <x:c r="N81" s="161"/>
      <x:c r="O81" s="161"/>
      <x:c r="P81" s="161"/>
      <x:c r="Q81" s="161"/>
      <x:c r="R81" s="161"/>
      <x:c r="S81" s="161"/>
      <x:c r="T81" s="161"/>
      <x:c r="U81" s="161"/>
      <x:c r="V81" s="161"/>
      <x:c r="W81" s="161"/>
      <x:c r="X81" s="161"/>
      <x:c r="Y81" s="161"/>
      <x:c r="Z81" s="161"/>
    </x:row>
    <x:row r="82">
      <x:c r="A82" s="129" t="str">
        <x:f>IF(E82&lt;&gt;"","ACT-"&amp;TEXT(ROW()-5,"000"),"")</x:f>
      </x:c>
      <x:c r="B82" s="124"/>
      <x:c r="C82" s="108"/>
      <x:c r="D82" s="108"/>
      <x:c r="E82" s="108"/>
      <x:c r="F82" s="124"/>
      <x:c r="G82" s="108"/>
      <x:c r="H82" s="108"/>
      <x:c r="I82" s="129" t="str">
        <x:f>IF(F82="","",F82-TODAY())</x:f>
      </x:c>
      <x:c r="J82" s="108"/>
      <x:c r="K82" s="161"/>
      <x:c r="L82" s="161"/>
      <x:c r="M82" s="161"/>
      <x:c r="N82" s="161"/>
      <x:c r="O82" s="161"/>
      <x:c r="P82" s="161"/>
      <x:c r="Q82" s="161"/>
      <x:c r="R82" s="161"/>
      <x:c r="S82" s="161"/>
      <x:c r="T82" s="161"/>
      <x:c r="U82" s="161"/>
      <x:c r="V82" s="161"/>
      <x:c r="W82" s="161"/>
      <x:c r="X82" s="161"/>
      <x:c r="Y82" s="161"/>
      <x:c r="Z82" s="161"/>
    </x:row>
    <x:row r="83">
      <x:c r="A83" s="129" t="str">
        <x:f>IF(E83&lt;&gt;"","ACT-"&amp;TEXT(ROW()-5,"000"),"")</x:f>
      </x:c>
      <x:c r="B83" s="124"/>
      <x:c r="C83" s="108"/>
      <x:c r="D83" s="108"/>
      <x:c r="E83" s="108"/>
      <x:c r="F83" s="124"/>
      <x:c r="G83" s="108"/>
      <x:c r="H83" s="108"/>
      <x:c r="I83" s="129" t="str">
        <x:f>IF(F83="","",F83-TODAY())</x:f>
      </x:c>
      <x:c r="J83" s="108"/>
      <x:c r="K83" s="161"/>
      <x:c r="L83" s="161"/>
      <x:c r="M83" s="161"/>
      <x:c r="N83" s="161"/>
      <x:c r="O83" s="161"/>
      <x:c r="P83" s="161"/>
      <x:c r="Q83" s="161"/>
      <x:c r="R83" s="161"/>
      <x:c r="S83" s="161"/>
      <x:c r="T83" s="161"/>
      <x:c r="U83" s="161"/>
      <x:c r="V83" s="161"/>
      <x:c r="W83" s="161"/>
      <x:c r="X83" s="161"/>
      <x:c r="Y83" s="161"/>
      <x:c r="Z83" s="161"/>
    </x:row>
    <x:row r="84">
      <x:c r="A84" s="129" t="str">
        <x:f>IF(E84&lt;&gt;"","ACT-"&amp;TEXT(ROW()-5,"000"),"")</x:f>
      </x:c>
      <x:c r="B84" s="124"/>
      <x:c r="C84" s="108"/>
      <x:c r="D84" s="108"/>
      <x:c r="E84" s="108"/>
      <x:c r="F84" s="124"/>
      <x:c r="G84" s="108"/>
      <x:c r="H84" s="108"/>
      <x:c r="I84" s="129" t="str">
        <x:f>IF(F84="","",F84-TODAY())</x:f>
      </x:c>
      <x:c r="J84" s="108"/>
      <x:c r="K84" s="161"/>
      <x:c r="L84" s="161"/>
      <x:c r="M84" s="161"/>
      <x:c r="N84" s="161"/>
      <x:c r="O84" s="161"/>
      <x:c r="P84" s="161"/>
      <x:c r="Q84" s="161"/>
      <x:c r="R84" s="161"/>
      <x:c r="S84" s="161"/>
      <x:c r="T84" s="161"/>
      <x:c r="U84" s="161"/>
      <x:c r="V84" s="161"/>
      <x:c r="W84" s="161"/>
      <x:c r="X84" s="161"/>
      <x:c r="Y84" s="161"/>
      <x:c r="Z84" s="161"/>
    </x:row>
    <x:row r="85">
      <x:c r="A85" s="129" t="str">
        <x:f>IF(E85&lt;&gt;"","ACT-"&amp;TEXT(ROW()-5,"000"),"")</x:f>
      </x:c>
      <x:c r="B85" s="124"/>
      <x:c r="C85" s="108"/>
      <x:c r="D85" s="108"/>
      <x:c r="E85" s="108"/>
      <x:c r="F85" s="124"/>
      <x:c r="G85" s="108"/>
      <x:c r="H85" s="108"/>
      <x:c r="I85" s="129" t="str">
        <x:f>IF(F85="","",F85-TODAY())</x:f>
      </x:c>
      <x:c r="J85" s="108"/>
      <x:c r="K85" s="161"/>
      <x:c r="L85" s="161"/>
      <x:c r="M85" s="161"/>
      <x:c r="N85" s="161"/>
      <x:c r="O85" s="161"/>
      <x:c r="P85" s="161"/>
      <x:c r="Q85" s="161"/>
      <x:c r="R85" s="161"/>
      <x:c r="S85" s="161"/>
      <x:c r="T85" s="161"/>
      <x:c r="U85" s="161"/>
      <x:c r="V85" s="161"/>
      <x:c r="W85" s="161"/>
      <x:c r="X85" s="161"/>
      <x:c r="Y85" s="161"/>
      <x:c r="Z85" s="161"/>
    </x:row>
    <x:row r="86">
      <x:c r="A86" s="129" t="str">
        <x:f>IF(E86&lt;&gt;"","ACT-"&amp;TEXT(ROW()-5,"000"),"")</x:f>
      </x:c>
      <x:c r="B86" s="124"/>
      <x:c r="C86" s="108"/>
      <x:c r="D86" s="108"/>
      <x:c r="E86" s="108"/>
      <x:c r="F86" s="124"/>
      <x:c r="G86" s="108"/>
      <x:c r="H86" s="108"/>
      <x:c r="I86" s="129" t="str">
        <x:f>IF(F86="","",F86-TODAY())</x:f>
      </x:c>
      <x:c r="J86" s="108"/>
      <x:c r="K86" s="161"/>
      <x:c r="L86" s="161"/>
      <x:c r="M86" s="161"/>
      <x:c r="N86" s="161"/>
      <x:c r="O86" s="161"/>
      <x:c r="P86" s="161"/>
      <x:c r="Q86" s="161"/>
      <x:c r="R86" s="161"/>
      <x:c r="S86" s="161"/>
      <x:c r="T86" s="161"/>
      <x:c r="U86" s="161"/>
      <x:c r="V86" s="161"/>
      <x:c r="W86" s="161"/>
      <x:c r="X86" s="161"/>
      <x:c r="Y86" s="161"/>
      <x:c r="Z86" s="161"/>
    </x:row>
    <x:row r="87">
      <x:c r="A87" s="129" t="str">
        <x:f>IF(E87&lt;&gt;"","ACT-"&amp;TEXT(ROW()-5,"000"),"")</x:f>
      </x:c>
      <x:c r="B87" s="124"/>
      <x:c r="C87" s="108"/>
      <x:c r="D87" s="108"/>
      <x:c r="E87" s="108"/>
      <x:c r="F87" s="124"/>
      <x:c r="G87" s="108"/>
      <x:c r="H87" s="108"/>
      <x:c r="I87" s="129" t="str">
        <x:f>IF(F87="","",F87-TODAY())</x:f>
      </x:c>
      <x:c r="J87" s="108"/>
      <x:c r="K87" s="161"/>
      <x:c r="L87" s="161"/>
      <x:c r="M87" s="161"/>
      <x:c r="N87" s="161"/>
      <x:c r="O87" s="161"/>
      <x:c r="P87" s="161"/>
      <x:c r="Q87" s="161"/>
      <x:c r="R87" s="161"/>
      <x:c r="S87" s="161"/>
      <x:c r="T87" s="161"/>
      <x:c r="U87" s="161"/>
      <x:c r="V87" s="161"/>
      <x:c r="W87" s="161"/>
      <x:c r="X87" s="161"/>
      <x:c r="Y87" s="161"/>
      <x:c r="Z87" s="161"/>
    </x:row>
    <x:row r="88">
      <x:c r="A88" s="129" t="str">
        <x:f>IF(E88&lt;&gt;"","ACT-"&amp;TEXT(ROW()-5,"000"),"")</x:f>
      </x:c>
      <x:c r="B88" s="124"/>
      <x:c r="C88" s="108"/>
      <x:c r="D88" s="108"/>
      <x:c r="E88" s="108"/>
      <x:c r="F88" s="124"/>
      <x:c r="G88" s="108"/>
      <x:c r="H88" s="108"/>
      <x:c r="I88" s="129" t="str">
        <x:f>IF(F88="","",F88-TODAY())</x:f>
      </x:c>
      <x:c r="J88" s="108"/>
      <x:c r="K88" s="161"/>
      <x:c r="L88" s="161"/>
      <x:c r="M88" s="161"/>
      <x:c r="N88" s="161"/>
      <x:c r="O88" s="161"/>
      <x:c r="P88" s="161"/>
      <x:c r="Q88" s="161"/>
      <x:c r="R88" s="161"/>
      <x:c r="S88" s="161"/>
      <x:c r="T88" s="161"/>
      <x:c r="U88" s="161"/>
      <x:c r="V88" s="161"/>
      <x:c r="W88" s="161"/>
      <x:c r="X88" s="161"/>
      <x:c r="Y88" s="161"/>
      <x:c r="Z88" s="161"/>
    </x:row>
    <x:row r="89">
      <x:c r="A89" s="129" t="str">
        <x:f>IF(E89&lt;&gt;"","ACT-"&amp;TEXT(ROW()-5,"000"),"")</x:f>
      </x:c>
      <x:c r="B89" s="124"/>
      <x:c r="C89" s="108"/>
      <x:c r="D89" s="108"/>
      <x:c r="E89" s="108"/>
      <x:c r="F89" s="124"/>
      <x:c r="G89" s="108"/>
      <x:c r="H89" s="108"/>
      <x:c r="I89" s="129" t="str">
        <x:f>IF(F89="","",F89-TODAY())</x:f>
      </x:c>
      <x:c r="J89" s="108"/>
      <x:c r="K89" s="161"/>
      <x:c r="L89" s="161"/>
      <x:c r="M89" s="161"/>
      <x:c r="N89" s="161"/>
      <x:c r="O89" s="161"/>
      <x:c r="P89" s="161"/>
      <x:c r="Q89" s="161"/>
      <x:c r="R89" s="161"/>
      <x:c r="S89" s="161"/>
      <x:c r="T89" s="161"/>
      <x:c r="U89" s="161"/>
      <x:c r="V89" s="161"/>
      <x:c r="W89" s="161"/>
      <x:c r="X89" s="161"/>
      <x:c r="Y89" s="161"/>
      <x:c r="Z89" s="161"/>
    </x:row>
    <x:row r="90">
      <x:c r="A90" s="129" t="str">
        <x:f>IF(E90&lt;&gt;"","ACT-"&amp;TEXT(ROW()-5,"000"),"")</x:f>
      </x:c>
      <x:c r="B90" s="124"/>
      <x:c r="C90" s="108"/>
      <x:c r="D90" s="108"/>
      <x:c r="E90" s="108"/>
      <x:c r="F90" s="124"/>
      <x:c r="G90" s="108"/>
      <x:c r="H90" s="108"/>
      <x:c r="I90" s="129" t="str">
        <x:f>IF(F90="","",F90-TODAY())</x:f>
      </x:c>
      <x:c r="J90" s="108"/>
      <x:c r="K90" s="161"/>
      <x:c r="L90" s="161"/>
      <x:c r="M90" s="161"/>
      <x:c r="N90" s="161"/>
      <x:c r="O90" s="161"/>
      <x:c r="P90" s="161"/>
      <x:c r="Q90" s="161"/>
      <x:c r="R90" s="161"/>
      <x:c r="S90" s="161"/>
      <x:c r="T90" s="161"/>
      <x:c r="U90" s="161"/>
      <x:c r="V90" s="161"/>
      <x:c r="W90" s="161"/>
      <x:c r="X90" s="161"/>
      <x:c r="Y90" s="161"/>
      <x:c r="Z90" s="161"/>
    </x:row>
    <x:row r="91">
      <x:c r="A91" s="129" t="str">
        <x:f>IF(E91&lt;&gt;"","ACT-"&amp;TEXT(ROW()-5,"000"),"")</x:f>
      </x:c>
      <x:c r="B91" s="124"/>
      <x:c r="C91" s="108"/>
      <x:c r="D91" s="108"/>
      <x:c r="E91" s="108"/>
      <x:c r="F91" s="124"/>
      <x:c r="G91" s="108"/>
      <x:c r="H91" s="108"/>
      <x:c r="I91" s="129" t="str">
        <x:f>IF(F91="","",F91-TODAY())</x:f>
      </x:c>
      <x:c r="J91" s="108"/>
      <x:c r="K91" s="161"/>
      <x:c r="L91" s="161"/>
      <x:c r="M91" s="161"/>
      <x:c r="N91" s="161"/>
      <x:c r="O91" s="161"/>
      <x:c r="P91" s="161"/>
      <x:c r="Q91" s="161"/>
      <x:c r="R91" s="161"/>
      <x:c r="S91" s="161"/>
      <x:c r="T91" s="161"/>
      <x:c r="U91" s="161"/>
      <x:c r="V91" s="161"/>
      <x:c r="W91" s="161"/>
      <x:c r="X91" s="161"/>
      <x:c r="Y91" s="161"/>
      <x:c r="Z91" s="161"/>
    </x:row>
    <x:row r="92">
      <x:c r="A92" s="129" t="str">
        <x:f>IF(E92&lt;&gt;"","ACT-"&amp;TEXT(ROW()-5,"000"),"")</x:f>
      </x:c>
      <x:c r="B92" s="124"/>
      <x:c r="C92" s="108"/>
      <x:c r="D92" s="108"/>
      <x:c r="E92" s="108"/>
      <x:c r="F92" s="124"/>
      <x:c r="G92" s="108"/>
      <x:c r="H92" s="108"/>
      <x:c r="I92" s="129" t="str">
        <x:f>IF(F92="","",F92-TODAY())</x:f>
      </x:c>
      <x:c r="J92" s="108"/>
      <x:c r="K92" s="161"/>
      <x:c r="L92" s="161"/>
      <x:c r="M92" s="161"/>
      <x:c r="N92" s="161"/>
      <x:c r="O92" s="161"/>
      <x:c r="P92" s="161"/>
      <x:c r="Q92" s="161"/>
      <x:c r="R92" s="161"/>
      <x:c r="S92" s="161"/>
      <x:c r="T92" s="161"/>
      <x:c r="U92" s="161"/>
      <x:c r="V92" s="161"/>
      <x:c r="W92" s="161"/>
      <x:c r="X92" s="161"/>
      <x:c r="Y92" s="161"/>
      <x:c r="Z92" s="161"/>
    </x:row>
    <x:row r="93">
      <x:c r="A93" s="129" t="str">
        <x:f>IF(E93&lt;&gt;"","ACT-"&amp;TEXT(ROW()-5,"000"),"")</x:f>
      </x:c>
      <x:c r="B93" s="124"/>
      <x:c r="C93" s="108"/>
      <x:c r="D93" s="108"/>
      <x:c r="E93" s="108"/>
      <x:c r="F93" s="124"/>
      <x:c r="G93" s="108"/>
      <x:c r="H93" s="108"/>
      <x:c r="I93" s="129" t="str">
        <x:f>IF(F93="","",F93-TODAY())</x:f>
      </x:c>
      <x:c r="J93" s="108"/>
      <x:c r="K93" s="161"/>
      <x:c r="L93" s="161"/>
      <x:c r="M93" s="161"/>
      <x:c r="N93" s="161"/>
      <x:c r="O93" s="161"/>
      <x:c r="P93" s="161"/>
      <x:c r="Q93" s="161"/>
      <x:c r="R93" s="161"/>
      <x:c r="S93" s="161"/>
      <x:c r="T93" s="161"/>
      <x:c r="U93" s="161"/>
      <x:c r="V93" s="161"/>
      <x:c r="W93" s="161"/>
      <x:c r="X93" s="161"/>
      <x:c r="Y93" s="161"/>
      <x:c r="Z93" s="161"/>
    </x:row>
    <x:row r="94">
      <x:c r="A94" s="129" t="str">
        <x:f>IF(E94&lt;&gt;"","ACT-"&amp;TEXT(ROW()-5,"000"),"")</x:f>
      </x:c>
      <x:c r="B94" s="124"/>
      <x:c r="C94" s="108"/>
      <x:c r="D94" s="108"/>
      <x:c r="E94" s="108"/>
      <x:c r="F94" s="124"/>
      <x:c r="G94" s="108"/>
      <x:c r="H94" s="108"/>
      <x:c r="I94" s="129" t="str">
        <x:f>IF(F94="","",F94-TODAY())</x:f>
      </x:c>
      <x:c r="J94" s="108"/>
      <x:c r="K94" s="161"/>
      <x:c r="L94" s="161"/>
      <x:c r="M94" s="161"/>
      <x:c r="N94" s="161"/>
      <x:c r="O94" s="161"/>
      <x:c r="P94" s="161"/>
      <x:c r="Q94" s="161"/>
      <x:c r="R94" s="161"/>
      <x:c r="S94" s="161"/>
      <x:c r="T94" s="161"/>
      <x:c r="U94" s="161"/>
      <x:c r="V94" s="161"/>
      <x:c r="W94" s="161"/>
      <x:c r="X94" s="161"/>
      <x:c r="Y94" s="161"/>
      <x:c r="Z94" s="161"/>
    </x:row>
    <x:row r="95">
      <x:c r="A95" s="129" t="str">
        <x:f>IF(E95&lt;&gt;"","ACT-"&amp;TEXT(ROW()-5,"000"),"")</x:f>
      </x:c>
      <x:c r="B95" s="124"/>
      <x:c r="C95" s="108"/>
      <x:c r="D95" s="108"/>
      <x:c r="E95" s="108"/>
      <x:c r="F95" s="124"/>
      <x:c r="G95" s="108"/>
      <x:c r="H95" s="108"/>
      <x:c r="I95" s="129" t="str">
        <x:f>IF(F95="","",F95-TODAY())</x:f>
      </x:c>
      <x:c r="J95" s="108"/>
      <x:c r="K95" s="161"/>
      <x:c r="L95" s="161"/>
      <x:c r="M95" s="161"/>
      <x:c r="N95" s="161"/>
      <x:c r="O95" s="161"/>
      <x:c r="P95" s="161"/>
      <x:c r="Q95" s="161"/>
      <x:c r="R95" s="161"/>
      <x:c r="S95" s="161"/>
      <x:c r="T95" s="161"/>
      <x:c r="U95" s="161"/>
      <x:c r="V95" s="161"/>
      <x:c r="W95" s="161"/>
      <x:c r="X95" s="161"/>
      <x:c r="Y95" s="161"/>
      <x:c r="Z95" s="161"/>
    </x:row>
    <x:row r="96">
      <x:c r="A96" s="129" t="str">
        <x:f>IF(E96&lt;&gt;"","ACT-"&amp;TEXT(ROW()-5,"000"),"")</x:f>
      </x:c>
      <x:c r="B96" s="124"/>
      <x:c r="C96" s="108"/>
      <x:c r="D96" s="108"/>
      <x:c r="E96" s="108"/>
      <x:c r="F96" s="124"/>
      <x:c r="G96" s="108"/>
      <x:c r="H96" s="108"/>
      <x:c r="I96" s="129" t="str">
        <x:f>IF(F96="","",F96-TODAY())</x:f>
      </x:c>
      <x:c r="J96" s="108"/>
      <x:c r="K96" s="161"/>
      <x:c r="L96" s="161"/>
      <x:c r="M96" s="161"/>
      <x:c r="N96" s="161"/>
      <x:c r="O96" s="161"/>
      <x:c r="P96" s="161"/>
      <x:c r="Q96" s="161"/>
      <x:c r="R96" s="161"/>
      <x:c r="S96" s="161"/>
      <x:c r="T96" s="161"/>
      <x:c r="U96" s="161"/>
      <x:c r="V96" s="161"/>
      <x:c r="W96" s="161"/>
      <x:c r="X96" s="161"/>
      <x:c r="Y96" s="161"/>
      <x:c r="Z96" s="161"/>
    </x:row>
    <x:row r="97">
      <x:c r="A97" s="129" t="str">
        <x:f>IF(E97&lt;&gt;"","ACT-"&amp;TEXT(ROW()-5,"000"),"")</x:f>
      </x:c>
      <x:c r="B97" s="124"/>
      <x:c r="C97" s="108"/>
      <x:c r="D97" s="108"/>
      <x:c r="E97" s="108"/>
      <x:c r="F97" s="124"/>
      <x:c r="G97" s="108"/>
      <x:c r="H97" s="108"/>
      <x:c r="I97" s="129" t="str">
        <x:f>IF(F97="","",F97-TODAY())</x:f>
      </x:c>
      <x:c r="J97" s="108"/>
      <x:c r="K97" s="161"/>
      <x:c r="L97" s="161"/>
      <x:c r="M97" s="161"/>
      <x:c r="N97" s="161"/>
      <x:c r="O97" s="161"/>
      <x:c r="P97" s="161"/>
      <x:c r="Q97" s="161"/>
      <x:c r="R97" s="161"/>
      <x:c r="S97" s="161"/>
      <x:c r="T97" s="161"/>
      <x:c r="U97" s="161"/>
      <x:c r="V97" s="161"/>
      <x:c r="W97" s="161"/>
      <x:c r="X97" s="161"/>
      <x:c r="Y97" s="161"/>
      <x:c r="Z97" s="161"/>
    </x:row>
    <x:row r="98">
      <x:c r="A98" s="129" t="str">
        <x:f>IF(E98&lt;&gt;"","ACT-"&amp;TEXT(ROW()-5,"000"),"")</x:f>
      </x:c>
      <x:c r="B98" s="124"/>
      <x:c r="C98" s="108"/>
      <x:c r="D98" s="108"/>
      <x:c r="E98" s="108"/>
      <x:c r="F98" s="124"/>
      <x:c r="G98" s="108"/>
      <x:c r="H98" s="108"/>
      <x:c r="I98" s="129" t="str">
        <x:f>IF(F98="","",F98-TODAY())</x:f>
      </x:c>
      <x:c r="J98" s="108"/>
      <x:c r="K98" s="161"/>
      <x:c r="L98" s="161"/>
      <x:c r="M98" s="161"/>
      <x:c r="N98" s="161"/>
      <x:c r="O98" s="161"/>
      <x:c r="P98" s="161"/>
      <x:c r="Q98" s="161"/>
      <x:c r="R98" s="161"/>
      <x:c r="S98" s="161"/>
      <x:c r="T98" s="161"/>
      <x:c r="U98" s="161"/>
      <x:c r="V98" s="161"/>
      <x:c r="W98" s="161"/>
      <x:c r="X98" s="161"/>
      <x:c r="Y98" s="161"/>
      <x:c r="Z98" s="161"/>
    </x:row>
    <x:row r="99">
      <x:c r="A99" s="129" t="str">
        <x:f>IF(E99&lt;&gt;"","ACT-"&amp;TEXT(ROW()-5,"000"),"")</x:f>
      </x:c>
      <x:c r="B99" s="124"/>
      <x:c r="C99" s="108"/>
      <x:c r="D99" s="108"/>
      <x:c r="E99" s="108"/>
      <x:c r="F99" s="124"/>
      <x:c r="G99" s="108"/>
      <x:c r="H99" s="108"/>
      <x:c r="I99" s="129" t="str">
        <x:f>IF(F99="","",F99-TODAY())</x:f>
      </x:c>
      <x:c r="J99" s="108"/>
      <x:c r="K99" s="161"/>
      <x:c r="L99" s="161"/>
      <x:c r="M99" s="161"/>
      <x:c r="N99" s="161"/>
      <x:c r="O99" s="161"/>
      <x:c r="P99" s="161"/>
      <x:c r="Q99" s="161"/>
      <x:c r="R99" s="161"/>
      <x:c r="S99" s="161"/>
      <x:c r="T99" s="161"/>
      <x:c r="U99" s="161"/>
      <x:c r="V99" s="161"/>
      <x:c r="W99" s="161"/>
      <x:c r="X99" s="161"/>
      <x:c r="Y99" s="161"/>
      <x:c r="Z99" s="161"/>
    </x:row>
    <x:row r="100">
      <x:c r="A100" s="129" t="str">
        <x:f>IF(E100&lt;&gt;"","ACT-"&amp;TEXT(ROW()-5,"000"),"")</x:f>
      </x:c>
      <x:c r="B100" s="124"/>
      <x:c r="C100" s="108"/>
      <x:c r="D100" s="108"/>
      <x:c r="E100" s="108"/>
      <x:c r="F100" s="124"/>
      <x:c r="G100" s="108"/>
      <x:c r="H100" s="108"/>
      <x:c r="I100" s="129" t="str">
        <x:f>IF(F100="","",F100-TODAY())</x:f>
      </x:c>
      <x:c r="J100" s="108"/>
      <x:c r="K100" s="161"/>
      <x:c r="L100" s="161"/>
      <x:c r="M100" s="161"/>
      <x:c r="N100" s="161"/>
      <x:c r="O100" s="161"/>
      <x:c r="P100" s="161"/>
      <x:c r="Q100" s="161"/>
      <x:c r="R100" s="161"/>
      <x:c r="S100" s="161"/>
      <x:c r="T100" s="161"/>
      <x:c r="U100" s="161"/>
      <x:c r="V100" s="161"/>
      <x:c r="W100" s="161"/>
      <x:c r="X100" s="161"/>
      <x:c r="Y100" s="161"/>
      <x:c r="Z100" s="161"/>
    </x:row>
    <x:row r="101">
      <x:c r="A101" s="129" t="str">
        <x:f>IF(E101&lt;&gt;"","ACT-"&amp;TEXT(ROW()-5,"000"),"")</x:f>
      </x:c>
      <x:c r="B101" s="124"/>
      <x:c r="C101" s="108"/>
      <x:c r="D101" s="108"/>
      <x:c r="E101" s="108"/>
      <x:c r="F101" s="124"/>
      <x:c r="G101" s="108"/>
      <x:c r="H101" s="108"/>
      <x:c r="I101" s="129" t="str">
        <x:f>IF(F101="","",F101-TODAY())</x:f>
      </x:c>
      <x:c r="J101" s="108"/>
      <x:c r="K101" s="161"/>
      <x:c r="L101" s="161"/>
      <x:c r="M101" s="161"/>
      <x:c r="N101" s="161"/>
      <x:c r="O101" s="161"/>
      <x:c r="P101" s="161"/>
      <x:c r="Q101" s="161"/>
      <x:c r="R101" s="161"/>
      <x:c r="S101" s="161"/>
      <x:c r="T101" s="161"/>
      <x:c r="U101" s="161"/>
      <x:c r="V101" s="161"/>
      <x:c r="W101" s="161"/>
      <x:c r="X101" s="161"/>
      <x:c r="Y101" s="161"/>
      <x:c r="Z101" s="161"/>
    </x:row>
    <x:row r="102">
      <x:c r="A102" s="129" t="str">
        <x:f>IF(E102&lt;&gt;"","ACT-"&amp;TEXT(ROW()-5,"000"),"")</x:f>
      </x:c>
      <x:c r="B102" s="124"/>
      <x:c r="C102" s="108"/>
      <x:c r="D102" s="108"/>
      <x:c r="E102" s="108"/>
      <x:c r="F102" s="124"/>
      <x:c r="G102" s="108"/>
      <x:c r="H102" s="108"/>
      <x:c r="I102" s="129" t="str">
        <x:f>IF(F102="","",F102-TODAY())</x:f>
      </x:c>
      <x:c r="J102" s="108"/>
      <x:c r="K102" s="161"/>
      <x:c r="L102" s="161"/>
      <x:c r="M102" s="161"/>
      <x:c r="N102" s="161"/>
      <x:c r="O102" s="161"/>
      <x:c r="P102" s="161"/>
      <x:c r="Q102" s="161"/>
      <x:c r="R102" s="161"/>
      <x:c r="S102" s="161"/>
      <x:c r="T102" s="161"/>
      <x:c r="U102" s="161"/>
      <x:c r="V102" s="161"/>
      <x:c r="W102" s="161"/>
      <x:c r="X102" s="161"/>
      <x:c r="Y102" s="161"/>
      <x:c r="Z102" s="161"/>
    </x:row>
    <x:row r="103">
      <x:c r="A103" s="129" t="str">
        <x:f>IF(E103&lt;&gt;"","ACT-"&amp;TEXT(ROW()-5,"000"),"")</x:f>
      </x:c>
      <x:c r="B103" s="124"/>
      <x:c r="C103" s="108"/>
      <x:c r="D103" s="108"/>
      <x:c r="E103" s="108"/>
      <x:c r="F103" s="124"/>
      <x:c r="G103" s="108"/>
      <x:c r="H103" s="108"/>
      <x:c r="I103" s="129" t="str">
        <x:f>IF(F103="","",F103-TODAY())</x:f>
      </x:c>
      <x:c r="J103" s="108"/>
      <x:c r="K103" s="161"/>
      <x:c r="L103" s="161"/>
      <x:c r="M103" s="161"/>
      <x:c r="N103" s="161"/>
      <x:c r="O103" s="161"/>
      <x:c r="P103" s="161"/>
      <x:c r="Q103" s="161"/>
      <x:c r="R103" s="161"/>
      <x:c r="S103" s="161"/>
      <x:c r="T103" s="161"/>
      <x:c r="U103" s="161"/>
      <x:c r="V103" s="161"/>
      <x:c r="W103" s="161"/>
      <x:c r="X103" s="161"/>
      <x:c r="Y103" s="161"/>
      <x:c r="Z103" s="161"/>
    </x:row>
    <x:row r="104">
      <x:c r="A104" s="129" t="str">
        <x:f>IF(E104&lt;&gt;"","ACT-"&amp;TEXT(ROW()-5,"000"),"")</x:f>
      </x:c>
      <x:c r="B104" s="124"/>
      <x:c r="C104" s="108"/>
      <x:c r="D104" s="108"/>
      <x:c r="E104" s="108"/>
      <x:c r="F104" s="124"/>
      <x:c r="G104" s="108"/>
      <x:c r="H104" s="108"/>
      <x:c r="I104" s="129" t="str">
        <x:f>IF(F104="","",F104-TODAY())</x:f>
      </x:c>
      <x:c r="J104" s="108"/>
      <x:c r="K104" s="161"/>
      <x:c r="L104" s="161"/>
      <x:c r="M104" s="161"/>
      <x:c r="N104" s="161"/>
      <x:c r="O104" s="161"/>
      <x:c r="P104" s="161"/>
      <x:c r="Q104" s="161"/>
      <x:c r="R104" s="161"/>
      <x:c r="S104" s="161"/>
      <x:c r="T104" s="161"/>
      <x:c r="U104" s="161"/>
      <x:c r="V104" s="161"/>
      <x:c r="W104" s="161"/>
      <x:c r="X104" s="161"/>
      <x:c r="Y104" s="161"/>
      <x:c r="Z104" s="161"/>
    </x:row>
    <x:row r="105">
      <x:c r="A105" s="129" t="str">
        <x:f>IF(E105&lt;&gt;"","ACT-"&amp;TEXT(ROW()-5,"000"),"")</x:f>
      </x:c>
      <x:c r="B105" s="124"/>
      <x:c r="C105" s="108"/>
      <x:c r="D105" s="108"/>
      <x:c r="E105" s="108"/>
      <x:c r="F105" s="124"/>
      <x:c r="G105" s="108"/>
      <x:c r="H105" s="108"/>
      <x:c r="I105" s="129" t="str">
        <x:f>IF(F105="","",F105-TODAY())</x:f>
      </x:c>
      <x:c r="J105" s="108"/>
      <x:c r="K105" s="161"/>
      <x:c r="L105" s="161"/>
      <x:c r="M105" s="161"/>
      <x:c r="N105" s="161"/>
      <x:c r="O105" s="161"/>
      <x:c r="P105" s="161"/>
      <x:c r="Q105" s="161"/>
      <x:c r="R105" s="161"/>
      <x:c r="S105" s="161"/>
      <x:c r="T105" s="161"/>
      <x:c r="U105" s="161"/>
      <x:c r="V105" s="161"/>
      <x:c r="W105" s="161"/>
      <x:c r="X105" s="161"/>
      <x:c r="Y105" s="161"/>
      <x:c r="Z105" s="161"/>
    </x:row>
    <x:row r="106">
      <x:c r="A106" s="129" t="str">
        <x:f>IF(E106&lt;&gt;"","ACT-"&amp;TEXT(ROW()-5,"000"),"")</x:f>
      </x:c>
      <x:c r="B106" s="124"/>
      <x:c r="C106" s="108"/>
      <x:c r="D106" s="108"/>
      <x:c r="E106" s="108"/>
      <x:c r="F106" s="124"/>
      <x:c r="G106" s="108"/>
      <x:c r="H106" s="108"/>
      <x:c r="I106" s="129" t="str">
        <x:f>IF(F106="","",F106-TODAY())</x:f>
      </x:c>
      <x:c r="J106" s="108"/>
      <x:c r="K106" s="161"/>
      <x:c r="L106" s="161"/>
      <x:c r="M106" s="161"/>
      <x:c r="N106" s="161"/>
      <x:c r="O106" s="161"/>
      <x:c r="P106" s="161"/>
      <x:c r="Q106" s="161"/>
      <x:c r="R106" s="161"/>
      <x:c r="S106" s="161"/>
      <x:c r="T106" s="161"/>
      <x:c r="U106" s="161"/>
      <x:c r="V106" s="161"/>
      <x:c r="W106" s="161"/>
      <x:c r="X106" s="161"/>
      <x:c r="Y106" s="161"/>
      <x:c r="Z106" s="161"/>
    </x:row>
    <x:row r="107">
      <x:c r="A107" s="129" t="str">
        <x:f>IF(E107&lt;&gt;"","ACT-"&amp;TEXT(ROW()-5,"000"),"")</x:f>
      </x:c>
      <x:c r="B107" s="124"/>
      <x:c r="C107" s="108"/>
      <x:c r="D107" s="108"/>
      <x:c r="E107" s="108"/>
      <x:c r="F107" s="124"/>
      <x:c r="G107" s="108"/>
      <x:c r="H107" s="108"/>
      <x:c r="I107" s="129" t="str">
        <x:f>IF(F107="","",F107-TODAY())</x:f>
      </x:c>
      <x:c r="J107" s="108"/>
      <x:c r="K107" s="161"/>
      <x:c r="L107" s="161"/>
      <x:c r="M107" s="161"/>
      <x:c r="N107" s="161"/>
      <x:c r="O107" s="161"/>
      <x:c r="P107" s="161"/>
      <x:c r="Q107" s="161"/>
      <x:c r="R107" s="161"/>
      <x:c r="S107" s="161"/>
      <x:c r="T107" s="161"/>
      <x:c r="U107" s="161"/>
      <x:c r="V107" s="161"/>
      <x:c r="W107" s="161"/>
      <x:c r="X107" s="161"/>
      <x:c r="Y107" s="161"/>
      <x:c r="Z107" s="161"/>
    </x:row>
    <x:row r="108">
      <x:c r="A108" s="129" t="str">
        <x:f>IF(E108&lt;&gt;"","ACT-"&amp;TEXT(ROW()-5,"000"),"")</x:f>
      </x:c>
      <x:c r="B108" s="124"/>
      <x:c r="C108" s="108"/>
      <x:c r="D108" s="108"/>
      <x:c r="E108" s="108"/>
      <x:c r="F108" s="124"/>
      <x:c r="G108" s="108"/>
      <x:c r="H108" s="108"/>
      <x:c r="I108" s="129" t="str">
        <x:f>IF(F108="","",F108-TODAY())</x:f>
      </x:c>
      <x:c r="J108" s="108"/>
      <x:c r="K108" s="161"/>
      <x:c r="L108" s="161"/>
      <x:c r="M108" s="161"/>
      <x:c r="N108" s="161"/>
      <x:c r="O108" s="161"/>
      <x:c r="P108" s="161"/>
      <x:c r="Q108" s="161"/>
      <x:c r="R108" s="161"/>
      <x:c r="S108" s="161"/>
      <x:c r="T108" s="161"/>
      <x:c r="U108" s="161"/>
      <x:c r="V108" s="161"/>
      <x:c r="W108" s="161"/>
      <x:c r="X108" s="161"/>
      <x:c r="Y108" s="161"/>
      <x:c r="Z108" s="161"/>
    </x:row>
    <x:row r="109">
      <x:c r="A109" s="129" t="str">
        <x:f>IF(E109&lt;&gt;"","ACT-"&amp;TEXT(ROW()-5,"000"),"")</x:f>
      </x:c>
      <x:c r="B109" s="124"/>
      <x:c r="C109" s="108"/>
      <x:c r="D109" s="108"/>
      <x:c r="E109" s="108"/>
      <x:c r="F109" s="124"/>
      <x:c r="G109" s="108"/>
      <x:c r="H109" s="108"/>
      <x:c r="I109" s="129" t="str">
        <x:f>IF(F109="","",F109-TODAY())</x:f>
      </x:c>
      <x:c r="J109" s="108"/>
      <x:c r="K109" s="161"/>
      <x:c r="L109" s="161"/>
      <x:c r="M109" s="161"/>
      <x:c r="N109" s="161"/>
      <x:c r="O109" s="161"/>
      <x:c r="P109" s="161"/>
      <x:c r="Q109" s="161"/>
      <x:c r="R109" s="161"/>
      <x:c r="S109" s="161"/>
      <x:c r="T109" s="161"/>
      <x:c r="U109" s="161"/>
      <x:c r="V109" s="161"/>
      <x:c r="W109" s="161"/>
      <x:c r="X109" s="161"/>
      <x:c r="Y109" s="161"/>
      <x:c r="Z109" s="161"/>
    </x:row>
    <x:row r="110">
      <x:c r="A110" s="129" t="str">
        <x:f>IF(E110&lt;&gt;"","ACT-"&amp;TEXT(ROW()-5,"000"),"")</x:f>
      </x:c>
      <x:c r="B110" s="124"/>
      <x:c r="C110" s="108"/>
      <x:c r="D110" s="108"/>
      <x:c r="E110" s="108"/>
      <x:c r="F110" s="124"/>
      <x:c r="G110" s="108"/>
      <x:c r="H110" s="108"/>
      <x:c r="I110" s="129" t="str">
        <x:f>IF(F110="","",F110-TODAY())</x:f>
      </x:c>
      <x:c r="J110" s="108"/>
      <x:c r="K110" s="161"/>
      <x:c r="L110" s="161"/>
      <x:c r="M110" s="161"/>
      <x:c r="N110" s="161"/>
      <x:c r="O110" s="161"/>
      <x:c r="P110" s="161"/>
      <x:c r="Q110" s="161"/>
      <x:c r="R110" s="161"/>
      <x:c r="S110" s="161"/>
      <x:c r="T110" s="161"/>
      <x:c r="U110" s="161"/>
      <x:c r="V110" s="161"/>
      <x:c r="W110" s="161"/>
      <x:c r="X110" s="161"/>
      <x:c r="Y110" s="161"/>
      <x:c r="Z110" s="161"/>
    </x:row>
    <x:row r="111">
      <x:c r="A111" s="129" t="str">
        <x:f>IF(E111&lt;&gt;"","ACT-"&amp;TEXT(ROW()-5,"000"),"")</x:f>
      </x:c>
      <x:c r="B111" s="124"/>
      <x:c r="C111" s="108"/>
      <x:c r="D111" s="108"/>
      <x:c r="E111" s="108"/>
      <x:c r="F111" s="124"/>
      <x:c r="G111" s="108"/>
      <x:c r="H111" s="108"/>
      <x:c r="I111" s="129" t="str">
        <x:f>IF(F111="","",F111-TODAY())</x:f>
      </x:c>
      <x:c r="J111" s="108"/>
      <x:c r="K111" s="161"/>
      <x:c r="L111" s="161"/>
      <x:c r="M111" s="161"/>
      <x:c r="N111" s="161"/>
      <x:c r="O111" s="161"/>
      <x:c r="P111" s="161"/>
      <x:c r="Q111" s="161"/>
      <x:c r="R111" s="161"/>
      <x:c r="S111" s="161"/>
      <x:c r="T111" s="161"/>
      <x:c r="U111" s="161"/>
      <x:c r="V111" s="161"/>
      <x:c r="W111" s="161"/>
      <x:c r="X111" s="161"/>
      <x:c r="Y111" s="161"/>
      <x:c r="Z111" s="161"/>
    </x:row>
    <x:row r="112">
      <x:c r="A112" s="129" t="str">
        <x:f>IF(E112&lt;&gt;"","ACT-"&amp;TEXT(ROW()-5,"000"),"")</x:f>
      </x:c>
      <x:c r="B112" s="124"/>
      <x:c r="C112" s="108"/>
      <x:c r="D112" s="108"/>
      <x:c r="E112" s="108"/>
      <x:c r="F112" s="124"/>
      <x:c r="G112" s="108"/>
      <x:c r="H112" s="108"/>
      <x:c r="I112" s="129" t="str">
        <x:f>IF(F112="","",F112-TODAY())</x:f>
      </x:c>
      <x:c r="J112" s="108"/>
      <x:c r="K112" s="161"/>
      <x:c r="L112" s="161"/>
      <x:c r="M112" s="161"/>
      <x:c r="N112" s="161"/>
      <x:c r="O112" s="161"/>
      <x:c r="P112" s="161"/>
      <x:c r="Q112" s="161"/>
      <x:c r="R112" s="161"/>
      <x:c r="S112" s="161"/>
      <x:c r="T112" s="161"/>
      <x:c r="U112" s="161"/>
      <x:c r="V112" s="161"/>
      <x:c r="W112" s="161"/>
      <x:c r="X112" s="161"/>
      <x:c r="Y112" s="161"/>
      <x:c r="Z112" s="161"/>
    </x:row>
    <x:row r="113">
      <x:c r="A113" s="129" t="str">
        <x:f>IF(E113&lt;&gt;"","ACT-"&amp;TEXT(ROW()-5,"000"),"")</x:f>
      </x:c>
      <x:c r="B113" s="124"/>
      <x:c r="C113" s="108"/>
      <x:c r="D113" s="108"/>
      <x:c r="E113" s="108"/>
      <x:c r="F113" s="124"/>
      <x:c r="G113" s="108"/>
      <x:c r="H113" s="108"/>
      <x:c r="I113" s="129" t="str">
        <x:f>IF(F113="","",F113-TODAY())</x:f>
      </x:c>
      <x:c r="J113" s="108"/>
      <x:c r="K113" s="161"/>
      <x:c r="L113" s="161"/>
      <x:c r="M113" s="161"/>
      <x:c r="N113" s="161"/>
      <x:c r="O113" s="161"/>
      <x:c r="P113" s="161"/>
      <x:c r="Q113" s="161"/>
      <x:c r="R113" s="161"/>
      <x:c r="S113" s="161"/>
      <x:c r="T113" s="161"/>
      <x:c r="U113" s="161"/>
      <x:c r="V113" s="161"/>
      <x:c r="W113" s="161"/>
      <x:c r="X113" s="161"/>
      <x:c r="Y113" s="161"/>
      <x:c r="Z113" s="161"/>
    </x:row>
    <x:row r="114">
      <x:c r="A114" s="129" t="str">
        <x:f>IF(E114&lt;&gt;"","ACT-"&amp;TEXT(ROW()-5,"000"),"")</x:f>
      </x:c>
      <x:c r="B114" s="124"/>
      <x:c r="C114" s="108"/>
      <x:c r="D114" s="108"/>
      <x:c r="E114" s="108"/>
      <x:c r="F114" s="124"/>
      <x:c r="G114" s="108"/>
      <x:c r="H114" s="108"/>
      <x:c r="I114" s="129" t="str">
        <x:f>IF(F114="","",F114-TODAY())</x:f>
      </x:c>
      <x:c r="J114" s="108"/>
      <x:c r="K114" s="161"/>
      <x:c r="L114" s="161"/>
      <x:c r="M114" s="161"/>
      <x:c r="N114" s="161"/>
      <x:c r="O114" s="161"/>
      <x:c r="P114" s="161"/>
      <x:c r="Q114" s="161"/>
      <x:c r="R114" s="161"/>
      <x:c r="S114" s="161"/>
      <x:c r="T114" s="161"/>
      <x:c r="U114" s="161"/>
      <x:c r="V114" s="161"/>
      <x:c r="W114" s="161"/>
      <x:c r="X114" s="161"/>
      <x:c r="Y114" s="161"/>
      <x:c r="Z114" s="161"/>
    </x:row>
    <x:row r="115">
      <x:c r="A115" s="129" t="str">
        <x:f>IF(E115&lt;&gt;"","ACT-"&amp;TEXT(ROW()-5,"000"),"")</x:f>
      </x:c>
      <x:c r="B115" s="124"/>
      <x:c r="C115" s="108"/>
      <x:c r="D115" s="108"/>
      <x:c r="E115" s="108"/>
      <x:c r="F115" s="124"/>
      <x:c r="G115" s="108"/>
      <x:c r="H115" s="108"/>
      <x:c r="I115" s="129" t="str">
        <x:f>IF(F115="","",F115-TODAY())</x:f>
      </x:c>
      <x:c r="J115" s="108"/>
      <x:c r="K115" s="161"/>
      <x:c r="L115" s="161"/>
      <x:c r="M115" s="161"/>
      <x:c r="N115" s="161"/>
      <x:c r="O115" s="161"/>
      <x:c r="P115" s="161"/>
      <x:c r="Q115" s="161"/>
      <x:c r="R115" s="161"/>
      <x:c r="S115" s="161"/>
      <x:c r="T115" s="161"/>
      <x:c r="U115" s="161"/>
      <x:c r="V115" s="161"/>
      <x:c r="W115" s="161"/>
      <x:c r="X115" s="161"/>
      <x:c r="Y115" s="161"/>
      <x:c r="Z115" s="161"/>
    </x:row>
    <x:row r="116">
      <x:c r="A116" s="129" t="str">
        <x:f>IF(E116&lt;&gt;"","ACT-"&amp;TEXT(ROW()-5,"000"),"")</x:f>
      </x:c>
      <x:c r="B116" s="124"/>
      <x:c r="C116" s="108"/>
      <x:c r="D116" s="108"/>
      <x:c r="E116" s="108"/>
      <x:c r="F116" s="124"/>
      <x:c r="G116" s="108"/>
      <x:c r="H116" s="108"/>
      <x:c r="I116" s="129" t="str">
        <x:f>IF(F116="","",F116-TODAY())</x:f>
      </x:c>
      <x:c r="J116" s="108"/>
      <x:c r="K116" s="161"/>
      <x:c r="L116" s="161"/>
      <x:c r="M116" s="161"/>
      <x:c r="N116" s="161"/>
      <x:c r="O116" s="161"/>
      <x:c r="P116" s="161"/>
      <x:c r="Q116" s="161"/>
      <x:c r="R116" s="161"/>
      <x:c r="S116" s="161"/>
      <x:c r="T116" s="161"/>
      <x:c r="U116" s="161"/>
      <x:c r="V116" s="161"/>
      <x:c r="W116" s="161"/>
      <x:c r="X116" s="161"/>
      <x:c r="Y116" s="161"/>
      <x:c r="Z116" s="161"/>
    </x:row>
    <x:row r="117">
      <x:c r="A117" s="129" t="str">
        <x:f>IF(E117&lt;&gt;"","ACT-"&amp;TEXT(ROW()-5,"000"),"")</x:f>
      </x:c>
      <x:c r="B117" s="124"/>
      <x:c r="C117" s="108"/>
      <x:c r="D117" s="108"/>
      <x:c r="E117" s="108"/>
      <x:c r="F117" s="124"/>
      <x:c r="G117" s="108"/>
      <x:c r="H117" s="108"/>
      <x:c r="I117" s="129" t="str">
        <x:f>IF(F117="","",F117-TODAY())</x:f>
      </x:c>
      <x:c r="J117" s="108"/>
      <x:c r="K117" s="161"/>
      <x:c r="L117" s="161"/>
      <x:c r="M117" s="161"/>
      <x:c r="N117" s="161"/>
      <x:c r="O117" s="161"/>
      <x:c r="P117" s="161"/>
      <x:c r="Q117" s="161"/>
      <x:c r="R117" s="161"/>
      <x:c r="S117" s="161"/>
      <x:c r="T117" s="161"/>
      <x:c r="U117" s="161"/>
      <x:c r="V117" s="161"/>
      <x:c r="W117" s="161"/>
      <x:c r="X117" s="161"/>
      <x:c r="Y117" s="161"/>
      <x:c r="Z117" s="161"/>
    </x:row>
    <x:row r="118">
      <x:c r="A118" s="129" t="str">
        <x:f>IF(E118&lt;&gt;"","ACT-"&amp;TEXT(ROW()-5,"000"),"")</x:f>
      </x:c>
      <x:c r="B118" s="124"/>
      <x:c r="C118" s="108"/>
      <x:c r="D118" s="108"/>
      <x:c r="E118" s="108"/>
      <x:c r="F118" s="124"/>
      <x:c r="G118" s="108"/>
      <x:c r="H118" s="108"/>
      <x:c r="I118" s="129" t="str">
        <x:f>IF(F118="","",F118-TODAY())</x:f>
      </x:c>
      <x:c r="J118" s="108"/>
      <x:c r="K118" s="161"/>
      <x:c r="L118" s="161"/>
      <x:c r="M118" s="161"/>
      <x:c r="N118" s="161"/>
      <x:c r="O118" s="161"/>
      <x:c r="P118" s="161"/>
      <x:c r="Q118" s="161"/>
      <x:c r="R118" s="161"/>
      <x:c r="S118" s="161"/>
      <x:c r="T118" s="161"/>
      <x:c r="U118" s="161"/>
      <x:c r="V118" s="161"/>
      <x:c r="W118" s="161"/>
      <x:c r="X118" s="161"/>
      <x:c r="Y118" s="161"/>
      <x:c r="Z118" s="161"/>
    </x:row>
    <x:row r="119">
      <x:c r="A119" s="129" t="str">
        <x:f>IF(E119&lt;&gt;"","ACT-"&amp;TEXT(ROW()-5,"000"),"")</x:f>
      </x:c>
      <x:c r="B119" s="124"/>
      <x:c r="C119" s="108"/>
      <x:c r="D119" s="108"/>
      <x:c r="E119" s="108"/>
      <x:c r="F119" s="124"/>
      <x:c r="G119" s="108"/>
      <x:c r="H119" s="108"/>
      <x:c r="I119" s="129" t="str">
        <x:f>IF(F119="","",F119-TODAY())</x:f>
      </x:c>
      <x:c r="J119" s="108"/>
      <x:c r="K119" s="161"/>
      <x:c r="L119" s="161"/>
      <x:c r="M119" s="161"/>
      <x:c r="N119" s="161"/>
      <x:c r="O119" s="161"/>
      <x:c r="P119" s="161"/>
      <x:c r="Q119" s="161"/>
      <x:c r="R119" s="161"/>
      <x:c r="S119" s="161"/>
      <x:c r="T119" s="161"/>
      <x:c r="U119" s="161"/>
      <x:c r="V119" s="161"/>
      <x:c r="W119" s="161"/>
      <x:c r="X119" s="161"/>
      <x:c r="Y119" s="161"/>
      <x:c r="Z119" s="161"/>
    </x:row>
    <x:row r="120">
      <x:c r="A120" s="129" t="str">
        <x:f>IF(E120&lt;&gt;"","ACT-"&amp;TEXT(ROW()-5,"000"),"")</x:f>
      </x:c>
      <x:c r="B120" s="124"/>
      <x:c r="C120" s="108"/>
      <x:c r="D120" s="108"/>
      <x:c r="E120" s="108"/>
      <x:c r="F120" s="124"/>
      <x:c r="G120" s="108"/>
      <x:c r="H120" s="108"/>
      <x:c r="I120" s="129" t="str">
        <x:f>IF(F120="","",F120-TODAY())</x:f>
      </x:c>
      <x:c r="J120" s="108"/>
      <x:c r="K120" s="161"/>
      <x:c r="L120" s="161"/>
      <x:c r="M120" s="161"/>
      <x:c r="N120" s="161"/>
      <x:c r="O120" s="161"/>
      <x:c r="P120" s="161"/>
      <x:c r="Q120" s="161"/>
      <x:c r="R120" s="161"/>
      <x:c r="S120" s="161"/>
      <x:c r="T120" s="161"/>
      <x:c r="U120" s="161"/>
      <x:c r="V120" s="161"/>
      <x:c r="W120" s="161"/>
      <x:c r="X120" s="161"/>
      <x:c r="Y120" s="161"/>
      <x:c r="Z120" s="161"/>
    </x:row>
    <x:row r="121">
      <x:c r="A121" s="129" t="str">
        <x:f>IF(E121&lt;&gt;"","ACT-"&amp;TEXT(ROW()-5,"000"),"")</x:f>
      </x:c>
      <x:c r="B121" s="124"/>
      <x:c r="C121" s="108"/>
      <x:c r="D121" s="108"/>
      <x:c r="E121" s="108"/>
      <x:c r="F121" s="124"/>
      <x:c r="G121" s="108"/>
      <x:c r="H121" s="108"/>
      <x:c r="I121" s="129" t="str">
        <x:f>IF(F121="","",F121-TODAY())</x:f>
      </x:c>
      <x:c r="J121" s="108"/>
      <x:c r="K121" s="161"/>
      <x:c r="L121" s="161"/>
      <x:c r="M121" s="161"/>
      <x:c r="N121" s="161"/>
      <x:c r="O121" s="161"/>
      <x:c r="P121" s="161"/>
      <x:c r="Q121" s="161"/>
      <x:c r="R121" s="161"/>
      <x:c r="S121" s="161"/>
      <x:c r="T121" s="161"/>
      <x:c r="U121" s="161"/>
      <x:c r="V121" s="161"/>
      <x:c r="W121" s="161"/>
      <x:c r="X121" s="161"/>
      <x:c r="Y121" s="161"/>
      <x:c r="Z121" s="161"/>
    </x:row>
    <x:row r="122">
      <x:c r="A122" s="129" t="str">
        <x:f>IF(E122&lt;&gt;"","ACT-"&amp;TEXT(ROW()-5,"000"),"")</x:f>
      </x:c>
      <x:c r="B122" s="124"/>
      <x:c r="C122" s="108"/>
      <x:c r="D122" s="108"/>
      <x:c r="E122" s="108"/>
      <x:c r="F122" s="124"/>
      <x:c r="G122" s="108"/>
      <x:c r="H122" s="108"/>
      <x:c r="I122" s="129" t="str">
        <x:f>IF(F122="","",F122-TODAY())</x:f>
      </x:c>
      <x:c r="J122" s="108"/>
      <x:c r="K122" s="161"/>
      <x:c r="L122" s="161"/>
      <x:c r="M122" s="161"/>
      <x:c r="N122" s="161"/>
      <x:c r="O122" s="161"/>
      <x:c r="P122" s="161"/>
      <x:c r="Q122" s="161"/>
      <x:c r="R122" s="161"/>
      <x:c r="S122" s="161"/>
      <x:c r="T122" s="161"/>
      <x:c r="U122" s="161"/>
      <x:c r="V122" s="161"/>
      <x:c r="W122" s="161"/>
      <x:c r="X122" s="161"/>
      <x:c r="Y122" s="161"/>
      <x:c r="Z122" s="161"/>
    </x:row>
    <x:row r="123">
      <x:c r="A123" s="129" t="str">
        <x:f>IF(E123&lt;&gt;"","ACT-"&amp;TEXT(ROW()-5,"000"),"")</x:f>
      </x:c>
      <x:c r="B123" s="124"/>
      <x:c r="C123" s="108"/>
      <x:c r="D123" s="108"/>
      <x:c r="E123" s="108"/>
      <x:c r="F123" s="124"/>
      <x:c r="G123" s="108"/>
      <x:c r="H123" s="108"/>
      <x:c r="I123" s="129" t="str">
        <x:f>IF(F123="","",F123-TODAY())</x:f>
      </x:c>
      <x:c r="J123" s="108"/>
      <x:c r="K123" s="161"/>
      <x:c r="L123" s="161"/>
      <x:c r="M123" s="161"/>
      <x:c r="N123" s="161"/>
      <x:c r="O123" s="161"/>
      <x:c r="P123" s="161"/>
      <x:c r="Q123" s="161"/>
      <x:c r="R123" s="161"/>
      <x:c r="S123" s="161"/>
      <x:c r="T123" s="161"/>
      <x:c r="U123" s="161"/>
      <x:c r="V123" s="161"/>
      <x:c r="W123" s="161"/>
      <x:c r="X123" s="161"/>
      <x:c r="Y123" s="161"/>
      <x:c r="Z123" s="161"/>
    </x:row>
    <x:row r="124">
      <x:c r="A124" s="129" t="str">
        <x:f>IF(E124&lt;&gt;"","ACT-"&amp;TEXT(ROW()-5,"000"),"")</x:f>
      </x:c>
      <x:c r="B124" s="124"/>
      <x:c r="C124" s="108"/>
      <x:c r="D124" s="108"/>
      <x:c r="E124" s="108"/>
      <x:c r="F124" s="124"/>
      <x:c r="G124" s="108"/>
      <x:c r="H124" s="108"/>
      <x:c r="I124" s="129" t="str">
        <x:f>IF(F124="","",F124-TODAY())</x:f>
      </x:c>
      <x:c r="J124" s="108"/>
      <x:c r="K124" s="161"/>
      <x:c r="L124" s="161"/>
      <x:c r="M124" s="161"/>
      <x:c r="N124" s="161"/>
      <x:c r="O124" s="161"/>
      <x:c r="P124" s="161"/>
      <x:c r="Q124" s="161"/>
      <x:c r="R124" s="161"/>
      <x:c r="S124" s="161"/>
      <x:c r="T124" s="161"/>
      <x:c r="U124" s="161"/>
      <x:c r="V124" s="161"/>
      <x:c r="W124" s="161"/>
      <x:c r="X124" s="161"/>
      <x:c r="Y124" s="161"/>
      <x:c r="Z124" s="161"/>
    </x:row>
    <x:row r="125">
      <x:c r="A125" s="129" t="str">
        <x:f>IF(E125&lt;&gt;"","ACT-"&amp;TEXT(ROW()-5,"000"),"")</x:f>
      </x:c>
      <x:c r="B125" s="124"/>
      <x:c r="C125" s="108"/>
      <x:c r="D125" s="108"/>
      <x:c r="E125" s="108"/>
      <x:c r="F125" s="124"/>
      <x:c r="G125" s="108"/>
      <x:c r="H125" s="108"/>
      <x:c r="I125" s="129" t="str">
        <x:f>IF(F125="","",F125-TODAY())</x:f>
      </x:c>
      <x:c r="J125" s="108"/>
      <x:c r="K125" s="161"/>
      <x:c r="L125" s="161"/>
      <x:c r="M125" s="161"/>
      <x:c r="N125" s="161"/>
      <x:c r="O125" s="161"/>
      <x:c r="P125" s="161"/>
      <x:c r="Q125" s="161"/>
      <x:c r="R125" s="161"/>
      <x:c r="S125" s="161"/>
      <x:c r="T125" s="161"/>
      <x:c r="U125" s="161"/>
      <x:c r="V125" s="161"/>
      <x:c r="W125" s="161"/>
      <x:c r="X125" s="161"/>
      <x:c r="Y125" s="161"/>
      <x:c r="Z125" s="161"/>
    </x:row>
    <x:row r="126">
      <x:c r="A126" s="129" t="str">
        <x:f>IF(E126&lt;&gt;"","ACT-"&amp;TEXT(ROW()-5,"000"),"")</x:f>
      </x:c>
      <x:c r="B126" s="124"/>
      <x:c r="C126" s="108"/>
      <x:c r="D126" s="108"/>
      <x:c r="E126" s="108"/>
      <x:c r="F126" s="124"/>
      <x:c r="G126" s="108"/>
      <x:c r="H126" s="108"/>
      <x:c r="I126" s="129" t="str">
        <x:f>IF(F126="","",F126-TODAY())</x:f>
      </x:c>
      <x:c r="J126" s="108"/>
      <x:c r="K126" s="161"/>
      <x:c r="L126" s="161"/>
      <x:c r="M126" s="161"/>
      <x:c r="N126" s="161"/>
      <x:c r="O126" s="161"/>
      <x:c r="P126" s="161"/>
      <x:c r="Q126" s="161"/>
      <x:c r="R126" s="161"/>
      <x:c r="S126" s="161"/>
      <x:c r="T126" s="161"/>
      <x:c r="U126" s="161"/>
      <x:c r="V126" s="161"/>
      <x:c r="W126" s="161"/>
      <x:c r="X126" s="161"/>
      <x:c r="Y126" s="161"/>
      <x:c r="Z126" s="161"/>
    </x:row>
    <x:row r="127">
      <x:c r="A127" s="129" t="str">
        <x:f>IF(E127&lt;&gt;"","ACT-"&amp;TEXT(ROW()-5,"000"),"")</x:f>
      </x:c>
      <x:c r="B127" s="124"/>
      <x:c r="C127" s="108"/>
      <x:c r="D127" s="108"/>
      <x:c r="E127" s="108"/>
      <x:c r="F127" s="124"/>
      <x:c r="G127" s="108"/>
      <x:c r="H127" s="108"/>
      <x:c r="I127" s="129" t="str">
        <x:f>IF(F127="","",F127-TODAY())</x:f>
      </x:c>
      <x:c r="J127" s="108"/>
      <x:c r="K127" s="161"/>
      <x:c r="L127" s="161"/>
      <x:c r="M127" s="161"/>
      <x:c r="N127" s="161"/>
      <x:c r="O127" s="161"/>
      <x:c r="P127" s="161"/>
      <x:c r="Q127" s="161"/>
      <x:c r="R127" s="161"/>
      <x:c r="S127" s="161"/>
      <x:c r="T127" s="161"/>
      <x:c r="U127" s="161"/>
      <x:c r="V127" s="161"/>
      <x:c r="W127" s="161"/>
      <x:c r="X127" s="161"/>
      <x:c r="Y127" s="161"/>
      <x:c r="Z127" s="161"/>
    </x:row>
    <x:row r="128">
      <x:c r="A128" s="129" t="str">
        <x:f>IF(E128&lt;&gt;"","ACT-"&amp;TEXT(ROW()-5,"000"),"")</x:f>
      </x:c>
      <x:c r="B128" s="124"/>
      <x:c r="C128" s="108"/>
      <x:c r="D128" s="108"/>
      <x:c r="E128" s="108"/>
      <x:c r="F128" s="124"/>
      <x:c r="G128" s="108"/>
      <x:c r="H128" s="108"/>
      <x:c r="I128" s="129" t="str">
        <x:f>IF(F128="","",F128-TODAY())</x:f>
      </x:c>
      <x:c r="J128" s="108"/>
      <x:c r="K128" s="161"/>
      <x:c r="L128" s="161"/>
      <x:c r="M128" s="161"/>
      <x:c r="N128" s="161"/>
      <x:c r="O128" s="161"/>
      <x:c r="P128" s="161"/>
      <x:c r="Q128" s="161"/>
      <x:c r="R128" s="161"/>
      <x:c r="S128" s="161"/>
      <x:c r="T128" s="161"/>
      <x:c r="U128" s="161"/>
      <x:c r="V128" s="161"/>
      <x:c r="W128" s="161"/>
      <x:c r="X128" s="161"/>
      <x:c r="Y128" s="161"/>
      <x:c r="Z128" s="161"/>
    </x:row>
    <x:row r="129">
      <x:c r="A129" s="129" t="str">
        <x:f>IF(E129&lt;&gt;"","ACT-"&amp;TEXT(ROW()-5,"000"),"")</x:f>
      </x:c>
      <x:c r="B129" s="124"/>
      <x:c r="C129" s="108"/>
      <x:c r="D129" s="108"/>
      <x:c r="E129" s="108"/>
      <x:c r="F129" s="124"/>
      <x:c r="G129" s="108"/>
      <x:c r="H129" s="108"/>
      <x:c r="I129" s="129" t="str">
        <x:f>IF(F129="","",F129-TODAY())</x:f>
      </x:c>
      <x:c r="J129" s="108"/>
      <x:c r="K129" s="161"/>
      <x:c r="L129" s="161"/>
      <x:c r="M129" s="161"/>
      <x:c r="N129" s="161"/>
      <x:c r="O129" s="161"/>
      <x:c r="P129" s="161"/>
      <x:c r="Q129" s="161"/>
      <x:c r="R129" s="161"/>
      <x:c r="S129" s="161"/>
      <x:c r="T129" s="161"/>
      <x:c r="U129" s="161"/>
      <x:c r="V129" s="161"/>
      <x:c r="W129" s="161"/>
      <x:c r="X129" s="161"/>
      <x:c r="Y129" s="161"/>
      <x:c r="Z129" s="161"/>
    </x:row>
    <x:row r="130">
      <x:c r="A130" s="129" t="str">
        <x:f>IF(E130&lt;&gt;"","ACT-"&amp;TEXT(ROW()-5,"000"),"")</x:f>
      </x:c>
      <x:c r="B130" s="124"/>
      <x:c r="C130" s="108"/>
      <x:c r="D130" s="108"/>
      <x:c r="E130" s="108"/>
      <x:c r="F130" s="124"/>
      <x:c r="G130" s="108"/>
      <x:c r="H130" s="108"/>
      <x:c r="I130" s="129" t="str">
        <x:f>IF(F130="","",F130-TODAY())</x:f>
      </x:c>
      <x:c r="J130" s="108"/>
      <x:c r="K130" s="161"/>
      <x:c r="L130" s="161"/>
      <x:c r="M130" s="161"/>
      <x:c r="N130" s="161"/>
      <x:c r="O130" s="161"/>
      <x:c r="P130" s="161"/>
      <x:c r="Q130" s="161"/>
      <x:c r="R130" s="161"/>
      <x:c r="S130" s="161"/>
      <x:c r="T130" s="161"/>
      <x:c r="U130" s="161"/>
      <x:c r="V130" s="161"/>
      <x:c r="W130" s="161"/>
      <x:c r="X130" s="161"/>
      <x:c r="Y130" s="161"/>
      <x:c r="Z130" s="161"/>
    </x:row>
    <x:row r="131">
      <x:c r="A131" s="129" t="str">
        <x:f>IF(E131&lt;&gt;"","ACT-"&amp;TEXT(ROW()-5,"000"),"")</x:f>
      </x:c>
      <x:c r="B131" s="124"/>
      <x:c r="C131" s="108"/>
      <x:c r="D131" s="108"/>
      <x:c r="E131" s="108"/>
      <x:c r="F131" s="124"/>
      <x:c r="G131" s="108"/>
      <x:c r="H131" s="108"/>
      <x:c r="I131" s="129" t="str">
        <x:f>IF(F131="","",F131-TODAY())</x:f>
      </x:c>
      <x:c r="J131" s="108"/>
      <x:c r="K131" s="161"/>
      <x:c r="L131" s="161"/>
      <x:c r="M131" s="161"/>
      <x:c r="N131" s="161"/>
      <x:c r="O131" s="161"/>
      <x:c r="P131" s="161"/>
      <x:c r="Q131" s="161"/>
      <x:c r="R131" s="161"/>
      <x:c r="S131" s="161"/>
      <x:c r="T131" s="161"/>
      <x:c r="U131" s="161"/>
      <x:c r="V131" s="161"/>
      <x:c r="W131" s="161"/>
      <x:c r="X131" s="161"/>
      <x:c r="Y131" s="161"/>
      <x:c r="Z131" s="161"/>
    </x:row>
    <x:row r="132">
      <x:c r="A132" s="129" t="str">
        <x:f>IF(E132&lt;&gt;"","ACT-"&amp;TEXT(ROW()-5,"000"),"")</x:f>
      </x:c>
      <x:c r="B132" s="124"/>
      <x:c r="C132" s="108"/>
      <x:c r="D132" s="108"/>
      <x:c r="E132" s="108"/>
      <x:c r="F132" s="124"/>
      <x:c r="G132" s="108"/>
      <x:c r="H132" s="108"/>
      <x:c r="I132" s="129" t="str">
        <x:f>IF(F132="","",F132-TODAY())</x:f>
      </x:c>
      <x:c r="J132" s="108"/>
      <x:c r="K132" s="161"/>
      <x:c r="L132" s="161"/>
      <x:c r="M132" s="161"/>
      <x:c r="N132" s="161"/>
      <x:c r="O132" s="161"/>
      <x:c r="P132" s="161"/>
      <x:c r="Q132" s="161"/>
      <x:c r="R132" s="161"/>
      <x:c r="S132" s="161"/>
      <x:c r="T132" s="161"/>
      <x:c r="U132" s="161"/>
      <x:c r="V132" s="161"/>
      <x:c r="W132" s="161"/>
      <x:c r="X132" s="161"/>
      <x:c r="Y132" s="161"/>
      <x:c r="Z132" s="161"/>
    </x:row>
    <x:row r="133">
      <x:c r="A133" s="129" t="str">
        <x:f>IF(E133&lt;&gt;"","ACT-"&amp;TEXT(ROW()-5,"000"),"")</x:f>
      </x:c>
      <x:c r="B133" s="124"/>
      <x:c r="C133" s="108"/>
      <x:c r="D133" s="108"/>
      <x:c r="E133" s="108"/>
      <x:c r="F133" s="124"/>
      <x:c r="G133" s="108"/>
      <x:c r="H133" s="108"/>
      <x:c r="I133" s="129" t="str">
        <x:f>IF(F133="","",F133-TODAY())</x:f>
      </x:c>
      <x:c r="J133" s="108"/>
      <x:c r="K133" s="161"/>
      <x:c r="L133" s="161"/>
      <x:c r="M133" s="161"/>
      <x:c r="N133" s="161"/>
      <x:c r="O133" s="161"/>
      <x:c r="P133" s="161"/>
      <x:c r="Q133" s="161"/>
      <x:c r="R133" s="161"/>
      <x:c r="S133" s="161"/>
      <x:c r="T133" s="161"/>
      <x:c r="U133" s="161"/>
      <x:c r="V133" s="161"/>
      <x:c r="W133" s="161"/>
      <x:c r="X133" s="161"/>
      <x:c r="Y133" s="161"/>
      <x:c r="Z133" s="161"/>
    </x:row>
    <x:row r="134">
      <x:c r="A134" s="129" t="str">
        <x:f>IF(E134&lt;&gt;"","ACT-"&amp;TEXT(ROW()-5,"000"),"")</x:f>
      </x:c>
      <x:c r="B134" s="124"/>
      <x:c r="C134" s="108"/>
      <x:c r="D134" s="108"/>
      <x:c r="E134" s="108"/>
      <x:c r="F134" s="124"/>
      <x:c r="G134" s="108"/>
      <x:c r="H134" s="108"/>
      <x:c r="I134" s="129" t="str">
        <x:f>IF(F134="","",F134-TODAY())</x:f>
      </x:c>
      <x:c r="J134" s="108"/>
      <x:c r="K134" s="161"/>
      <x:c r="L134" s="161"/>
      <x:c r="M134" s="161"/>
      <x:c r="N134" s="161"/>
      <x:c r="O134" s="161"/>
      <x:c r="P134" s="161"/>
      <x:c r="Q134" s="161"/>
      <x:c r="R134" s="161"/>
      <x:c r="S134" s="161"/>
      <x:c r="T134" s="161"/>
      <x:c r="U134" s="161"/>
      <x:c r="V134" s="161"/>
      <x:c r="W134" s="161"/>
      <x:c r="X134" s="161"/>
      <x:c r="Y134" s="161"/>
      <x:c r="Z134" s="161"/>
    </x:row>
    <x:row r="135">
      <x:c r="A135" s="129" t="str">
        <x:f>IF(E135&lt;&gt;"","ACT-"&amp;TEXT(ROW()-5,"000"),"")</x:f>
      </x:c>
      <x:c r="B135" s="124"/>
      <x:c r="C135" s="108"/>
      <x:c r="D135" s="108"/>
      <x:c r="E135" s="108"/>
      <x:c r="F135" s="124"/>
      <x:c r="G135" s="108"/>
      <x:c r="H135" s="108"/>
      <x:c r="I135" s="129" t="str">
        <x:f>IF(F135="","",F135-TODAY())</x:f>
      </x:c>
      <x:c r="J135" s="108"/>
      <x:c r="K135" s="161"/>
      <x:c r="L135" s="161"/>
      <x:c r="M135" s="161"/>
      <x:c r="N135" s="161"/>
      <x:c r="O135" s="161"/>
      <x:c r="P135" s="161"/>
      <x:c r="Q135" s="161"/>
      <x:c r="R135" s="161"/>
      <x:c r="S135" s="161"/>
      <x:c r="T135" s="161"/>
      <x:c r="U135" s="161"/>
      <x:c r="V135" s="161"/>
      <x:c r="W135" s="161"/>
      <x:c r="X135" s="161"/>
      <x:c r="Y135" s="161"/>
      <x:c r="Z135" s="161"/>
    </x:row>
    <x:row r="136">
      <x:c r="A136" s="129" t="str">
        <x:f>IF(E136&lt;&gt;"","ACT-"&amp;TEXT(ROW()-5,"000"),"")</x:f>
      </x:c>
      <x:c r="B136" s="124"/>
      <x:c r="C136" s="108"/>
      <x:c r="D136" s="108"/>
      <x:c r="E136" s="108"/>
      <x:c r="F136" s="124"/>
      <x:c r="G136" s="108"/>
      <x:c r="H136" s="108"/>
      <x:c r="I136" s="129" t="str">
        <x:f>IF(F136="","",F136-TODAY())</x:f>
      </x:c>
      <x:c r="J136" s="108"/>
      <x:c r="K136" s="161"/>
      <x:c r="L136" s="161"/>
      <x:c r="M136" s="161"/>
      <x:c r="N136" s="161"/>
      <x:c r="O136" s="161"/>
      <x:c r="P136" s="161"/>
      <x:c r="Q136" s="161"/>
      <x:c r="R136" s="161"/>
      <x:c r="S136" s="161"/>
      <x:c r="T136" s="161"/>
      <x:c r="U136" s="161"/>
      <x:c r="V136" s="161"/>
      <x:c r="W136" s="161"/>
      <x:c r="X136" s="161"/>
      <x:c r="Y136" s="161"/>
      <x:c r="Z136" s="161"/>
    </x:row>
    <x:row r="137">
      <x:c r="A137" s="129" t="str">
        <x:f>IF(E137&lt;&gt;"","ACT-"&amp;TEXT(ROW()-5,"000"),"")</x:f>
      </x:c>
      <x:c r="B137" s="124"/>
      <x:c r="C137" s="108"/>
      <x:c r="D137" s="108"/>
      <x:c r="E137" s="108"/>
      <x:c r="F137" s="124"/>
      <x:c r="G137" s="108"/>
      <x:c r="H137" s="108"/>
      <x:c r="I137" s="129" t="str">
        <x:f>IF(F137="","",F137-TODAY())</x:f>
      </x:c>
      <x:c r="J137" s="108"/>
      <x:c r="K137" s="161"/>
      <x:c r="L137" s="161"/>
      <x:c r="M137" s="161"/>
      <x:c r="N137" s="161"/>
      <x:c r="O137" s="161"/>
      <x:c r="P137" s="161"/>
      <x:c r="Q137" s="161"/>
      <x:c r="R137" s="161"/>
      <x:c r="S137" s="161"/>
      <x:c r="T137" s="161"/>
      <x:c r="U137" s="161"/>
      <x:c r="V137" s="161"/>
      <x:c r="W137" s="161"/>
      <x:c r="X137" s="161"/>
      <x:c r="Y137" s="161"/>
      <x:c r="Z137" s="161"/>
    </x:row>
    <x:row r="138">
      <x:c r="A138" s="129" t="str">
        <x:f>IF(E138&lt;&gt;"","ACT-"&amp;TEXT(ROW()-5,"000"),"")</x:f>
      </x:c>
      <x:c r="B138" s="124"/>
      <x:c r="C138" s="108"/>
      <x:c r="D138" s="108"/>
      <x:c r="E138" s="108"/>
      <x:c r="F138" s="124"/>
      <x:c r="G138" s="108"/>
      <x:c r="H138" s="108"/>
      <x:c r="I138" s="129" t="str">
        <x:f>IF(F138="","",F138-TODAY())</x:f>
      </x:c>
      <x:c r="J138" s="108"/>
      <x:c r="K138" s="161"/>
      <x:c r="L138" s="161"/>
      <x:c r="M138" s="161"/>
      <x:c r="N138" s="161"/>
      <x:c r="O138" s="161"/>
      <x:c r="P138" s="161"/>
      <x:c r="Q138" s="161"/>
      <x:c r="R138" s="161"/>
      <x:c r="S138" s="161"/>
      <x:c r="T138" s="161"/>
      <x:c r="U138" s="161"/>
      <x:c r="V138" s="161"/>
      <x:c r="W138" s="161"/>
      <x:c r="X138" s="161"/>
      <x:c r="Y138" s="161"/>
      <x:c r="Z138" s="161"/>
    </x:row>
    <x:row r="139">
      <x:c r="A139" s="129" t="str">
        <x:f>IF(E139&lt;&gt;"","ACT-"&amp;TEXT(ROW()-5,"000"),"")</x:f>
      </x:c>
      <x:c r="B139" s="124"/>
      <x:c r="C139" s="108"/>
      <x:c r="D139" s="108"/>
      <x:c r="E139" s="108"/>
      <x:c r="F139" s="124"/>
      <x:c r="G139" s="108"/>
      <x:c r="H139" s="108"/>
      <x:c r="I139" s="129" t="str">
        <x:f>IF(F139="","",F139-TODAY())</x:f>
      </x:c>
      <x:c r="J139" s="108"/>
      <x:c r="K139" s="161"/>
      <x:c r="L139" s="161"/>
      <x:c r="M139" s="161"/>
      <x:c r="N139" s="161"/>
      <x:c r="O139" s="161"/>
      <x:c r="P139" s="161"/>
      <x:c r="Q139" s="161"/>
      <x:c r="R139" s="161"/>
      <x:c r="S139" s="161"/>
      <x:c r="T139" s="161"/>
      <x:c r="U139" s="161"/>
      <x:c r="V139" s="161"/>
      <x:c r="W139" s="161"/>
      <x:c r="X139" s="161"/>
      <x:c r="Y139" s="161"/>
      <x:c r="Z139" s="161"/>
    </x:row>
    <x:row r="140">
      <x:c r="A140" s="129" t="str">
        <x:f>IF(E140&lt;&gt;"","ACT-"&amp;TEXT(ROW()-5,"000"),"")</x:f>
      </x:c>
      <x:c r="B140" s="124"/>
      <x:c r="C140" s="108"/>
      <x:c r="D140" s="108"/>
      <x:c r="E140" s="108"/>
      <x:c r="F140" s="124"/>
      <x:c r="G140" s="108"/>
      <x:c r="H140" s="108"/>
      <x:c r="I140" s="129" t="str">
        <x:f>IF(F140="","",F140-TODAY())</x:f>
      </x:c>
      <x:c r="J140" s="108"/>
      <x:c r="K140" s="161"/>
      <x:c r="L140" s="161"/>
      <x:c r="M140" s="161"/>
      <x:c r="N140" s="161"/>
      <x:c r="O140" s="161"/>
      <x:c r="P140" s="161"/>
      <x:c r="Q140" s="161"/>
      <x:c r="R140" s="161"/>
      <x:c r="S140" s="161"/>
      <x:c r="T140" s="161"/>
      <x:c r="U140" s="161"/>
      <x:c r="V140" s="161"/>
      <x:c r="W140" s="161"/>
      <x:c r="X140" s="161"/>
      <x:c r="Y140" s="161"/>
      <x:c r="Z140" s="161"/>
    </x:row>
    <x:row r="141">
      <x:c r="A141" s="129" t="str">
        <x:f>IF(E141&lt;&gt;"","ACT-"&amp;TEXT(ROW()-5,"000"),"")</x:f>
      </x:c>
      <x:c r="B141" s="124"/>
      <x:c r="C141" s="108"/>
      <x:c r="D141" s="108"/>
      <x:c r="E141" s="108"/>
      <x:c r="F141" s="124"/>
      <x:c r="G141" s="108"/>
      <x:c r="H141" s="108"/>
      <x:c r="I141" s="129" t="str">
        <x:f>IF(F141="","",F141-TODAY())</x:f>
      </x:c>
      <x:c r="J141" s="108"/>
      <x:c r="K141" s="161"/>
      <x:c r="L141" s="161"/>
      <x:c r="M141" s="161"/>
      <x:c r="N141" s="161"/>
      <x:c r="O141" s="161"/>
      <x:c r="P141" s="161"/>
      <x:c r="Q141" s="161"/>
      <x:c r="R141" s="161"/>
      <x:c r="S141" s="161"/>
      <x:c r="T141" s="161"/>
      <x:c r="U141" s="161"/>
      <x:c r="V141" s="161"/>
      <x:c r="W141" s="161"/>
      <x:c r="X141" s="161"/>
      <x:c r="Y141" s="161"/>
      <x:c r="Z141" s="161"/>
    </x:row>
    <x:row r="142">
      <x:c r="A142" s="129" t="str">
        <x:f>IF(E142&lt;&gt;"","ACT-"&amp;TEXT(ROW()-5,"000"),"")</x:f>
      </x:c>
      <x:c r="B142" s="124"/>
      <x:c r="C142" s="108"/>
      <x:c r="D142" s="108"/>
      <x:c r="E142" s="108"/>
      <x:c r="F142" s="124"/>
      <x:c r="G142" s="108"/>
      <x:c r="H142" s="108"/>
      <x:c r="I142" s="129" t="str">
        <x:f>IF(F142="","",F142-TODAY())</x:f>
      </x:c>
      <x:c r="J142" s="108"/>
      <x:c r="K142" s="161"/>
      <x:c r="L142" s="161"/>
      <x:c r="M142" s="161"/>
      <x:c r="N142" s="161"/>
      <x:c r="O142" s="161"/>
      <x:c r="P142" s="161"/>
      <x:c r="Q142" s="161"/>
      <x:c r="R142" s="161"/>
      <x:c r="S142" s="161"/>
      <x:c r="T142" s="161"/>
      <x:c r="U142" s="161"/>
      <x:c r="V142" s="161"/>
      <x:c r="W142" s="161"/>
      <x:c r="X142" s="161"/>
      <x:c r="Y142" s="161"/>
      <x:c r="Z142" s="161"/>
    </x:row>
    <x:row r="143">
      <x:c r="A143" s="129" t="str">
        <x:f>IF(E143&lt;&gt;"","ACT-"&amp;TEXT(ROW()-5,"000"),"")</x:f>
      </x:c>
      <x:c r="B143" s="124"/>
      <x:c r="C143" s="108"/>
      <x:c r="D143" s="108"/>
      <x:c r="E143" s="108"/>
      <x:c r="F143" s="124"/>
      <x:c r="G143" s="108"/>
      <x:c r="H143" s="108"/>
      <x:c r="I143" s="129" t="str">
        <x:f>IF(F143="","",F143-TODAY())</x:f>
      </x:c>
      <x:c r="J143" s="108"/>
      <x:c r="K143" s="161"/>
      <x:c r="L143" s="161"/>
      <x:c r="M143" s="161"/>
      <x:c r="N143" s="161"/>
      <x:c r="O143" s="161"/>
      <x:c r="P143" s="161"/>
      <x:c r="Q143" s="161"/>
      <x:c r="R143" s="161"/>
      <x:c r="S143" s="161"/>
      <x:c r="T143" s="161"/>
      <x:c r="U143" s="161"/>
      <x:c r="V143" s="161"/>
      <x:c r="W143" s="161"/>
      <x:c r="X143" s="161"/>
      <x:c r="Y143" s="161"/>
      <x:c r="Z143" s="161"/>
    </x:row>
    <x:row r="144">
      <x:c r="A144" s="129" t="str">
        <x:f>IF(E144&lt;&gt;"","ACT-"&amp;TEXT(ROW()-5,"000"),"")</x:f>
      </x:c>
      <x:c r="B144" s="124"/>
      <x:c r="C144" s="108"/>
      <x:c r="D144" s="108"/>
      <x:c r="E144" s="108"/>
      <x:c r="F144" s="124"/>
      <x:c r="G144" s="108"/>
      <x:c r="H144" s="108"/>
      <x:c r="I144" s="129" t="str">
        <x:f>IF(F144="","",F144-TODAY())</x:f>
      </x:c>
      <x:c r="J144" s="108"/>
      <x:c r="K144" s="161"/>
      <x:c r="L144" s="161"/>
      <x:c r="M144" s="161"/>
      <x:c r="N144" s="161"/>
      <x:c r="O144" s="161"/>
      <x:c r="P144" s="161"/>
      <x:c r="Q144" s="161"/>
      <x:c r="R144" s="161"/>
      <x:c r="S144" s="161"/>
      <x:c r="T144" s="161"/>
      <x:c r="U144" s="161"/>
      <x:c r="V144" s="161"/>
      <x:c r="W144" s="161"/>
      <x:c r="X144" s="161"/>
      <x:c r="Y144" s="161"/>
      <x:c r="Z144" s="161"/>
    </x:row>
    <x:row r="145">
      <x:c r="A145" s="129" t="str">
        <x:f>IF(E145&lt;&gt;"","ACT-"&amp;TEXT(ROW()-5,"000"),"")</x:f>
      </x:c>
      <x:c r="B145" s="124"/>
      <x:c r="C145" s="108"/>
      <x:c r="D145" s="108"/>
      <x:c r="E145" s="108"/>
      <x:c r="F145" s="124"/>
      <x:c r="G145" s="108"/>
      <x:c r="H145" s="108"/>
      <x:c r="I145" s="129" t="str">
        <x:f>IF(F145="","",F145-TODAY())</x:f>
      </x:c>
      <x:c r="J145" s="108"/>
      <x:c r="K145" s="161"/>
      <x:c r="L145" s="161"/>
      <x:c r="M145" s="161"/>
      <x:c r="N145" s="161"/>
      <x:c r="O145" s="161"/>
      <x:c r="P145" s="161"/>
      <x:c r="Q145" s="161"/>
      <x:c r="R145" s="161"/>
      <x:c r="S145" s="161"/>
      <x:c r="T145" s="161"/>
      <x:c r="U145" s="161"/>
      <x:c r="V145" s="161"/>
      <x:c r="W145" s="161"/>
      <x:c r="X145" s="161"/>
      <x:c r="Y145" s="161"/>
      <x:c r="Z145" s="161"/>
    </x:row>
    <x:row r="146">
      <x:c r="A146" s="129" t="str">
        <x:f>IF(E146&lt;&gt;"","ACT-"&amp;TEXT(ROW()-5,"000"),"")</x:f>
      </x:c>
      <x:c r="B146" s="124"/>
      <x:c r="C146" s="108"/>
      <x:c r="D146" s="108"/>
      <x:c r="E146" s="108"/>
      <x:c r="F146" s="124"/>
      <x:c r="G146" s="108"/>
      <x:c r="H146" s="108"/>
      <x:c r="I146" s="129" t="str">
        <x:f>IF(F146="","",F146-TODAY())</x:f>
      </x:c>
      <x:c r="J146" s="108"/>
      <x:c r="K146" s="161"/>
      <x:c r="L146" s="161"/>
      <x:c r="M146" s="161"/>
      <x:c r="N146" s="161"/>
      <x:c r="O146" s="161"/>
      <x:c r="P146" s="161"/>
      <x:c r="Q146" s="161"/>
      <x:c r="R146" s="161"/>
      <x:c r="S146" s="161"/>
      <x:c r="T146" s="161"/>
      <x:c r="U146" s="161"/>
      <x:c r="V146" s="161"/>
      <x:c r="W146" s="161"/>
      <x:c r="X146" s="161"/>
      <x:c r="Y146" s="161"/>
      <x:c r="Z146" s="161"/>
    </x:row>
    <x:row r="147">
      <x:c r="A147" s="129" t="str">
        <x:f>IF(E147&lt;&gt;"","ACT-"&amp;TEXT(ROW()-5,"000"),"")</x:f>
      </x:c>
      <x:c r="B147" s="124"/>
      <x:c r="C147" s="108"/>
      <x:c r="D147" s="108"/>
      <x:c r="E147" s="108"/>
      <x:c r="F147" s="124"/>
      <x:c r="G147" s="108"/>
      <x:c r="H147" s="108"/>
      <x:c r="I147" s="129" t="str">
        <x:f>IF(F147="","",F147-TODAY())</x:f>
      </x:c>
      <x:c r="J147" s="108"/>
      <x:c r="K147" s="161"/>
      <x:c r="L147" s="161"/>
      <x:c r="M147" s="161"/>
      <x:c r="N147" s="161"/>
      <x:c r="O147" s="161"/>
      <x:c r="P147" s="161"/>
      <x:c r="Q147" s="161"/>
      <x:c r="R147" s="161"/>
      <x:c r="S147" s="161"/>
      <x:c r="T147" s="161"/>
      <x:c r="U147" s="161"/>
      <x:c r="V147" s="161"/>
      <x:c r="W147" s="161"/>
      <x:c r="X147" s="161"/>
      <x:c r="Y147" s="161"/>
      <x:c r="Z147" s="161"/>
    </x:row>
    <x:row r="148">
      <x:c r="A148" s="129" t="str">
        <x:f>IF(E148&lt;&gt;"","ACT-"&amp;TEXT(ROW()-5,"000"),"")</x:f>
      </x:c>
      <x:c r="B148" s="124"/>
      <x:c r="C148" s="108"/>
      <x:c r="D148" s="108"/>
      <x:c r="E148" s="108"/>
      <x:c r="F148" s="124"/>
      <x:c r="G148" s="108"/>
      <x:c r="H148" s="108"/>
      <x:c r="I148" s="129" t="str">
        <x:f>IF(F148="","",F148-TODAY())</x:f>
      </x:c>
      <x:c r="J148" s="108"/>
      <x:c r="K148" s="161"/>
      <x:c r="L148" s="161"/>
      <x:c r="M148" s="161"/>
      <x:c r="N148" s="161"/>
      <x:c r="O148" s="161"/>
      <x:c r="P148" s="161"/>
      <x:c r="Q148" s="161"/>
      <x:c r="R148" s="161"/>
      <x:c r="S148" s="161"/>
      <x:c r="T148" s="161"/>
      <x:c r="U148" s="161"/>
      <x:c r="V148" s="161"/>
      <x:c r="W148" s="161"/>
      <x:c r="X148" s="161"/>
      <x:c r="Y148" s="161"/>
      <x:c r="Z148" s="161"/>
    </x:row>
    <x:row r="149">
      <x:c r="A149" s="129" t="str">
        <x:f>IF(E149&lt;&gt;"","ACT-"&amp;TEXT(ROW()-5,"000"),"")</x:f>
      </x:c>
      <x:c r="B149" s="124"/>
      <x:c r="C149" s="108"/>
      <x:c r="D149" s="108"/>
      <x:c r="E149" s="108"/>
      <x:c r="F149" s="124"/>
      <x:c r="G149" s="108"/>
      <x:c r="H149" s="108"/>
      <x:c r="I149" s="129" t="str">
        <x:f>IF(F149="","",F149-TODAY())</x:f>
      </x:c>
      <x:c r="J149" s="108"/>
      <x:c r="K149" s="161"/>
      <x:c r="L149" s="161"/>
      <x:c r="M149" s="161"/>
      <x:c r="N149" s="161"/>
      <x:c r="O149" s="161"/>
      <x:c r="P149" s="161"/>
      <x:c r="Q149" s="161"/>
      <x:c r="R149" s="161"/>
      <x:c r="S149" s="161"/>
      <x:c r="T149" s="161"/>
      <x:c r="U149" s="161"/>
      <x:c r="V149" s="161"/>
      <x:c r="W149" s="161"/>
      <x:c r="X149" s="161"/>
      <x:c r="Y149" s="161"/>
      <x:c r="Z149" s="161"/>
    </x:row>
    <x:row r="150">
      <x:c r="A150" s="129" t="str">
        <x:f>IF(E150&lt;&gt;"","ACT-"&amp;TEXT(ROW()-5,"000"),"")</x:f>
      </x:c>
      <x:c r="B150" s="124"/>
      <x:c r="C150" s="108"/>
      <x:c r="D150" s="108"/>
      <x:c r="E150" s="108"/>
      <x:c r="F150" s="124"/>
      <x:c r="G150" s="108"/>
      <x:c r="H150" s="108"/>
      <x:c r="I150" s="129" t="str">
        <x:f>IF(F150="","",F150-TODAY())</x:f>
      </x:c>
      <x:c r="J150" s="108"/>
      <x:c r="K150" s="161"/>
      <x:c r="L150" s="161"/>
      <x:c r="M150" s="161"/>
      <x:c r="N150" s="161"/>
      <x:c r="O150" s="161"/>
      <x:c r="P150" s="161"/>
      <x:c r="Q150" s="161"/>
      <x:c r="R150" s="161"/>
      <x:c r="S150" s="161"/>
      <x:c r="T150" s="161"/>
      <x:c r="U150" s="161"/>
      <x:c r="V150" s="161"/>
      <x:c r="W150" s="161"/>
      <x:c r="X150" s="161"/>
      <x:c r="Y150" s="161"/>
      <x:c r="Z150" s="161"/>
    </x:row>
    <x:row r="151">
      <x:c r="A151" s="129" t="str">
        <x:f>IF(E151&lt;&gt;"","ACT-"&amp;TEXT(ROW()-5,"000"),"")</x:f>
      </x:c>
      <x:c r="B151" s="124"/>
      <x:c r="C151" s="108"/>
      <x:c r="D151" s="108"/>
      <x:c r="E151" s="108"/>
      <x:c r="F151" s="124"/>
      <x:c r="G151" s="108"/>
      <x:c r="H151" s="108"/>
      <x:c r="I151" s="129" t="str">
        <x:f>IF(F151="","",F151-TODAY())</x:f>
      </x:c>
      <x:c r="J151" s="108"/>
      <x:c r="K151" s="161"/>
      <x:c r="L151" s="161"/>
      <x:c r="M151" s="161"/>
      <x:c r="N151" s="161"/>
      <x:c r="O151" s="161"/>
      <x:c r="P151" s="161"/>
      <x:c r="Q151" s="161"/>
      <x:c r="R151" s="161"/>
      <x:c r="S151" s="161"/>
      <x:c r="T151" s="161"/>
      <x:c r="U151" s="161"/>
      <x:c r="V151" s="161"/>
      <x:c r="W151" s="161"/>
      <x:c r="X151" s="161"/>
      <x:c r="Y151" s="161"/>
      <x:c r="Z151" s="161"/>
    </x:row>
    <x:row r="152">
      <x:c r="A152" s="129" t="str">
        <x:f>IF(E152&lt;&gt;"","ACT-"&amp;TEXT(ROW()-5,"000"),"")</x:f>
      </x:c>
      <x:c r="B152" s="124"/>
      <x:c r="C152" s="108"/>
      <x:c r="D152" s="108"/>
      <x:c r="E152" s="108"/>
      <x:c r="F152" s="124"/>
      <x:c r="G152" s="108"/>
      <x:c r="H152" s="108"/>
      <x:c r="I152" s="129" t="str">
        <x:f>IF(F152="","",F152-TODAY())</x:f>
      </x:c>
      <x:c r="J152" s="108"/>
      <x:c r="K152" s="161"/>
      <x:c r="L152" s="161"/>
      <x:c r="M152" s="161"/>
      <x:c r="N152" s="161"/>
      <x:c r="O152" s="161"/>
      <x:c r="P152" s="161"/>
      <x:c r="Q152" s="161"/>
      <x:c r="R152" s="161"/>
      <x:c r="S152" s="161"/>
      <x:c r="T152" s="161"/>
      <x:c r="U152" s="161"/>
      <x:c r="V152" s="161"/>
      <x:c r="W152" s="161"/>
      <x:c r="X152" s="161"/>
      <x:c r="Y152" s="161"/>
      <x:c r="Z152" s="161"/>
    </x:row>
    <x:row r="153">
      <x:c r="A153" s="129" t="str">
        <x:f>IF(E153&lt;&gt;"","ACT-"&amp;TEXT(ROW()-5,"000"),"")</x:f>
      </x:c>
      <x:c r="B153" s="124"/>
      <x:c r="C153" s="108"/>
      <x:c r="D153" s="108"/>
      <x:c r="E153" s="108"/>
      <x:c r="F153" s="124"/>
      <x:c r="G153" s="108"/>
      <x:c r="H153" s="108"/>
      <x:c r="I153" s="129" t="str">
        <x:f>IF(F153="","",F153-TODAY())</x:f>
      </x:c>
      <x:c r="J153" s="108"/>
      <x:c r="K153" s="161"/>
      <x:c r="L153" s="161"/>
      <x:c r="M153" s="161"/>
      <x:c r="N153" s="161"/>
      <x:c r="O153" s="161"/>
      <x:c r="P153" s="161"/>
      <x:c r="Q153" s="161"/>
      <x:c r="R153" s="161"/>
      <x:c r="S153" s="161"/>
      <x:c r="T153" s="161"/>
      <x:c r="U153" s="161"/>
      <x:c r="V153" s="161"/>
      <x:c r="W153" s="161"/>
      <x:c r="X153" s="161"/>
      <x:c r="Y153" s="161"/>
      <x:c r="Z153" s="161"/>
    </x:row>
    <x:row r="154">
      <x:c r="A154" s="129" t="str">
        <x:f>IF(E154&lt;&gt;"","ACT-"&amp;TEXT(ROW()-5,"000"),"")</x:f>
      </x:c>
      <x:c r="B154" s="124"/>
      <x:c r="C154" s="108"/>
      <x:c r="D154" s="108"/>
      <x:c r="E154" s="108"/>
      <x:c r="F154" s="124"/>
      <x:c r="G154" s="108"/>
      <x:c r="H154" s="108"/>
      <x:c r="I154" s="129" t="str">
        <x:f>IF(F154="","",F154-TODAY())</x:f>
      </x:c>
      <x:c r="J154" s="108"/>
      <x:c r="K154" s="161"/>
      <x:c r="L154" s="161"/>
      <x:c r="M154" s="161"/>
      <x:c r="N154" s="161"/>
      <x:c r="O154" s="161"/>
      <x:c r="P154" s="161"/>
      <x:c r="Q154" s="161"/>
      <x:c r="R154" s="161"/>
      <x:c r="S154" s="161"/>
      <x:c r="T154" s="161"/>
      <x:c r="U154" s="161"/>
      <x:c r="V154" s="161"/>
      <x:c r="W154" s="161"/>
      <x:c r="X154" s="161"/>
      <x:c r="Y154" s="161"/>
      <x:c r="Z154" s="161"/>
    </x:row>
    <x:row r="155">
      <x:c r="A155" s="129" t="str">
        <x:f>IF(E155&lt;&gt;"","ACT-"&amp;TEXT(ROW()-5,"000"),"")</x:f>
      </x:c>
      <x:c r="B155" s="124"/>
      <x:c r="C155" s="108"/>
      <x:c r="D155" s="108"/>
      <x:c r="E155" s="108"/>
      <x:c r="F155" s="124"/>
      <x:c r="G155" s="108"/>
      <x:c r="H155" s="108"/>
      <x:c r="I155" s="129" t="str">
        <x:f>IF(F155="","",F155-TODAY())</x:f>
      </x:c>
      <x:c r="J155" s="108"/>
      <x:c r="K155" s="161"/>
      <x:c r="L155" s="161"/>
      <x:c r="M155" s="161"/>
      <x:c r="N155" s="161"/>
      <x:c r="O155" s="161"/>
      <x:c r="P155" s="161"/>
      <x:c r="Q155" s="161"/>
      <x:c r="R155" s="161"/>
      <x:c r="S155" s="161"/>
      <x:c r="T155" s="161"/>
      <x:c r="U155" s="161"/>
      <x:c r="V155" s="161"/>
      <x:c r="W155" s="161"/>
      <x:c r="X155" s="161"/>
      <x:c r="Y155" s="161"/>
      <x:c r="Z155" s="161"/>
    </x:row>
    <x:row r="156">
      <x:c r="A156" s="129" t="str">
        <x:f>IF(E156&lt;&gt;"","ACT-"&amp;TEXT(ROW()-5,"000"),"")</x:f>
      </x:c>
      <x:c r="B156" s="124"/>
      <x:c r="C156" s="108"/>
      <x:c r="D156" s="108"/>
      <x:c r="E156" s="108"/>
      <x:c r="F156" s="124"/>
      <x:c r="G156" s="108"/>
      <x:c r="H156" s="108"/>
      <x:c r="I156" s="129" t="str">
        <x:f>IF(F156="","",F156-TODAY())</x:f>
      </x:c>
      <x:c r="J156" s="108"/>
      <x:c r="K156" s="161"/>
      <x:c r="L156" s="161"/>
      <x:c r="M156" s="161"/>
      <x:c r="N156" s="161"/>
      <x:c r="O156" s="161"/>
      <x:c r="P156" s="161"/>
      <x:c r="Q156" s="161"/>
      <x:c r="R156" s="161"/>
      <x:c r="S156" s="161"/>
      <x:c r="T156" s="161"/>
      <x:c r="U156" s="161"/>
      <x:c r="V156" s="161"/>
      <x:c r="W156" s="161"/>
      <x:c r="X156" s="161"/>
      <x:c r="Y156" s="161"/>
      <x:c r="Z156" s="161"/>
    </x:row>
    <x:row r="157">
      <x:c r="A157" s="129" t="str">
        <x:f>IF(E157&lt;&gt;"","ACT-"&amp;TEXT(ROW()-5,"000"),"")</x:f>
      </x:c>
      <x:c r="B157" s="124"/>
      <x:c r="C157" s="108"/>
      <x:c r="D157" s="108"/>
      <x:c r="E157" s="108"/>
      <x:c r="F157" s="124"/>
      <x:c r="G157" s="108"/>
      <x:c r="H157" s="108"/>
      <x:c r="I157" s="129" t="str">
        <x:f>IF(F157="","",F157-TODAY())</x:f>
      </x:c>
      <x:c r="J157" s="108"/>
      <x:c r="K157" s="161"/>
      <x:c r="L157" s="161"/>
      <x:c r="M157" s="161"/>
      <x:c r="N157" s="161"/>
      <x:c r="O157" s="161"/>
      <x:c r="P157" s="161"/>
      <x:c r="Q157" s="161"/>
      <x:c r="R157" s="161"/>
      <x:c r="S157" s="161"/>
      <x:c r="T157" s="161"/>
      <x:c r="U157" s="161"/>
      <x:c r="V157" s="161"/>
      <x:c r="W157" s="161"/>
      <x:c r="X157" s="161"/>
      <x:c r="Y157" s="161"/>
      <x:c r="Z157" s="161"/>
    </x:row>
    <x:row r="158">
      <x:c r="A158" s="129" t="str">
        <x:f>IF(E158&lt;&gt;"","ACT-"&amp;TEXT(ROW()-5,"000"),"")</x:f>
      </x:c>
      <x:c r="B158" s="124"/>
      <x:c r="C158" s="108"/>
      <x:c r="D158" s="108"/>
      <x:c r="E158" s="108"/>
      <x:c r="F158" s="124"/>
      <x:c r="G158" s="108"/>
      <x:c r="H158" s="108"/>
      <x:c r="I158" s="129" t="str">
        <x:f>IF(F158="","",F158-TODAY())</x:f>
      </x:c>
      <x:c r="J158" s="108"/>
      <x:c r="K158" s="161"/>
      <x:c r="L158" s="161"/>
      <x:c r="M158" s="161"/>
      <x:c r="N158" s="161"/>
      <x:c r="O158" s="161"/>
      <x:c r="P158" s="161"/>
      <x:c r="Q158" s="161"/>
      <x:c r="R158" s="161"/>
      <x:c r="S158" s="161"/>
      <x:c r="T158" s="161"/>
      <x:c r="U158" s="161"/>
      <x:c r="V158" s="161"/>
      <x:c r="W158" s="161"/>
      <x:c r="X158" s="161"/>
      <x:c r="Y158" s="161"/>
      <x:c r="Z158" s="161"/>
    </x:row>
    <x:row r="159">
      <x:c r="A159" s="129" t="str">
        <x:f>IF(E159&lt;&gt;"","ACT-"&amp;TEXT(ROW()-5,"000"),"")</x:f>
      </x:c>
      <x:c r="B159" s="124"/>
      <x:c r="C159" s="108"/>
      <x:c r="D159" s="108"/>
      <x:c r="E159" s="108"/>
      <x:c r="F159" s="124"/>
      <x:c r="G159" s="108"/>
      <x:c r="H159" s="108"/>
      <x:c r="I159" s="129" t="str">
        <x:f>IF(F159="","",F159-TODAY())</x:f>
      </x:c>
      <x:c r="J159" s="108"/>
      <x:c r="K159" s="161"/>
      <x:c r="L159" s="161"/>
      <x:c r="M159" s="161"/>
      <x:c r="N159" s="161"/>
      <x:c r="O159" s="161"/>
      <x:c r="P159" s="161"/>
      <x:c r="Q159" s="161"/>
      <x:c r="R159" s="161"/>
      <x:c r="S159" s="161"/>
      <x:c r="T159" s="161"/>
      <x:c r="U159" s="161"/>
      <x:c r="V159" s="161"/>
      <x:c r="W159" s="161"/>
      <x:c r="X159" s="161"/>
      <x:c r="Y159" s="161"/>
      <x:c r="Z159" s="161"/>
    </x:row>
    <x:row r="160">
      <x:c r="A160" s="129" t="str">
        <x:f>IF(E160&lt;&gt;"","ACT-"&amp;TEXT(ROW()-5,"000"),"")</x:f>
      </x:c>
      <x:c r="B160" s="124"/>
      <x:c r="C160" s="108"/>
      <x:c r="D160" s="108"/>
      <x:c r="E160" s="108"/>
      <x:c r="F160" s="124"/>
      <x:c r="G160" s="108"/>
      <x:c r="H160" s="108"/>
      <x:c r="I160" s="129" t="str">
        <x:f>IF(F160="","",F160-TODAY())</x:f>
      </x:c>
      <x:c r="J160" s="108"/>
      <x:c r="K160" s="161"/>
      <x:c r="L160" s="161"/>
      <x:c r="M160" s="161"/>
      <x:c r="N160" s="161"/>
      <x:c r="O160" s="161"/>
      <x:c r="P160" s="161"/>
      <x:c r="Q160" s="161"/>
      <x:c r="R160" s="161"/>
      <x:c r="S160" s="161"/>
      <x:c r="T160" s="161"/>
      <x:c r="U160" s="161"/>
      <x:c r="V160" s="161"/>
      <x:c r="W160" s="161"/>
      <x:c r="X160" s="161"/>
      <x:c r="Y160" s="161"/>
      <x:c r="Z160" s="161"/>
    </x:row>
    <x:row r="161">
      <x:c r="A161" s="129" t="str">
        <x:f>IF(E161&lt;&gt;"","ACT-"&amp;TEXT(ROW()-5,"000"),"")</x:f>
      </x:c>
      <x:c r="B161" s="124"/>
      <x:c r="C161" s="108"/>
      <x:c r="D161" s="108"/>
      <x:c r="E161" s="108"/>
      <x:c r="F161" s="124"/>
      <x:c r="G161" s="108"/>
      <x:c r="H161" s="108"/>
      <x:c r="I161" s="129" t="str">
        <x:f>IF(F161="","",F161-TODAY())</x:f>
      </x:c>
      <x:c r="J161" s="108"/>
      <x:c r="K161" s="161"/>
      <x:c r="L161" s="161"/>
      <x:c r="M161" s="161"/>
      <x:c r="N161" s="161"/>
      <x:c r="O161" s="161"/>
      <x:c r="P161" s="161"/>
      <x:c r="Q161" s="161"/>
      <x:c r="R161" s="161"/>
      <x:c r="S161" s="161"/>
      <x:c r="T161" s="161"/>
      <x:c r="U161" s="161"/>
      <x:c r="V161" s="161"/>
      <x:c r="W161" s="161"/>
      <x:c r="X161" s="161"/>
      <x:c r="Y161" s="161"/>
      <x:c r="Z161" s="161"/>
    </x:row>
    <x:row r="162">
      <x:c r="A162" s="129" t="str">
        <x:f>IF(E162&lt;&gt;"","ACT-"&amp;TEXT(ROW()-5,"000"),"")</x:f>
      </x:c>
      <x:c r="B162" s="124"/>
      <x:c r="C162" s="108"/>
      <x:c r="D162" s="108"/>
      <x:c r="E162" s="108"/>
      <x:c r="F162" s="124"/>
      <x:c r="G162" s="108"/>
      <x:c r="H162" s="108"/>
      <x:c r="I162" s="129" t="str">
        <x:f>IF(F162="","",F162-TODAY())</x:f>
      </x:c>
      <x:c r="J162" s="108"/>
      <x:c r="K162" s="161"/>
      <x:c r="L162" s="161"/>
      <x:c r="M162" s="161"/>
      <x:c r="N162" s="161"/>
      <x:c r="O162" s="161"/>
      <x:c r="P162" s="161"/>
      <x:c r="Q162" s="161"/>
      <x:c r="R162" s="161"/>
      <x:c r="S162" s="161"/>
      <x:c r="T162" s="161"/>
      <x:c r="U162" s="161"/>
      <x:c r="V162" s="161"/>
      <x:c r="W162" s="161"/>
      <x:c r="X162" s="161"/>
      <x:c r="Y162" s="161"/>
      <x:c r="Z162" s="161"/>
    </x:row>
    <x:row r="163">
      <x:c r="A163" s="129" t="str">
        <x:f>IF(E163&lt;&gt;"","ACT-"&amp;TEXT(ROW()-5,"000"),"")</x:f>
      </x:c>
      <x:c r="B163" s="124"/>
      <x:c r="C163" s="108"/>
      <x:c r="D163" s="108"/>
      <x:c r="E163" s="108"/>
      <x:c r="F163" s="124"/>
      <x:c r="G163" s="108"/>
      <x:c r="H163" s="108"/>
      <x:c r="I163" s="129" t="str">
        <x:f>IF(F163="","",F163-TODAY())</x:f>
      </x:c>
      <x:c r="J163" s="108"/>
      <x:c r="K163" s="161"/>
      <x:c r="L163" s="161"/>
      <x:c r="M163" s="161"/>
      <x:c r="N163" s="161"/>
      <x:c r="O163" s="161"/>
      <x:c r="P163" s="161"/>
      <x:c r="Q163" s="161"/>
      <x:c r="R163" s="161"/>
      <x:c r="S163" s="161"/>
      <x:c r="T163" s="161"/>
      <x:c r="U163" s="161"/>
      <x:c r="V163" s="161"/>
      <x:c r="W163" s="161"/>
      <x:c r="X163" s="161"/>
      <x:c r="Y163" s="161"/>
      <x:c r="Z163" s="161"/>
    </x:row>
    <x:row r="164">
      <x:c r="A164" s="129" t="str">
        <x:f>IF(E164&lt;&gt;"","ACT-"&amp;TEXT(ROW()-5,"000"),"")</x:f>
      </x:c>
      <x:c r="B164" s="124"/>
      <x:c r="C164" s="108"/>
      <x:c r="D164" s="108"/>
      <x:c r="E164" s="108"/>
      <x:c r="F164" s="124"/>
      <x:c r="G164" s="108"/>
      <x:c r="H164" s="108"/>
      <x:c r="I164" s="129" t="str">
        <x:f>IF(F164="","",F164-TODAY())</x:f>
      </x:c>
      <x:c r="J164" s="108"/>
      <x:c r="K164" s="161"/>
      <x:c r="L164" s="161"/>
      <x:c r="M164" s="161"/>
      <x:c r="N164" s="161"/>
      <x:c r="O164" s="161"/>
      <x:c r="P164" s="161"/>
      <x:c r="Q164" s="161"/>
      <x:c r="R164" s="161"/>
      <x:c r="S164" s="161"/>
      <x:c r="T164" s="161"/>
      <x:c r="U164" s="161"/>
      <x:c r="V164" s="161"/>
      <x:c r="W164" s="161"/>
      <x:c r="X164" s="161"/>
      <x:c r="Y164" s="161"/>
      <x:c r="Z164" s="161"/>
    </x:row>
    <x:row r="165">
      <x:c r="A165" s="129" t="str">
        <x:f>IF(E165&lt;&gt;"","ACT-"&amp;TEXT(ROW()-5,"000"),"")</x:f>
      </x:c>
      <x:c r="B165" s="124"/>
      <x:c r="C165" s="108"/>
      <x:c r="D165" s="108"/>
      <x:c r="E165" s="108"/>
      <x:c r="F165" s="124"/>
      <x:c r="G165" s="108"/>
      <x:c r="H165" s="108"/>
      <x:c r="I165" s="129" t="str">
        <x:f>IF(F165="","",F165-TODAY())</x:f>
      </x:c>
      <x:c r="J165" s="108"/>
      <x:c r="K165" s="161"/>
      <x:c r="L165" s="161"/>
      <x:c r="M165" s="161"/>
      <x:c r="N165" s="161"/>
      <x:c r="O165" s="161"/>
      <x:c r="P165" s="161"/>
      <x:c r="Q165" s="161"/>
      <x:c r="R165" s="161"/>
      <x:c r="S165" s="161"/>
      <x:c r="T165" s="161"/>
      <x:c r="U165" s="161"/>
      <x:c r="V165" s="161"/>
      <x:c r="W165" s="161"/>
      <x:c r="X165" s="161"/>
      <x:c r="Y165" s="161"/>
      <x:c r="Z165" s="161"/>
    </x:row>
    <x:row r="166">
      <x:c r="A166" s="129" t="str">
        <x:f>IF(E166&lt;&gt;"","ACT-"&amp;TEXT(ROW()-5,"000"),"")</x:f>
      </x:c>
      <x:c r="B166" s="124"/>
      <x:c r="C166" s="108"/>
      <x:c r="D166" s="108"/>
      <x:c r="E166" s="108"/>
      <x:c r="F166" s="124"/>
      <x:c r="G166" s="108"/>
      <x:c r="H166" s="108"/>
      <x:c r="I166" s="129" t="str">
        <x:f>IF(F166="","",F166-TODAY())</x:f>
      </x:c>
      <x:c r="J166" s="108"/>
      <x:c r="K166" s="161"/>
      <x:c r="L166" s="161"/>
      <x:c r="M166" s="161"/>
      <x:c r="N166" s="161"/>
      <x:c r="O166" s="161"/>
      <x:c r="P166" s="161"/>
      <x:c r="Q166" s="161"/>
      <x:c r="R166" s="161"/>
      <x:c r="S166" s="161"/>
      <x:c r="T166" s="161"/>
      <x:c r="U166" s="161"/>
      <x:c r="V166" s="161"/>
      <x:c r="W166" s="161"/>
      <x:c r="X166" s="161"/>
      <x:c r="Y166" s="161"/>
      <x:c r="Z166" s="161"/>
    </x:row>
    <x:row r="167">
      <x:c r="A167" s="129" t="str">
        <x:f>IF(E167&lt;&gt;"","ACT-"&amp;TEXT(ROW()-5,"000"),"")</x:f>
      </x:c>
      <x:c r="B167" s="124"/>
      <x:c r="C167" s="108"/>
      <x:c r="D167" s="108"/>
      <x:c r="E167" s="108"/>
      <x:c r="F167" s="124"/>
      <x:c r="G167" s="108"/>
      <x:c r="H167" s="108"/>
      <x:c r="I167" s="129" t="str">
        <x:f>IF(F167="","",F167-TODAY())</x:f>
      </x:c>
      <x:c r="J167" s="108"/>
      <x:c r="K167" s="161"/>
      <x:c r="L167" s="161"/>
      <x:c r="M167" s="161"/>
      <x:c r="N167" s="161"/>
      <x:c r="O167" s="161"/>
      <x:c r="P167" s="161"/>
      <x:c r="Q167" s="161"/>
      <x:c r="R167" s="161"/>
      <x:c r="S167" s="161"/>
      <x:c r="T167" s="161"/>
      <x:c r="U167" s="161"/>
      <x:c r="V167" s="161"/>
      <x:c r="W167" s="161"/>
      <x:c r="X167" s="161"/>
      <x:c r="Y167" s="161"/>
      <x:c r="Z167" s="161"/>
    </x:row>
    <x:row r="168">
      <x:c r="A168" s="129" t="str">
        <x:f>IF(E168&lt;&gt;"","ACT-"&amp;TEXT(ROW()-5,"000"),"")</x:f>
      </x:c>
      <x:c r="B168" s="124"/>
      <x:c r="C168" s="108"/>
      <x:c r="D168" s="108"/>
      <x:c r="E168" s="108"/>
      <x:c r="F168" s="124"/>
      <x:c r="G168" s="108"/>
      <x:c r="H168" s="108"/>
      <x:c r="I168" s="129" t="str">
        <x:f>IF(F168="","",F168-TODAY())</x:f>
      </x:c>
      <x:c r="J168" s="108"/>
      <x:c r="K168" s="161"/>
      <x:c r="L168" s="161"/>
      <x:c r="M168" s="161"/>
      <x:c r="N168" s="161"/>
      <x:c r="O168" s="161"/>
      <x:c r="P168" s="161"/>
      <x:c r="Q168" s="161"/>
      <x:c r="R168" s="161"/>
      <x:c r="S168" s="161"/>
      <x:c r="T168" s="161"/>
      <x:c r="U168" s="161"/>
      <x:c r="V168" s="161"/>
      <x:c r="W168" s="161"/>
      <x:c r="X168" s="161"/>
      <x:c r="Y168" s="161"/>
      <x:c r="Z168" s="161"/>
    </x:row>
    <x:row r="169">
      <x:c r="A169" s="129" t="str">
        <x:f>IF(E169&lt;&gt;"","ACT-"&amp;TEXT(ROW()-5,"000"),"")</x:f>
      </x:c>
      <x:c r="B169" s="124"/>
      <x:c r="C169" s="108"/>
      <x:c r="D169" s="108"/>
      <x:c r="E169" s="108"/>
      <x:c r="F169" s="124"/>
      <x:c r="G169" s="108"/>
      <x:c r="H169" s="108"/>
      <x:c r="I169" s="129" t="str">
        <x:f>IF(F169="","",F169-TODAY())</x:f>
      </x:c>
      <x:c r="J169" s="108"/>
      <x:c r="K169" s="161"/>
      <x:c r="L169" s="161"/>
      <x:c r="M169" s="161"/>
      <x:c r="N169" s="161"/>
      <x:c r="O169" s="161"/>
      <x:c r="P169" s="161"/>
      <x:c r="Q169" s="161"/>
      <x:c r="R169" s="161"/>
      <x:c r="S169" s="161"/>
      <x:c r="T169" s="161"/>
      <x:c r="U169" s="161"/>
      <x:c r="V169" s="161"/>
      <x:c r="W169" s="161"/>
      <x:c r="X169" s="161"/>
      <x:c r="Y169" s="161"/>
      <x:c r="Z169" s="161"/>
    </x:row>
    <x:row r="170">
      <x:c r="A170" s="129" t="str">
        <x:f>IF(E170&lt;&gt;"","ACT-"&amp;TEXT(ROW()-5,"000"),"")</x:f>
      </x:c>
      <x:c r="B170" s="124"/>
      <x:c r="C170" s="108"/>
      <x:c r="D170" s="108"/>
      <x:c r="E170" s="108"/>
      <x:c r="F170" s="124"/>
      <x:c r="G170" s="108"/>
      <x:c r="H170" s="108"/>
      <x:c r="I170" s="129" t="str">
        <x:f>IF(F170="","",F170-TODAY())</x:f>
      </x:c>
      <x:c r="J170" s="108"/>
      <x:c r="K170" s="161"/>
      <x:c r="L170" s="161"/>
      <x:c r="M170" s="161"/>
      <x:c r="N170" s="161"/>
      <x:c r="O170" s="161"/>
      <x:c r="P170" s="161"/>
      <x:c r="Q170" s="161"/>
      <x:c r="R170" s="161"/>
      <x:c r="S170" s="161"/>
      <x:c r="T170" s="161"/>
      <x:c r="U170" s="161"/>
      <x:c r="V170" s="161"/>
      <x:c r="W170" s="161"/>
      <x:c r="X170" s="161"/>
      <x:c r="Y170" s="161"/>
      <x:c r="Z170" s="161"/>
    </x:row>
    <x:row r="171">
      <x:c r="A171" s="129" t="str">
        <x:f>IF(E171&lt;&gt;"","ACT-"&amp;TEXT(ROW()-5,"000"),"")</x:f>
      </x:c>
      <x:c r="B171" s="124"/>
      <x:c r="C171" s="108"/>
      <x:c r="D171" s="108"/>
      <x:c r="E171" s="108"/>
      <x:c r="F171" s="124"/>
      <x:c r="G171" s="108"/>
      <x:c r="H171" s="108"/>
      <x:c r="I171" s="129" t="str">
        <x:f>IF(F171="","",F171-TODAY())</x:f>
      </x:c>
      <x:c r="J171" s="108"/>
      <x:c r="K171" s="161"/>
      <x:c r="L171" s="161"/>
      <x:c r="M171" s="161"/>
      <x:c r="N171" s="161"/>
      <x:c r="O171" s="161"/>
      <x:c r="P171" s="161"/>
      <x:c r="Q171" s="161"/>
      <x:c r="R171" s="161"/>
      <x:c r="S171" s="161"/>
      <x:c r="T171" s="161"/>
      <x:c r="U171" s="161"/>
      <x:c r="V171" s="161"/>
      <x:c r="W171" s="161"/>
      <x:c r="X171" s="161"/>
      <x:c r="Y171" s="161"/>
      <x:c r="Z171" s="161"/>
    </x:row>
    <x:row r="172">
      <x:c r="A172" s="129" t="str">
        <x:f>IF(E172&lt;&gt;"","ACT-"&amp;TEXT(ROW()-5,"000"),"")</x:f>
      </x:c>
      <x:c r="B172" s="124"/>
      <x:c r="C172" s="108"/>
      <x:c r="D172" s="108"/>
      <x:c r="E172" s="108"/>
      <x:c r="F172" s="124"/>
      <x:c r="G172" s="108"/>
      <x:c r="H172" s="108"/>
      <x:c r="I172" s="129" t="str">
        <x:f>IF(F172="","",F172-TODAY())</x:f>
      </x:c>
      <x:c r="J172" s="108"/>
      <x:c r="K172" s="161"/>
      <x:c r="L172" s="161"/>
      <x:c r="M172" s="161"/>
      <x:c r="N172" s="161"/>
      <x:c r="O172" s="161"/>
      <x:c r="P172" s="161"/>
      <x:c r="Q172" s="161"/>
      <x:c r="R172" s="161"/>
      <x:c r="S172" s="161"/>
      <x:c r="T172" s="161"/>
      <x:c r="U172" s="161"/>
      <x:c r="V172" s="161"/>
      <x:c r="W172" s="161"/>
      <x:c r="X172" s="161"/>
      <x:c r="Y172" s="161"/>
      <x:c r="Z172" s="161"/>
    </x:row>
    <x:row r="173">
      <x:c r="A173" s="129" t="str">
        <x:f>IF(E173&lt;&gt;"","ACT-"&amp;TEXT(ROW()-5,"000"),"")</x:f>
      </x:c>
      <x:c r="B173" s="124"/>
      <x:c r="C173" s="108"/>
      <x:c r="D173" s="108"/>
      <x:c r="E173" s="108"/>
      <x:c r="F173" s="124"/>
      <x:c r="G173" s="108"/>
      <x:c r="H173" s="108"/>
      <x:c r="I173" s="129" t="str">
        <x:f>IF(F173="","",F173-TODAY())</x:f>
      </x:c>
      <x:c r="J173" s="108"/>
      <x:c r="K173" s="161"/>
      <x:c r="L173" s="161"/>
      <x:c r="M173" s="161"/>
      <x:c r="N173" s="161"/>
      <x:c r="O173" s="161"/>
      <x:c r="P173" s="161"/>
      <x:c r="Q173" s="161"/>
      <x:c r="R173" s="161"/>
      <x:c r="S173" s="161"/>
      <x:c r="T173" s="161"/>
      <x:c r="U173" s="161"/>
      <x:c r="V173" s="161"/>
      <x:c r="W173" s="161"/>
      <x:c r="X173" s="161"/>
      <x:c r="Y173" s="161"/>
      <x:c r="Z173" s="161"/>
    </x:row>
    <x:row r="174">
      <x:c r="A174" s="129" t="str">
        <x:f>IF(E174&lt;&gt;"","ACT-"&amp;TEXT(ROW()-5,"000"),"")</x:f>
      </x:c>
      <x:c r="B174" s="124"/>
      <x:c r="C174" s="108"/>
      <x:c r="D174" s="108"/>
      <x:c r="E174" s="108"/>
      <x:c r="F174" s="124"/>
      <x:c r="G174" s="108"/>
      <x:c r="H174" s="108"/>
      <x:c r="I174" s="129" t="str">
        <x:f>IF(F174="","",F174-TODAY())</x:f>
      </x:c>
      <x:c r="J174" s="108"/>
      <x:c r="K174" s="161"/>
      <x:c r="L174" s="161"/>
      <x:c r="M174" s="161"/>
      <x:c r="N174" s="161"/>
      <x:c r="O174" s="161"/>
      <x:c r="P174" s="161"/>
      <x:c r="Q174" s="161"/>
      <x:c r="R174" s="161"/>
      <x:c r="S174" s="161"/>
      <x:c r="T174" s="161"/>
      <x:c r="U174" s="161"/>
      <x:c r="V174" s="161"/>
      <x:c r="W174" s="161"/>
      <x:c r="X174" s="161"/>
      <x:c r="Y174" s="161"/>
      <x:c r="Z174" s="161"/>
    </x:row>
    <x:row r="175">
      <x:c r="A175" s="129" t="str">
        <x:f>IF(E175&lt;&gt;"","ACT-"&amp;TEXT(ROW()-5,"000"),"")</x:f>
      </x:c>
      <x:c r="B175" s="124"/>
      <x:c r="C175" s="108"/>
      <x:c r="D175" s="108"/>
      <x:c r="E175" s="108"/>
      <x:c r="F175" s="124"/>
      <x:c r="G175" s="108"/>
      <x:c r="H175" s="108"/>
      <x:c r="I175" s="129" t="str">
        <x:f>IF(F175="","",F175-TODAY())</x:f>
      </x:c>
      <x:c r="J175" s="108"/>
      <x:c r="K175" s="161"/>
      <x:c r="L175" s="161"/>
      <x:c r="M175" s="161"/>
      <x:c r="N175" s="161"/>
      <x:c r="O175" s="161"/>
      <x:c r="P175" s="161"/>
      <x:c r="Q175" s="161"/>
      <x:c r="R175" s="161"/>
      <x:c r="S175" s="161"/>
      <x:c r="T175" s="161"/>
      <x:c r="U175" s="161"/>
      <x:c r="V175" s="161"/>
      <x:c r="W175" s="161"/>
      <x:c r="X175" s="161"/>
      <x:c r="Y175" s="161"/>
      <x:c r="Z175" s="161"/>
    </x:row>
    <x:row r="176">
      <x:c r="A176" s="129" t="str">
        <x:f>IF(E176&lt;&gt;"","ACT-"&amp;TEXT(ROW()-5,"000"),"")</x:f>
      </x:c>
      <x:c r="B176" s="124"/>
      <x:c r="C176" s="108"/>
      <x:c r="D176" s="108"/>
      <x:c r="E176" s="108"/>
      <x:c r="F176" s="124"/>
      <x:c r="G176" s="108"/>
      <x:c r="H176" s="108"/>
      <x:c r="I176" s="129" t="str">
        <x:f>IF(F176="","",F176-TODAY())</x:f>
      </x:c>
      <x:c r="J176" s="108"/>
      <x:c r="K176" s="161"/>
      <x:c r="L176" s="161"/>
      <x:c r="M176" s="161"/>
      <x:c r="N176" s="161"/>
      <x:c r="O176" s="161"/>
      <x:c r="P176" s="161"/>
      <x:c r="Q176" s="161"/>
      <x:c r="R176" s="161"/>
      <x:c r="S176" s="161"/>
      <x:c r="T176" s="161"/>
      <x:c r="U176" s="161"/>
      <x:c r="V176" s="161"/>
      <x:c r="W176" s="161"/>
      <x:c r="X176" s="161"/>
      <x:c r="Y176" s="161"/>
      <x:c r="Z176" s="161"/>
    </x:row>
    <x:row r="177">
      <x:c r="A177" s="129" t="str">
        <x:f>IF(E177&lt;&gt;"","ACT-"&amp;TEXT(ROW()-5,"000"),"")</x:f>
      </x:c>
      <x:c r="B177" s="124"/>
      <x:c r="C177" s="108"/>
      <x:c r="D177" s="108"/>
      <x:c r="E177" s="108"/>
      <x:c r="F177" s="124"/>
      <x:c r="G177" s="108"/>
      <x:c r="H177" s="108"/>
      <x:c r="I177" s="129" t="str">
        <x:f>IF(F177="","",F177-TODAY())</x:f>
      </x:c>
      <x:c r="J177" s="108"/>
      <x:c r="K177" s="161"/>
      <x:c r="L177" s="161"/>
      <x:c r="M177" s="161"/>
      <x:c r="N177" s="161"/>
      <x:c r="O177" s="161"/>
      <x:c r="P177" s="161"/>
      <x:c r="Q177" s="161"/>
      <x:c r="R177" s="161"/>
      <x:c r="S177" s="161"/>
      <x:c r="T177" s="161"/>
      <x:c r="U177" s="161"/>
      <x:c r="V177" s="161"/>
      <x:c r="W177" s="161"/>
      <x:c r="X177" s="161"/>
      <x:c r="Y177" s="161"/>
      <x:c r="Z177" s="161"/>
    </x:row>
    <x:row r="178">
      <x:c r="A178" s="129" t="str">
        <x:f>IF(E178&lt;&gt;"","ACT-"&amp;TEXT(ROW()-5,"000"),"")</x:f>
      </x:c>
      <x:c r="B178" s="124"/>
      <x:c r="C178" s="108"/>
      <x:c r="D178" s="108"/>
      <x:c r="E178" s="108"/>
      <x:c r="F178" s="124"/>
      <x:c r="G178" s="108"/>
      <x:c r="H178" s="108"/>
      <x:c r="I178" s="129" t="str">
        <x:f>IF(F178="","",F178-TODAY())</x:f>
      </x:c>
      <x:c r="J178" s="108"/>
      <x:c r="K178" s="161"/>
      <x:c r="L178" s="161"/>
      <x:c r="M178" s="161"/>
      <x:c r="N178" s="161"/>
      <x:c r="O178" s="161"/>
      <x:c r="P178" s="161"/>
      <x:c r="Q178" s="161"/>
      <x:c r="R178" s="161"/>
      <x:c r="S178" s="161"/>
      <x:c r="T178" s="161"/>
      <x:c r="U178" s="161"/>
      <x:c r="V178" s="161"/>
      <x:c r="W178" s="161"/>
      <x:c r="X178" s="161"/>
      <x:c r="Y178" s="161"/>
      <x:c r="Z178" s="161"/>
    </x:row>
    <x:row r="179">
      <x:c r="A179" s="129" t="str">
        <x:f>IF(E179&lt;&gt;"","ACT-"&amp;TEXT(ROW()-5,"000"),"")</x:f>
      </x:c>
      <x:c r="B179" s="124"/>
      <x:c r="C179" s="108"/>
      <x:c r="D179" s="108"/>
      <x:c r="E179" s="108"/>
      <x:c r="F179" s="124"/>
      <x:c r="G179" s="108"/>
      <x:c r="H179" s="108"/>
      <x:c r="I179" s="129" t="str">
        <x:f>IF(F179="","",F179-TODAY())</x:f>
      </x:c>
      <x:c r="J179" s="108"/>
      <x:c r="K179" s="161"/>
      <x:c r="L179" s="161"/>
      <x:c r="M179" s="161"/>
      <x:c r="N179" s="161"/>
      <x:c r="O179" s="161"/>
      <x:c r="P179" s="161"/>
      <x:c r="Q179" s="161"/>
      <x:c r="R179" s="161"/>
      <x:c r="S179" s="161"/>
      <x:c r="T179" s="161"/>
      <x:c r="U179" s="161"/>
      <x:c r="V179" s="161"/>
      <x:c r="W179" s="161"/>
      <x:c r="X179" s="161"/>
      <x:c r="Y179" s="161"/>
      <x:c r="Z179" s="161"/>
    </x:row>
    <x:row r="180">
      <x:c r="A180" s="129" t="str">
        <x:f>IF(E180&lt;&gt;"","ACT-"&amp;TEXT(ROW()-5,"000"),"")</x:f>
      </x:c>
      <x:c r="B180" s="124"/>
      <x:c r="C180" s="108"/>
      <x:c r="D180" s="108"/>
      <x:c r="E180" s="108"/>
      <x:c r="F180" s="124"/>
      <x:c r="G180" s="108"/>
      <x:c r="H180" s="108"/>
      <x:c r="I180" s="129" t="str">
        <x:f>IF(F180="","",F180-TODAY())</x:f>
      </x:c>
      <x:c r="J180" s="108"/>
      <x:c r="K180" s="161"/>
      <x:c r="L180" s="161"/>
      <x:c r="M180" s="161"/>
      <x:c r="N180" s="161"/>
      <x:c r="O180" s="161"/>
      <x:c r="P180" s="161"/>
      <x:c r="Q180" s="161"/>
      <x:c r="R180" s="161"/>
      <x:c r="S180" s="161"/>
      <x:c r="T180" s="161"/>
      <x:c r="U180" s="161"/>
      <x:c r="V180" s="161"/>
      <x:c r="W180" s="161"/>
      <x:c r="X180" s="161"/>
      <x:c r="Y180" s="161"/>
      <x:c r="Z180" s="161"/>
    </x:row>
    <x:row r="181">
      <x:c r="A181" s="129" t="str">
        <x:f>IF(E181&lt;&gt;"","ACT-"&amp;TEXT(ROW()-5,"000"),"")</x:f>
      </x:c>
      <x:c r="B181" s="124"/>
      <x:c r="C181" s="108"/>
      <x:c r="D181" s="108"/>
      <x:c r="E181" s="108"/>
      <x:c r="F181" s="124"/>
      <x:c r="G181" s="108"/>
      <x:c r="H181" s="108"/>
      <x:c r="I181" s="129" t="str">
        <x:f>IF(F181="","",F181-TODAY())</x:f>
      </x:c>
      <x:c r="J181" s="108"/>
      <x:c r="K181" s="161"/>
      <x:c r="L181" s="161"/>
      <x:c r="M181" s="161"/>
      <x:c r="N181" s="161"/>
      <x:c r="O181" s="161"/>
      <x:c r="P181" s="161"/>
      <x:c r="Q181" s="161"/>
      <x:c r="R181" s="161"/>
      <x:c r="S181" s="161"/>
      <x:c r="T181" s="161"/>
      <x:c r="U181" s="161"/>
      <x:c r="V181" s="161"/>
      <x:c r="W181" s="161"/>
      <x:c r="X181" s="161"/>
      <x:c r="Y181" s="161"/>
      <x:c r="Z181" s="161"/>
    </x:row>
    <x:row r="182">
      <x:c r="A182" s="129" t="str">
        <x:f>IF(E182&lt;&gt;"","ACT-"&amp;TEXT(ROW()-5,"000"),"")</x:f>
      </x:c>
      <x:c r="B182" s="124"/>
      <x:c r="C182" s="108"/>
      <x:c r="D182" s="108"/>
      <x:c r="E182" s="108"/>
      <x:c r="F182" s="124"/>
      <x:c r="G182" s="108"/>
      <x:c r="H182" s="108"/>
      <x:c r="I182" s="129" t="str">
        <x:f>IF(F182="","",F182-TODAY())</x:f>
      </x:c>
      <x:c r="J182" s="108"/>
      <x:c r="K182" s="161"/>
      <x:c r="L182" s="161"/>
      <x:c r="M182" s="161"/>
      <x:c r="N182" s="161"/>
      <x:c r="O182" s="161"/>
      <x:c r="P182" s="161"/>
      <x:c r="Q182" s="161"/>
      <x:c r="R182" s="161"/>
      <x:c r="S182" s="161"/>
      <x:c r="T182" s="161"/>
      <x:c r="U182" s="161"/>
      <x:c r="V182" s="161"/>
      <x:c r="W182" s="161"/>
      <x:c r="X182" s="161"/>
      <x:c r="Y182" s="161"/>
      <x:c r="Z182" s="161"/>
    </x:row>
    <x:row r="183">
      <x:c r="A183" s="129" t="str">
        <x:f>IF(E183&lt;&gt;"","ACT-"&amp;TEXT(ROW()-5,"000"),"")</x:f>
      </x:c>
      <x:c r="B183" s="124"/>
      <x:c r="C183" s="108"/>
      <x:c r="D183" s="108"/>
      <x:c r="E183" s="108"/>
      <x:c r="F183" s="124"/>
      <x:c r="G183" s="108"/>
      <x:c r="H183" s="108"/>
      <x:c r="I183" s="129" t="str">
        <x:f>IF(F183="","",F183-TODAY())</x:f>
      </x:c>
      <x:c r="J183" s="108"/>
      <x:c r="K183" s="161"/>
      <x:c r="L183" s="161"/>
      <x:c r="M183" s="161"/>
      <x:c r="N183" s="161"/>
      <x:c r="O183" s="161"/>
      <x:c r="P183" s="161"/>
      <x:c r="Q183" s="161"/>
      <x:c r="R183" s="161"/>
      <x:c r="S183" s="161"/>
      <x:c r="T183" s="161"/>
      <x:c r="U183" s="161"/>
      <x:c r="V183" s="161"/>
      <x:c r="W183" s="161"/>
      <x:c r="X183" s="161"/>
      <x:c r="Y183" s="161"/>
      <x:c r="Z183" s="161"/>
    </x:row>
    <x:row r="184">
      <x:c r="A184" s="129" t="str">
        <x:f>IF(E184&lt;&gt;"","ACT-"&amp;TEXT(ROW()-5,"000"),"")</x:f>
      </x:c>
      <x:c r="B184" s="124"/>
      <x:c r="C184" s="108"/>
      <x:c r="D184" s="108"/>
      <x:c r="E184" s="108"/>
      <x:c r="F184" s="124"/>
      <x:c r="G184" s="108"/>
      <x:c r="H184" s="108"/>
      <x:c r="I184" s="129" t="str">
        <x:f>IF(F184="","",F184-TODAY())</x:f>
      </x:c>
      <x:c r="J184" s="108"/>
      <x:c r="K184" s="161"/>
      <x:c r="L184" s="161"/>
      <x:c r="M184" s="161"/>
      <x:c r="N184" s="161"/>
      <x:c r="O184" s="161"/>
      <x:c r="P184" s="161"/>
      <x:c r="Q184" s="161"/>
      <x:c r="R184" s="161"/>
      <x:c r="S184" s="161"/>
      <x:c r="T184" s="161"/>
      <x:c r="U184" s="161"/>
      <x:c r="V184" s="161"/>
      <x:c r="W184" s="161"/>
      <x:c r="X184" s="161"/>
      <x:c r="Y184" s="161"/>
      <x:c r="Z184" s="161"/>
    </x:row>
    <x:row r="185">
      <x:c r="A185" s="129" t="str">
        <x:f>IF(E185&lt;&gt;"","ACT-"&amp;TEXT(ROW()-5,"000"),"")</x:f>
      </x:c>
      <x:c r="B185" s="124"/>
      <x:c r="C185" s="108"/>
      <x:c r="D185" s="108"/>
      <x:c r="E185" s="108"/>
      <x:c r="F185" s="124"/>
      <x:c r="G185" s="108"/>
      <x:c r="H185" s="108"/>
      <x:c r="I185" s="129" t="str">
        <x:f>IF(F185="","",F185-TODAY())</x:f>
      </x:c>
      <x:c r="J185" s="108"/>
      <x:c r="K185" s="161"/>
      <x:c r="L185" s="161"/>
      <x:c r="M185" s="161"/>
      <x:c r="N185" s="161"/>
      <x:c r="O185" s="161"/>
      <x:c r="P185" s="161"/>
      <x:c r="Q185" s="161"/>
      <x:c r="R185" s="161"/>
      <x:c r="S185" s="161"/>
      <x:c r="T185" s="161"/>
      <x:c r="U185" s="161"/>
      <x:c r="V185" s="161"/>
      <x:c r="W185" s="161"/>
      <x:c r="X185" s="161"/>
      <x:c r="Y185" s="161"/>
      <x:c r="Z185" s="161"/>
    </x:row>
    <x:row r="186">
      <x:c r="A186" s="129" t="str">
        <x:f>IF(E186&lt;&gt;"","ACT-"&amp;TEXT(ROW()-5,"000"),"")</x:f>
      </x:c>
      <x:c r="B186" s="124"/>
      <x:c r="C186" s="108"/>
      <x:c r="D186" s="108"/>
      <x:c r="E186" s="108"/>
      <x:c r="F186" s="124"/>
      <x:c r="G186" s="108"/>
      <x:c r="H186" s="108"/>
      <x:c r="I186" s="129" t="str">
        <x:f>IF(F186="","",F186-TODAY())</x:f>
      </x:c>
      <x:c r="J186" s="108"/>
      <x:c r="K186" s="161"/>
      <x:c r="L186" s="161"/>
      <x:c r="M186" s="161"/>
      <x:c r="N186" s="161"/>
      <x:c r="O186" s="161"/>
      <x:c r="P186" s="161"/>
      <x:c r="Q186" s="161"/>
      <x:c r="R186" s="161"/>
      <x:c r="S186" s="161"/>
      <x:c r="T186" s="161"/>
      <x:c r="U186" s="161"/>
      <x:c r="V186" s="161"/>
      <x:c r="W186" s="161"/>
      <x:c r="X186" s="161"/>
      <x:c r="Y186" s="161"/>
      <x:c r="Z186" s="161"/>
    </x:row>
    <x:row r="187">
      <x:c r="A187" s="129" t="str">
        <x:f>IF(E187&lt;&gt;"","ACT-"&amp;TEXT(ROW()-5,"000"),"")</x:f>
      </x:c>
      <x:c r="B187" s="124"/>
      <x:c r="C187" s="108"/>
      <x:c r="D187" s="108"/>
      <x:c r="E187" s="108"/>
      <x:c r="F187" s="124"/>
      <x:c r="G187" s="108"/>
      <x:c r="H187" s="108"/>
      <x:c r="I187" s="129" t="str">
        <x:f>IF(F187="","",F187-TODAY())</x:f>
      </x:c>
      <x:c r="J187" s="108"/>
      <x:c r="K187" s="161"/>
      <x:c r="L187" s="161"/>
      <x:c r="M187" s="161"/>
      <x:c r="N187" s="161"/>
      <x:c r="O187" s="161"/>
      <x:c r="P187" s="161"/>
      <x:c r="Q187" s="161"/>
      <x:c r="R187" s="161"/>
      <x:c r="S187" s="161"/>
      <x:c r="T187" s="161"/>
      <x:c r="U187" s="161"/>
      <x:c r="V187" s="161"/>
      <x:c r="W187" s="161"/>
      <x:c r="X187" s="161"/>
      <x:c r="Y187" s="161"/>
      <x:c r="Z187" s="161"/>
    </x:row>
    <x:row r="188">
      <x:c r="A188" s="129" t="str">
        <x:f>IF(E188&lt;&gt;"","ACT-"&amp;TEXT(ROW()-5,"000"),"")</x:f>
      </x:c>
      <x:c r="B188" s="124"/>
      <x:c r="C188" s="108"/>
      <x:c r="D188" s="108"/>
      <x:c r="E188" s="108"/>
      <x:c r="F188" s="124"/>
      <x:c r="G188" s="108"/>
      <x:c r="H188" s="108"/>
      <x:c r="I188" s="129" t="str">
        <x:f>IF(F188="","",F188-TODAY())</x:f>
      </x:c>
      <x:c r="J188" s="108"/>
      <x:c r="K188" s="161"/>
      <x:c r="L188" s="161"/>
      <x:c r="M188" s="161"/>
      <x:c r="N188" s="161"/>
      <x:c r="O188" s="161"/>
      <x:c r="P188" s="161"/>
      <x:c r="Q188" s="161"/>
      <x:c r="R188" s="161"/>
      <x:c r="S188" s="161"/>
      <x:c r="T188" s="161"/>
      <x:c r="U188" s="161"/>
      <x:c r="V188" s="161"/>
      <x:c r="W188" s="161"/>
      <x:c r="X188" s="161"/>
      <x:c r="Y188" s="161"/>
      <x:c r="Z188" s="161"/>
    </x:row>
    <x:row r="189">
      <x:c r="A189" s="129" t="str">
        <x:f>IF(E189&lt;&gt;"","ACT-"&amp;TEXT(ROW()-5,"000"),"")</x:f>
      </x:c>
      <x:c r="B189" s="124"/>
      <x:c r="C189" s="108"/>
      <x:c r="D189" s="108"/>
      <x:c r="E189" s="108"/>
      <x:c r="F189" s="124"/>
      <x:c r="G189" s="108"/>
      <x:c r="H189" s="108"/>
      <x:c r="I189" s="129" t="str">
        <x:f>IF(F189="","",F189-TODAY())</x:f>
      </x:c>
      <x:c r="J189" s="108"/>
      <x:c r="K189" s="161"/>
      <x:c r="L189" s="161"/>
      <x:c r="M189" s="161"/>
      <x:c r="N189" s="161"/>
      <x:c r="O189" s="161"/>
      <x:c r="P189" s="161"/>
      <x:c r="Q189" s="161"/>
      <x:c r="R189" s="161"/>
      <x:c r="S189" s="161"/>
      <x:c r="T189" s="161"/>
      <x:c r="U189" s="161"/>
      <x:c r="V189" s="161"/>
      <x:c r="W189" s="161"/>
      <x:c r="X189" s="161"/>
      <x:c r="Y189" s="161"/>
      <x:c r="Z189" s="161"/>
    </x:row>
    <x:row r="190">
      <x:c r="A190" s="129" t="str">
        <x:f>IF(E190&lt;&gt;"","ACT-"&amp;TEXT(ROW()-5,"000"),"")</x:f>
      </x:c>
      <x:c r="B190" s="124"/>
      <x:c r="C190" s="108"/>
      <x:c r="D190" s="108"/>
      <x:c r="E190" s="108"/>
      <x:c r="F190" s="124"/>
      <x:c r="G190" s="108"/>
      <x:c r="H190" s="108"/>
      <x:c r="I190" s="129" t="str">
        <x:f>IF(F190="","",F190-TODAY())</x:f>
      </x:c>
      <x:c r="J190" s="108"/>
      <x:c r="K190" s="161"/>
      <x:c r="L190" s="161"/>
      <x:c r="M190" s="161"/>
      <x:c r="N190" s="161"/>
      <x:c r="O190" s="161"/>
      <x:c r="P190" s="161"/>
      <x:c r="Q190" s="161"/>
      <x:c r="R190" s="161"/>
      <x:c r="S190" s="161"/>
      <x:c r="T190" s="161"/>
      <x:c r="U190" s="161"/>
      <x:c r="V190" s="161"/>
      <x:c r="W190" s="161"/>
      <x:c r="X190" s="161"/>
      <x:c r="Y190" s="161"/>
      <x:c r="Z190" s="161"/>
    </x:row>
    <x:row r="191">
      <x:c r="A191" s="129" t="str">
        <x:f>IF(E191&lt;&gt;"","ACT-"&amp;TEXT(ROW()-5,"000"),"")</x:f>
      </x:c>
      <x:c r="B191" s="124"/>
      <x:c r="C191" s="108"/>
      <x:c r="D191" s="108"/>
      <x:c r="E191" s="108"/>
      <x:c r="F191" s="124"/>
      <x:c r="G191" s="108"/>
      <x:c r="H191" s="108"/>
      <x:c r="I191" s="129" t="str">
        <x:f>IF(F191="","",F191-TODAY())</x:f>
      </x:c>
      <x:c r="J191" s="108"/>
      <x:c r="K191" s="161"/>
      <x:c r="L191" s="161"/>
      <x:c r="M191" s="161"/>
      <x:c r="N191" s="161"/>
      <x:c r="O191" s="161"/>
      <x:c r="P191" s="161"/>
      <x:c r="Q191" s="161"/>
      <x:c r="R191" s="161"/>
      <x:c r="S191" s="161"/>
      <x:c r="T191" s="161"/>
      <x:c r="U191" s="161"/>
      <x:c r="V191" s="161"/>
      <x:c r="W191" s="161"/>
      <x:c r="X191" s="161"/>
      <x:c r="Y191" s="161"/>
      <x:c r="Z191" s="161"/>
    </x:row>
    <x:row r="192">
      <x:c r="A192" s="129" t="str">
        <x:f>IF(E192&lt;&gt;"","ACT-"&amp;TEXT(ROW()-5,"000"),"")</x:f>
      </x:c>
      <x:c r="B192" s="124"/>
      <x:c r="C192" s="108"/>
      <x:c r="D192" s="108"/>
      <x:c r="E192" s="108"/>
      <x:c r="F192" s="124"/>
      <x:c r="G192" s="108"/>
      <x:c r="H192" s="108"/>
      <x:c r="I192" s="129" t="str">
        <x:f>IF(F192="","",F192-TODAY())</x:f>
      </x:c>
      <x:c r="J192" s="108"/>
      <x:c r="K192" s="161"/>
      <x:c r="L192" s="161"/>
      <x:c r="M192" s="161"/>
      <x:c r="N192" s="161"/>
      <x:c r="O192" s="161"/>
      <x:c r="P192" s="161"/>
      <x:c r="Q192" s="161"/>
      <x:c r="R192" s="161"/>
      <x:c r="S192" s="161"/>
      <x:c r="T192" s="161"/>
      <x:c r="U192" s="161"/>
      <x:c r="V192" s="161"/>
      <x:c r="W192" s="161"/>
      <x:c r="X192" s="161"/>
      <x:c r="Y192" s="161"/>
      <x:c r="Z192" s="161"/>
    </x:row>
    <x:row r="193">
      <x:c r="A193" s="129" t="str">
        <x:f>IF(E193&lt;&gt;"","ACT-"&amp;TEXT(ROW()-5,"000"),"")</x:f>
      </x:c>
      <x:c r="B193" s="124"/>
      <x:c r="C193" s="108"/>
      <x:c r="D193" s="108"/>
      <x:c r="E193" s="108"/>
      <x:c r="F193" s="124"/>
      <x:c r="G193" s="108"/>
      <x:c r="H193" s="108"/>
      <x:c r="I193" s="129" t="str">
        <x:f>IF(F193="","",F193-TODAY())</x:f>
      </x:c>
      <x:c r="J193" s="108"/>
      <x:c r="K193" s="161"/>
      <x:c r="L193" s="161"/>
      <x:c r="M193" s="161"/>
      <x:c r="N193" s="161"/>
      <x:c r="O193" s="161"/>
      <x:c r="P193" s="161"/>
      <x:c r="Q193" s="161"/>
      <x:c r="R193" s="161"/>
      <x:c r="S193" s="161"/>
      <x:c r="T193" s="161"/>
      <x:c r="U193" s="161"/>
      <x:c r="V193" s="161"/>
      <x:c r="W193" s="161"/>
      <x:c r="X193" s="161"/>
      <x:c r="Y193" s="161"/>
      <x:c r="Z193" s="161"/>
    </x:row>
    <x:row r="194">
      <x:c r="A194" s="129" t="str">
        <x:f>IF(E194&lt;&gt;"","ACT-"&amp;TEXT(ROW()-5,"000"),"")</x:f>
      </x:c>
      <x:c r="B194" s="124"/>
      <x:c r="C194" s="108"/>
      <x:c r="D194" s="108"/>
      <x:c r="E194" s="108"/>
      <x:c r="F194" s="124"/>
      <x:c r="G194" s="108"/>
      <x:c r="H194" s="108"/>
      <x:c r="I194" s="129" t="str">
        <x:f>IF(F194="","",F194-TODAY())</x:f>
      </x:c>
      <x:c r="J194" s="108"/>
      <x:c r="K194" s="161"/>
      <x:c r="L194" s="161"/>
      <x:c r="M194" s="161"/>
      <x:c r="N194" s="161"/>
      <x:c r="O194" s="161"/>
      <x:c r="P194" s="161"/>
      <x:c r="Q194" s="161"/>
      <x:c r="R194" s="161"/>
      <x:c r="S194" s="161"/>
      <x:c r="T194" s="161"/>
      <x:c r="U194" s="161"/>
      <x:c r="V194" s="161"/>
      <x:c r="W194" s="161"/>
      <x:c r="X194" s="161"/>
      <x:c r="Y194" s="161"/>
      <x:c r="Z194" s="161"/>
    </x:row>
    <x:row r="195">
      <x:c r="A195" s="129" t="str">
        <x:f>IF(E195&lt;&gt;"","ACT-"&amp;TEXT(ROW()-5,"000"),"")</x:f>
      </x:c>
      <x:c r="B195" s="124"/>
      <x:c r="C195" s="108"/>
      <x:c r="D195" s="108"/>
      <x:c r="E195" s="108"/>
      <x:c r="F195" s="124"/>
      <x:c r="G195" s="108"/>
      <x:c r="H195" s="108"/>
      <x:c r="I195" s="129" t="str">
        <x:f>IF(F195="","",F195-TODAY())</x:f>
      </x:c>
      <x:c r="J195" s="108"/>
      <x:c r="K195" s="161"/>
      <x:c r="L195" s="161"/>
      <x:c r="M195" s="161"/>
      <x:c r="N195" s="161"/>
      <x:c r="O195" s="161"/>
      <x:c r="P195" s="161"/>
      <x:c r="Q195" s="161"/>
      <x:c r="R195" s="161"/>
      <x:c r="S195" s="161"/>
      <x:c r="T195" s="161"/>
      <x:c r="U195" s="161"/>
      <x:c r="V195" s="161"/>
      <x:c r="W195" s="161"/>
      <x:c r="X195" s="161"/>
      <x:c r="Y195" s="161"/>
      <x:c r="Z195" s="161"/>
    </x:row>
    <x:row r="196">
      <x:c r="A196" s="129" t="str">
        <x:f>IF(E196&lt;&gt;"","ACT-"&amp;TEXT(ROW()-5,"000"),"")</x:f>
      </x:c>
      <x:c r="B196" s="124"/>
      <x:c r="C196" s="108"/>
      <x:c r="D196" s="108"/>
      <x:c r="E196" s="108"/>
      <x:c r="F196" s="124"/>
      <x:c r="G196" s="108"/>
      <x:c r="H196" s="108"/>
      <x:c r="I196" s="129" t="str">
        <x:f>IF(F196="","",F196-TODAY())</x:f>
      </x:c>
      <x:c r="J196" s="108"/>
      <x:c r="K196" s="161"/>
      <x:c r="L196" s="161"/>
      <x:c r="M196" s="161"/>
      <x:c r="N196" s="161"/>
      <x:c r="O196" s="161"/>
      <x:c r="P196" s="161"/>
      <x:c r="Q196" s="161"/>
      <x:c r="R196" s="161"/>
      <x:c r="S196" s="161"/>
      <x:c r="T196" s="161"/>
      <x:c r="U196" s="161"/>
      <x:c r="V196" s="161"/>
      <x:c r="W196" s="161"/>
      <x:c r="X196" s="161"/>
      <x:c r="Y196" s="161"/>
      <x:c r="Z196" s="161"/>
    </x:row>
    <x:row r="197">
      <x:c r="A197" s="129" t="str">
        <x:f>IF(E197&lt;&gt;"","ACT-"&amp;TEXT(ROW()-5,"000"),"")</x:f>
      </x:c>
      <x:c r="B197" s="124"/>
      <x:c r="C197" s="108"/>
      <x:c r="D197" s="108"/>
      <x:c r="E197" s="108"/>
      <x:c r="F197" s="124"/>
      <x:c r="G197" s="108"/>
      <x:c r="H197" s="108"/>
      <x:c r="I197" s="129" t="str">
        <x:f>IF(F197="","",F197-TODAY())</x:f>
      </x:c>
      <x:c r="J197" s="108"/>
      <x:c r="K197" s="161"/>
      <x:c r="L197" s="161"/>
      <x:c r="M197" s="161"/>
      <x:c r="N197" s="161"/>
      <x:c r="O197" s="161"/>
      <x:c r="P197" s="161"/>
      <x:c r="Q197" s="161"/>
      <x:c r="R197" s="161"/>
      <x:c r="S197" s="161"/>
      <x:c r="T197" s="161"/>
      <x:c r="U197" s="161"/>
      <x:c r="V197" s="161"/>
      <x:c r="W197" s="161"/>
      <x:c r="X197" s="161"/>
      <x:c r="Y197" s="161"/>
      <x:c r="Z197" s="161"/>
    </x:row>
    <x:row r="198">
      <x:c r="A198" s="129" t="str">
        <x:f>IF(E198&lt;&gt;"","ACT-"&amp;TEXT(ROW()-5,"000"),"")</x:f>
      </x:c>
      <x:c r="B198" s="124"/>
      <x:c r="C198" s="108"/>
      <x:c r="D198" s="108"/>
      <x:c r="E198" s="108"/>
      <x:c r="F198" s="124"/>
      <x:c r="G198" s="108"/>
      <x:c r="H198" s="108"/>
      <x:c r="I198" s="129" t="str">
        <x:f>IF(F198="","",F198-TODAY())</x:f>
      </x:c>
      <x:c r="J198" s="108"/>
      <x:c r="K198" s="161"/>
      <x:c r="L198" s="161"/>
      <x:c r="M198" s="161"/>
      <x:c r="N198" s="161"/>
      <x:c r="O198" s="161"/>
      <x:c r="P198" s="161"/>
      <x:c r="Q198" s="161"/>
      <x:c r="R198" s="161"/>
      <x:c r="S198" s="161"/>
      <x:c r="T198" s="161"/>
      <x:c r="U198" s="161"/>
      <x:c r="V198" s="161"/>
      <x:c r="W198" s="161"/>
      <x:c r="X198" s="161"/>
      <x:c r="Y198" s="161"/>
      <x:c r="Z198" s="161"/>
    </x:row>
    <x:row r="199">
      <x:c r="A199" s="129" t="str">
        <x:f>IF(E199&lt;&gt;"","ACT-"&amp;TEXT(ROW()-5,"000"),"")</x:f>
      </x:c>
      <x:c r="B199" s="124"/>
      <x:c r="C199" s="108"/>
      <x:c r="D199" s="108"/>
      <x:c r="E199" s="108"/>
      <x:c r="F199" s="124"/>
      <x:c r="G199" s="108"/>
      <x:c r="H199" s="108"/>
      <x:c r="I199" s="129" t="str">
        <x:f>IF(F199="","",F199-TODAY())</x:f>
      </x:c>
      <x:c r="J199" s="108"/>
      <x:c r="K199" s="161"/>
      <x:c r="L199" s="161"/>
      <x:c r="M199" s="161"/>
      <x:c r="N199" s="161"/>
      <x:c r="O199" s="161"/>
      <x:c r="P199" s="161"/>
      <x:c r="Q199" s="161"/>
      <x:c r="R199" s="161"/>
      <x:c r="S199" s="161"/>
      <x:c r="T199" s="161"/>
      <x:c r="U199" s="161"/>
      <x:c r="V199" s="161"/>
      <x:c r="W199" s="161"/>
      <x:c r="X199" s="161"/>
      <x:c r="Y199" s="161"/>
      <x:c r="Z199" s="161"/>
    </x:row>
    <x:row r="200">
      <x:c r="A200" s="129" t="str">
        <x:f>IF(E200&lt;&gt;"","ACT-"&amp;TEXT(ROW()-5,"000"),"")</x:f>
      </x:c>
      <x:c r="B200" s="124"/>
      <x:c r="C200" s="108"/>
      <x:c r="D200" s="108"/>
      <x:c r="E200" s="108"/>
      <x:c r="F200" s="124"/>
      <x:c r="G200" s="108"/>
      <x:c r="H200" s="108"/>
      <x:c r="I200" s="129" t="str">
        <x:f>IF(F200="","",F200-TODAY())</x:f>
      </x:c>
      <x:c r="J200" s="108"/>
      <x:c r="K200" s="161"/>
      <x:c r="L200" s="161"/>
      <x:c r="M200" s="161"/>
      <x:c r="N200" s="161"/>
      <x:c r="O200" s="161"/>
      <x:c r="P200" s="161"/>
      <x:c r="Q200" s="161"/>
      <x:c r="R200" s="161"/>
      <x:c r="S200" s="161"/>
      <x:c r="T200" s="161"/>
      <x:c r="U200" s="161"/>
      <x:c r="V200" s="161"/>
      <x:c r="W200" s="161"/>
      <x:c r="X200" s="161"/>
      <x:c r="Y200" s="161"/>
      <x:c r="Z200" s="161"/>
    </x:row>
    <x:row r="201">
      <x:c r="A201" s="160"/>
      <x:c r="B201" s="160"/>
      <x:c r="C201" s="160"/>
      <x:c r="D201" s="160"/>
      <x:c r="E201" s="160"/>
      <x:c r="F201" s="160"/>
      <x:c r="G201" s="160"/>
      <x:c r="H201" s="160"/>
      <x:c r="I201" s="160"/>
      <x:c r="J201" s="160"/>
      <x:c r="K201" s="161"/>
      <x:c r="L201" s="161"/>
      <x:c r="M201" s="161"/>
      <x:c r="N201" s="161"/>
      <x:c r="O201" s="161"/>
      <x:c r="P201" s="161"/>
      <x:c r="Q201" s="161"/>
      <x:c r="R201" s="161"/>
      <x:c r="S201" s="161"/>
      <x:c r="T201" s="161"/>
      <x:c r="U201" s="161"/>
      <x:c r="V201" s="161"/>
      <x:c r="W201" s="161"/>
      <x:c r="X201" s="161"/>
      <x:c r="Y201" s="161"/>
      <x:c r="Z201" s="161"/>
    </x:row>
    <x:row r="202">
      <x:c r="A202" s="160"/>
      <x:c r="B202" s="160"/>
      <x:c r="C202" s="160"/>
      <x:c r="D202" s="160"/>
      <x:c r="E202" s="160"/>
      <x:c r="F202" s="160"/>
      <x:c r="G202" s="160"/>
      <x:c r="H202" s="160"/>
      <x:c r="I202" s="160"/>
      <x:c r="J202" s="160"/>
      <x:c r="K202" s="161"/>
      <x:c r="L202" s="161"/>
      <x:c r="M202" s="161"/>
      <x:c r="N202" s="161"/>
      <x:c r="O202" s="161"/>
      <x:c r="P202" s="161"/>
      <x:c r="Q202" s="161"/>
      <x:c r="R202" s="161"/>
      <x:c r="S202" s="161"/>
      <x:c r="T202" s="161"/>
      <x:c r="U202" s="161"/>
      <x:c r="V202" s="161"/>
      <x:c r="W202" s="161"/>
      <x:c r="X202" s="161"/>
      <x:c r="Y202" s="161"/>
      <x:c r="Z202" s="161"/>
    </x:row>
    <x:row r="203">
      <x:c r="A203" s="160"/>
      <x:c r="B203" s="160"/>
      <x:c r="C203" s="160"/>
      <x:c r="D203" s="160"/>
      <x:c r="E203" s="160"/>
      <x:c r="F203" s="160"/>
      <x:c r="G203" s="160"/>
      <x:c r="H203" s="160"/>
      <x:c r="I203" s="160"/>
      <x:c r="J203" s="160"/>
      <x:c r="K203" s="161"/>
      <x:c r="L203" s="161"/>
      <x:c r="M203" s="161"/>
      <x:c r="N203" s="161"/>
      <x:c r="O203" s="161"/>
      <x:c r="P203" s="161"/>
      <x:c r="Q203" s="161"/>
      <x:c r="R203" s="161"/>
      <x:c r="S203" s="161"/>
      <x:c r="T203" s="161"/>
      <x:c r="U203" s="161"/>
      <x:c r="V203" s="161"/>
      <x:c r="W203" s="161"/>
      <x:c r="X203" s="161"/>
      <x:c r="Y203" s="161"/>
      <x:c r="Z203" s="161"/>
    </x:row>
    <x:row r="204">
      <x:c r="A204" s="160"/>
      <x:c r="B204" s="160"/>
      <x:c r="C204" s="160"/>
      <x:c r="D204" s="160"/>
      <x:c r="E204" s="160"/>
      <x:c r="F204" s="160"/>
      <x:c r="G204" s="160"/>
      <x:c r="H204" s="160"/>
      <x:c r="I204" s="160"/>
      <x:c r="J204" s="160"/>
      <x:c r="K204" s="161"/>
      <x:c r="L204" s="161"/>
      <x:c r="M204" s="161"/>
      <x:c r="N204" s="161"/>
      <x:c r="O204" s="161"/>
      <x:c r="P204" s="161"/>
      <x:c r="Q204" s="161"/>
      <x:c r="R204" s="161"/>
      <x:c r="S204" s="161"/>
      <x:c r="T204" s="161"/>
      <x:c r="U204" s="161"/>
      <x:c r="V204" s="161"/>
      <x:c r="W204" s="161"/>
      <x:c r="X204" s="161"/>
      <x:c r="Y204" s="161"/>
      <x:c r="Z204" s="161"/>
    </x:row>
    <x:row r="205">
      <x:c r="A205" s="160"/>
      <x:c r="B205" s="160"/>
      <x:c r="C205" s="160"/>
      <x:c r="D205" s="160"/>
      <x:c r="E205" s="160"/>
      <x:c r="F205" s="160"/>
      <x:c r="G205" s="160"/>
      <x:c r="H205" s="160"/>
      <x:c r="I205" s="160"/>
      <x:c r="J205" s="160"/>
      <x:c r="K205" s="161"/>
      <x:c r="L205" s="161"/>
      <x:c r="M205" s="161"/>
      <x:c r="N205" s="161"/>
      <x:c r="O205" s="161"/>
      <x:c r="P205" s="161"/>
      <x:c r="Q205" s="161"/>
      <x:c r="R205" s="161"/>
      <x:c r="S205" s="161"/>
      <x:c r="T205" s="161"/>
      <x:c r="U205" s="161"/>
      <x:c r="V205" s="161"/>
      <x:c r="W205" s="161"/>
      <x:c r="X205" s="161"/>
      <x:c r="Y205" s="161"/>
      <x:c r="Z205" s="161"/>
    </x:row>
    <x:row r="206">
      <x:c r="A206" s="160"/>
      <x:c r="B206" s="160"/>
      <x:c r="C206" s="160"/>
      <x:c r="D206" s="160"/>
      <x:c r="E206" s="160"/>
      <x:c r="F206" s="160"/>
      <x:c r="G206" s="160"/>
      <x:c r="H206" s="160"/>
      <x:c r="I206" s="160"/>
      <x:c r="J206" s="160"/>
      <x:c r="K206" s="161"/>
      <x:c r="L206" s="161"/>
      <x:c r="M206" s="161"/>
      <x:c r="N206" s="161"/>
      <x:c r="O206" s="161"/>
      <x:c r="P206" s="161"/>
      <x:c r="Q206" s="161"/>
      <x:c r="R206" s="161"/>
      <x:c r="S206" s="161"/>
      <x:c r="T206" s="161"/>
      <x:c r="U206" s="161"/>
      <x:c r="V206" s="161"/>
      <x:c r="W206" s="161"/>
      <x:c r="X206" s="161"/>
      <x:c r="Y206" s="161"/>
      <x:c r="Z206" s="161"/>
    </x:row>
    <x:row r="207">
      <x:c r="A207" s="160"/>
      <x:c r="B207" s="160"/>
      <x:c r="C207" s="160"/>
      <x:c r="D207" s="160"/>
      <x:c r="E207" s="160"/>
      <x:c r="F207" s="160"/>
      <x:c r="G207" s="160"/>
      <x:c r="H207" s="160"/>
      <x:c r="I207" s="160"/>
      <x:c r="J207" s="160"/>
      <x:c r="K207" s="161"/>
      <x:c r="L207" s="161"/>
      <x:c r="M207" s="161"/>
      <x:c r="N207" s="161"/>
      <x:c r="O207" s="161"/>
      <x:c r="P207" s="161"/>
      <x:c r="Q207" s="161"/>
      <x:c r="R207" s="161"/>
      <x:c r="S207" s="161"/>
      <x:c r="T207" s="161"/>
      <x:c r="U207" s="161"/>
      <x:c r="V207" s="161"/>
      <x:c r="W207" s="161"/>
      <x:c r="X207" s="161"/>
      <x:c r="Y207" s="161"/>
      <x:c r="Z207" s="161"/>
    </x:row>
    <x:row r="208">
      <x:c r="A208" s="160"/>
      <x:c r="B208" s="160"/>
      <x:c r="C208" s="160"/>
      <x:c r="D208" s="160"/>
      <x:c r="E208" s="160"/>
      <x:c r="F208" s="160"/>
      <x:c r="G208" s="160"/>
      <x:c r="H208" s="160"/>
      <x:c r="I208" s="160"/>
      <x:c r="J208" s="160"/>
      <x:c r="K208" s="161"/>
      <x:c r="L208" s="161"/>
      <x:c r="M208" s="161"/>
      <x:c r="N208" s="161"/>
      <x:c r="O208" s="161"/>
      <x:c r="P208" s="161"/>
      <x:c r="Q208" s="161"/>
      <x:c r="R208" s="161"/>
      <x:c r="S208" s="161"/>
      <x:c r="T208" s="161"/>
      <x:c r="U208" s="161"/>
      <x:c r="V208" s="161"/>
      <x:c r="W208" s="161"/>
      <x:c r="X208" s="161"/>
      <x:c r="Y208" s="161"/>
      <x:c r="Z208" s="161"/>
    </x:row>
    <x:row r="209">
      <x:c r="A209" s="160"/>
      <x:c r="B209" s="160"/>
      <x:c r="C209" s="160"/>
      <x:c r="D209" s="160"/>
      <x:c r="E209" s="160"/>
      <x:c r="F209" s="160"/>
      <x:c r="G209" s="160"/>
      <x:c r="H209" s="160"/>
      <x:c r="I209" s="160"/>
      <x:c r="J209" s="160"/>
      <x:c r="K209" s="161"/>
      <x:c r="L209" s="161"/>
      <x:c r="M209" s="161"/>
      <x:c r="N209" s="161"/>
      <x:c r="O209" s="161"/>
      <x:c r="P209" s="161"/>
      <x:c r="Q209" s="161"/>
      <x:c r="R209" s="161"/>
      <x:c r="S209" s="161"/>
      <x:c r="T209" s="161"/>
      <x:c r="U209" s="161"/>
      <x:c r="V209" s="161"/>
      <x:c r="W209" s="161"/>
      <x:c r="X209" s="161"/>
      <x:c r="Y209" s="161"/>
      <x:c r="Z209" s="161"/>
    </x:row>
    <x:row r="210">
      <x:c r="A210" s="160"/>
      <x:c r="B210" s="160"/>
      <x:c r="C210" s="160"/>
      <x:c r="D210" s="160"/>
      <x:c r="E210" s="160"/>
      <x:c r="F210" s="160"/>
      <x:c r="G210" s="160"/>
      <x:c r="H210" s="160"/>
      <x:c r="I210" s="160"/>
      <x:c r="J210" s="160"/>
      <x:c r="K210" s="161"/>
      <x:c r="L210" s="161"/>
      <x:c r="M210" s="161"/>
      <x:c r="N210" s="161"/>
      <x:c r="O210" s="161"/>
      <x:c r="P210" s="161"/>
      <x:c r="Q210" s="161"/>
      <x:c r="R210" s="161"/>
      <x:c r="S210" s="161"/>
      <x:c r="T210" s="161"/>
      <x:c r="U210" s="161"/>
      <x:c r="V210" s="161"/>
      <x:c r="W210" s="161"/>
      <x:c r="X210" s="161"/>
      <x:c r="Y210" s="161"/>
      <x:c r="Z210" s="161"/>
    </x:row>
    <x:row r="211">
      <x:c r="A211" s="160"/>
      <x:c r="B211" s="160"/>
      <x:c r="C211" s="160"/>
      <x:c r="D211" s="160"/>
      <x:c r="E211" s="160"/>
      <x:c r="F211" s="160"/>
      <x:c r="G211" s="160"/>
      <x:c r="H211" s="160"/>
      <x:c r="I211" s="160"/>
      <x:c r="J211" s="160"/>
      <x:c r="K211" s="161"/>
      <x:c r="L211" s="161"/>
      <x:c r="M211" s="161"/>
      <x:c r="N211" s="161"/>
      <x:c r="O211" s="161"/>
      <x:c r="P211" s="161"/>
      <x:c r="Q211" s="161"/>
      <x:c r="R211" s="161"/>
      <x:c r="S211" s="161"/>
      <x:c r="T211" s="161"/>
      <x:c r="U211" s="161"/>
      <x:c r="V211" s="161"/>
      <x:c r="W211" s="161"/>
      <x:c r="X211" s="161"/>
      <x:c r="Y211" s="161"/>
      <x:c r="Z211" s="161"/>
    </x:row>
    <x:row r="212">
      <x:c r="A212" s="160"/>
      <x:c r="B212" s="160"/>
      <x:c r="C212" s="160"/>
      <x:c r="D212" s="160"/>
      <x:c r="E212" s="160"/>
      <x:c r="F212" s="160"/>
      <x:c r="G212" s="160"/>
      <x:c r="H212" s="160"/>
      <x:c r="I212" s="160"/>
      <x:c r="J212" s="160"/>
      <x:c r="K212" s="161"/>
      <x:c r="L212" s="161"/>
      <x:c r="M212" s="161"/>
      <x:c r="N212" s="161"/>
      <x:c r="O212" s="161"/>
      <x:c r="P212" s="161"/>
      <x:c r="Q212" s="161"/>
      <x:c r="R212" s="161"/>
      <x:c r="S212" s="161"/>
      <x:c r="T212" s="161"/>
      <x:c r="U212" s="161"/>
      <x:c r="V212" s="161"/>
      <x:c r="W212" s="161"/>
      <x:c r="X212" s="161"/>
      <x:c r="Y212" s="161"/>
      <x:c r="Z212" s="161"/>
    </x:row>
    <x:row r="213">
      <x:c r="A213" s="160"/>
      <x:c r="B213" s="160"/>
      <x:c r="C213" s="160"/>
      <x:c r="D213" s="160"/>
      <x:c r="E213" s="160"/>
      <x:c r="F213" s="160"/>
      <x:c r="G213" s="160"/>
      <x:c r="H213" s="160"/>
      <x:c r="I213" s="160"/>
      <x:c r="J213" s="160"/>
      <x:c r="K213" s="161"/>
      <x:c r="L213" s="161"/>
      <x:c r="M213" s="161"/>
      <x:c r="N213" s="161"/>
      <x:c r="O213" s="161"/>
      <x:c r="P213" s="161"/>
      <x:c r="Q213" s="161"/>
      <x:c r="R213" s="161"/>
      <x:c r="S213" s="161"/>
      <x:c r="T213" s="161"/>
      <x:c r="U213" s="161"/>
      <x:c r="V213" s="161"/>
      <x:c r="W213" s="161"/>
      <x:c r="X213" s="161"/>
      <x:c r="Y213" s="161"/>
      <x:c r="Z213" s="161"/>
    </x:row>
    <x:row r="214">
      <x:c r="A214" s="160"/>
      <x:c r="B214" s="160"/>
      <x:c r="C214" s="160"/>
      <x:c r="D214" s="160"/>
      <x:c r="E214" s="160"/>
      <x:c r="F214" s="160"/>
      <x:c r="G214" s="160"/>
      <x:c r="H214" s="160"/>
      <x:c r="I214" s="160"/>
      <x:c r="J214" s="160"/>
      <x:c r="K214" s="161"/>
      <x:c r="L214" s="161"/>
      <x:c r="M214" s="161"/>
      <x:c r="N214" s="161"/>
      <x:c r="O214" s="161"/>
      <x:c r="P214" s="161"/>
      <x:c r="Q214" s="161"/>
      <x:c r="R214" s="161"/>
      <x:c r="S214" s="161"/>
      <x:c r="T214" s="161"/>
      <x:c r="U214" s="161"/>
      <x:c r="V214" s="161"/>
      <x:c r="W214" s="161"/>
      <x:c r="X214" s="161"/>
      <x:c r="Y214" s="161"/>
      <x:c r="Z214" s="161"/>
    </x:row>
    <x:row r="215">
      <x:c r="A215" s="160"/>
      <x:c r="B215" s="160"/>
      <x:c r="C215" s="160"/>
      <x:c r="D215" s="160"/>
      <x:c r="E215" s="160"/>
      <x:c r="F215" s="160"/>
      <x:c r="G215" s="160"/>
      <x:c r="H215" s="160"/>
      <x:c r="I215" s="160"/>
      <x:c r="J215" s="160"/>
      <x:c r="K215" s="161"/>
      <x:c r="L215" s="161"/>
      <x:c r="M215" s="161"/>
      <x:c r="N215" s="161"/>
      <x:c r="O215" s="161"/>
      <x:c r="P215" s="161"/>
      <x:c r="Q215" s="161"/>
      <x:c r="R215" s="161"/>
      <x:c r="S215" s="161"/>
      <x:c r="T215" s="161"/>
      <x:c r="U215" s="161"/>
      <x:c r="V215" s="161"/>
      <x:c r="W215" s="161"/>
      <x:c r="X215" s="161"/>
      <x:c r="Y215" s="161"/>
      <x:c r="Z215" s="161"/>
    </x:row>
    <x:row r="216">
      <x:c r="A216" s="160"/>
      <x:c r="B216" s="160"/>
      <x:c r="C216" s="160"/>
      <x:c r="D216" s="160"/>
      <x:c r="E216" s="160"/>
      <x:c r="F216" s="160"/>
      <x:c r="G216" s="160"/>
      <x:c r="H216" s="160"/>
      <x:c r="I216" s="160"/>
      <x:c r="J216" s="160"/>
      <x:c r="K216" s="161"/>
      <x:c r="L216" s="161"/>
      <x:c r="M216" s="161"/>
      <x:c r="N216" s="161"/>
      <x:c r="O216" s="161"/>
      <x:c r="P216" s="161"/>
      <x:c r="Q216" s="161"/>
      <x:c r="R216" s="161"/>
      <x:c r="S216" s="161"/>
      <x:c r="T216" s="161"/>
      <x:c r="U216" s="161"/>
      <x:c r="V216" s="161"/>
      <x:c r="W216" s="161"/>
      <x:c r="X216" s="161"/>
      <x:c r="Y216" s="161"/>
      <x:c r="Z216" s="161"/>
    </x:row>
    <x:row r="217">
      <x:c r="A217" s="160"/>
      <x:c r="B217" s="160"/>
      <x:c r="C217" s="160"/>
      <x:c r="D217" s="160"/>
      <x:c r="E217" s="160"/>
      <x:c r="F217" s="160"/>
      <x:c r="G217" s="160"/>
      <x:c r="H217" s="160"/>
      <x:c r="I217" s="160"/>
      <x:c r="J217" s="160"/>
      <x:c r="K217" s="161"/>
      <x:c r="L217" s="161"/>
      <x:c r="M217" s="161"/>
      <x:c r="N217" s="161"/>
      <x:c r="O217" s="161"/>
      <x:c r="P217" s="161"/>
      <x:c r="Q217" s="161"/>
      <x:c r="R217" s="161"/>
      <x:c r="S217" s="161"/>
      <x:c r="T217" s="161"/>
      <x:c r="U217" s="161"/>
      <x:c r="V217" s="161"/>
      <x:c r="W217" s="161"/>
      <x:c r="X217" s="161"/>
      <x:c r="Y217" s="161"/>
      <x:c r="Z217" s="161"/>
    </x:row>
    <x:row r="218">
      <x:c r="A218" s="160"/>
      <x:c r="B218" s="160"/>
      <x:c r="C218" s="160"/>
      <x:c r="D218" s="160"/>
      <x:c r="E218" s="160"/>
      <x:c r="F218" s="160"/>
      <x:c r="G218" s="160"/>
      <x:c r="H218" s="160"/>
      <x:c r="I218" s="160"/>
      <x:c r="J218" s="160"/>
      <x:c r="K218" s="161"/>
      <x:c r="L218" s="161"/>
      <x:c r="M218" s="161"/>
      <x:c r="N218" s="161"/>
      <x:c r="O218" s="161"/>
      <x:c r="P218" s="161"/>
      <x:c r="Q218" s="161"/>
      <x:c r="R218" s="161"/>
      <x:c r="S218" s="161"/>
      <x:c r="T218" s="161"/>
      <x:c r="U218" s="161"/>
      <x:c r="V218" s="161"/>
      <x:c r="W218" s="161"/>
      <x:c r="X218" s="161"/>
      <x:c r="Y218" s="161"/>
      <x:c r="Z218" s="161"/>
    </x:row>
    <x:row r="219">
      <x:c r="A219" s="160"/>
      <x:c r="B219" s="160"/>
      <x:c r="C219" s="160"/>
      <x:c r="D219" s="160"/>
      <x:c r="E219" s="160"/>
      <x:c r="F219" s="160"/>
      <x:c r="G219" s="160"/>
      <x:c r="H219" s="160"/>
      <x:c r="I219" s="160"/>
      <x:c r="J219" s="160"/>
      <x:c r="K219" s="161"/>
      <x:c r="L219" s="161"/>
      <x:c r="M219" s="161"/>
      <x:c r="N219" s="161"/>
      <x:c r="O219" s="161"/>
      <x:c r="P219" s="161"/>
      <x:c r="Q219" s="161"/>
      <x:c r="R219" s="161"/>
      <x:c r="S219" s="161"/>
      <x:c r="T219" s="161"/>
      <x:c r="U219" s="161"/>
      <x:c r="V219" s="161"/>
      <x:c r="W219" s="161"/>
      <x:c r="X219" s="161"/>
      <x:c r="Y219" s="161"/>
      <x:c r="Z219" s="161"/>
    </x:row>
    <x:row r="220">
      <x:c r="A220" s="160"/>
      <x:c r="B220" s="160"/>
      <x:c r="C220" s="160"/>
      <x:c r="D220" s="160"/>
      <x:c r="E220" s="160"/>
      <x:c r="F220" s="160"/>
      <x:c r="G220" s="160"/>
      <x:c r="H220" s="160"/>
      <x:c r="I220" s="160"/>
      <x:c r="J220" s="160"/>
      <x:c r="K220" s="161"/>
      <x:c r="L220" s="161"/>
      <x:c r="M220" s="161"/>
      <x:c r="N220" s="161"/>
      <x:c r="O220" s="161"/>
      <x:c r="P220" s="161"/>
      <x:c r="Q220" s="161"/>
      <x:c r="R220" s="161"/>
      <x:c r="S220" s="161"/>
      <x:c r="T220" s="161"/>
      <x:c r="U220" s="161"/>
      <x:c r="V220" s="161"/>
      <x:c r="W220" s="161"/>
      <x:c r="X220" s="161"/>
      <x:c r="Y220" s="161"/>
      <x:c r="Z220" s="161"/>
    </x:row>
    <x:row r="221">
      <x:c r="A221" s="161"/>
      <x:c r="B221" s="161"/>
      <x:c r="C221" s="161"/>
      <x:c r="D221" s="161"/>
      <x:c r="E221" s="161"/>
      <x:c r="F221" s="161"/>
      <x:c r="G221" s="161"/>
      <x:c r="H221" s="161"/>
      <x:c r="I221" s="161"/>
      <x:c r="J221" s="161"/>
      <x:c r="K221" s="161"/>
      <x:c r="L221" s="161"/>
      <x:c r="M221" s="161"/>
      <x:c r="N221" s="161"/>
      <x:c r="O221" s="161"/>
      <x:c r="P221" s="161"/>
      <x:c r="Q221" s="161"/>
      <x:c r="R221" s="161"/>
      <x:c r="S221" s="161"/>
      <x:c r="T221" s="161"/>
      <x:c r="U221" s="161"/>
      <x:c r="V221" s="161"/>
      <x:c r="W221" s="161"/>
      <x:c r="X221" s="161"/>
      <x:c r="Y221" s="161"/>
      <x:c r="Z221" s="161"/>
    </x:row>
    <x:row r="222">
      <x:c r="A222" s="161"/>
      <x:c r="B222" s="161"/>
      <x:c r="C222" s="161"/>
      <x:c r="D222" s="161"/>
      <x:c r="E222" s="161"/>
      <x:c r="F222" s="161"/>
      <x:c r="G222" s="161"/>
      <x:c r="H222" s="161"/>
      <x:c r="I222" s="161"/>
      <x:c r="J222" s="161"/>
      <x:c r="K222" s="161"/>
      <x:c r="L222" s="161"/>
      <x:c r="M222" s="161"/>
      <x:c r="N222" s="161"/>
      <x:c r="O222" s="161"/>
      <x:c r="P222" s="161"/>
      <x:c r="Q222" s="161"/>
      <x:c r="R222" s="161"/>
      <x:c r="S222" s="161"/>
      <x:c r="T222" s="161"/>
      <x:c r="U222" s="161"/>
      <x:c r="V222" s="161"/>
      <x:c r="W222" s="161"/>
      <x:c r="X222" s="161"/>
      <x:c r="Y222" s="161"/>
      <x:c r="Z222" s="161"/>
    </x:row>
    <x:row r="223">
      <x:c r="A223" s="161"/>
      <x:c r="B223" s="161"/>
      <x:c r="C223" s="161"/>
      <x:c r="D223" s="161"/>
      <x:c r="E223" s="161"/>
      <x:c r="F223" s="161"/>
      <x:c r="G223" s="161"/>
      <x:c r="H223" s="161"/>
      <x:c r="I223" s="161"/>
      <x:c r="J223" s="161"/>
      <x:c r="K223" s="161"/>
      <x:c r="L223" s="161"/>
      <x:c r="M223" s="161"/>
      <x:c r="N223" s="161"/>
      <x:c r="O223" s="161"/>
      <x:c r="P223" s="161"/>
      <x:c r="Q223" s="161"/>
      <x:c r="R223" s="161"/>
      <x:c r="S223" s="161"/>
      <x:c r="T223" s="161"/>
      <x:c r="U223" s="161"/>
      <x:c r="V223" s="161"/>
      <x:c r="W223" s="161"/>
      <x:c r="X223" s="161"/>
      <x:c r="Y223" s="161"/>
      <x:c r="Z223" s="161"/>
    </x:row>
    <x:row r="224">
      <x:c r="A224" s="161"/>
      <x:c r="B224" s="161"/>
      <x:c r="C224" s="161"/>
      <x:c r="D224" s="161"/>
      <x:c r="E224" s="161"/>
      <x:c r="F224" s="161"/>
      <x:c r="G224" s="161"/>
      <x:c r="H224" s="161"/>
      <x:c r="I224" s="161"/>
      <x:c r="J224" s="161"/>
      <x:c r="K224" s="161"/>
      <x:c r="L224" s="161"/>
      <x:c r="M224" s="161"/>
      <x:c r="N224" s="161"/>
      <x:c r="O224" s="161"/>
      <x:c r="P224" s="161"/>
      <x:c r="Q224" s="161"/>
      <x:c r="R224" s="161"/>
      <x:c r="S224" s="161"/>
      <x:c r="T224" s="161"/>
      <x:c r="U224" s="161"/>
      <x:c r="V224" s="161"/>
      <x:c r="W224" s="161"/>
      <x:c r="X224" s="161"/>
      <x:c r="Y224" s="161"/>
      <x:c r="Z224" s="161"/>
    </x:row>
    <x:row r="225">
      <x:c r="A225" s="161"/>
      <x:c r="B225" s="161"/>
      <x:c r="C225" s="161"/>
      <x:c r="D225" s="161"/>
      <x:c r="E225" s="161"/>
      <x:c r="F225" s="161"/>
      <x:c r="G225" s="161"/>
      <x:c r="H225" s="161"/>
      <x:c r="I225" s="161"/>
      <x:c r="J225" s="161"/>
      <x:c r="K225" s="161"/>
      <x:c r="L225" s="161"/>
      <x:c r="M225" s="161"/>
      <x:c r="N225" s="161"/>
      <x:c r="O225" s="161"/>
      <x:c r="P225" s="161"/>
      <x:c r="Q225" s="161"/>
      <x:c r="R225" s="161"/>
      <x:c r="S225" s="161"/>
      <x:c r="T225" s="161"/>
      <x:c r="U225" s="161"/>
      <x:c r="V225" s="161"/>
      <x:c r="W225" s="161"/>
      <x:c r="X225" s="161"/>
      <x:c r="Y225" s="161"/>
      <x:c r="Z225" s="161"/>
    </x:row>
    <x:row r="226">
      <x:c r="A226" s="161"/>
      <x:c r="B226" s="161"/>
      <x:c r="C226" s="161"/>
      <x:c r="D226" s="161"/>
      <x:c r="E226" s="161"/>
      <x:c r="F226" s="161"/>
      <x:c r="G226" s="161"/>
      <x:c r="H226" s="161"/>
      <x:c r="I226" s="161"/>
      <x:c r="J226" s="161"/>
      <x:c r="K226" s="161"/>
      <x:c r="L226" s="161"/>
      <x:c r="M226" s="161"/>
      <x:c r="N226" s="161"/>
      <x:c r="O226" s="161"/>
      <x:c r="P226" s="161"/>
      <x:c r="Q226" s="161"/>
      <x:c r="R226" s="161"/>
      <x:c r="S226" s="161"/>
      <x:c r="T226" s="161"/>
      <x:c r="U226" s="161"/>
      <x:c r="V226" s="161"/>
      <x:c r="W226" s="161"/>
      <x:c r="X226" s="161"/>
      <x:c r="Y226" s="161"/>
      <x:c r="Z226" s="161"/>
    </x:row>
    <x:row r="227">
      <x:c r="A227" s="161"/>
      <x:c r="B227" s="161"/>
      <x:c r="C227" s="161"/>
      <x:c r="D227" s="161"/>
      <x:c r="E227" s="161"/>
      <x:c r="F227" s="161"/>
      <x:c r="G227" s="161"/>
      <x:c r="H227" s="161"/>
      <x:c r="I227" s="161"/>
      <x:c r="J227" s="161"/>
      <x:c r="K227" s="161"/>
      <x:c r="L227" s="161"/>
      <x:c r="M227" s="161"/>
      <x:c r="N227" s="161"/>
      <x:c r="O227" s="161"/>
      <x:c r="P227" s="161"/>
      <x:c r="Q227" s="161"/>
      <x:c r="R227" s="161"/>
      <x:c r="S227" s="161"/>
      <x:c r="T227" s="161"/>
      <x:c r="U227" s="161"/>
      <x:c r="V227" s="161"/>
      <x:c r="W227" s="161"/>
      <x:c r="X227" s="161"/>
      <x:c r="Y227" s="161"/>
      <x:c r="Z227" s="161"/>
    </x:row>
    <x:row r="228">
      <x:c r="A228" s="161"/>
      <x:c r="B228" s="161"/>
      <x:c r="C228" s="161"/>
      <x:c r="D228" s="161"/>
      <x:c r="E228" s="161"/>
      <x:c r="F228" s="161"/>
      <x:c r="G228" s="161"/>
      <x:c r="H228" s="161"/>
      <x:c r="I228" s="161"/>
      <x:c r="J228" s="161"/>
      <x:c r="K228" s="161"/>
      <x:c r="L228" s="161"/>
      <x:c r="M228" s="161"/>
      <x:c r="N228" s="161"/>
      <x:c r="O228" s="161"/>
      <x:c r="P228" s="161"/>
      <x:c r="Q228" s="161"/>
      <x:c r="R228" s="161"/>
      <x:c r="S228" s="161"/>
      <x:c r="T228" s="161"/>
      <x:c r="U228" s="161"/>
      <x:c r="V228" s="161"/>
      <x:c r="W228" s="161"/>
      <x:c r="X228" s="161"/>
      <x:c r="Y228" s="161"/>
      <x:c r="Z228" s="161"/>
    </x:row>
    <x:row r="229">
      <x:c r="A229" s="161"/>
      <x:c r="B229" s="161"/>
      <x:c r="C229" s="161"/>
      <x:c r="D229" s="161"/>
      <x:c r="E229" s="161"/>
      <x:c r="F229" s="161"/>
      <x:c r="G229" s="161"/>
      <x:c r="H229" s="161"/>
      <x:c r="I229" s="161"/>
      <x:c r="J229" s="161"/>
      <x:c r="K229" s="161"/>
      <x:c r="L229" s="161"/>
      <x:c r="M229" s="161"/>
      <x:c r="N229" s="161"/>
      <x:c r="O229" s="161"/>
      <x:c r="P229" s="161"/>
      <x:c r="Q229" s="161"/>
      <x:c r="R229" s="161"/>
      <x:c r="S229" s="161"/>
      <x:c r="T229" s="161"/>
      <x:c r="U229" s="161"/>
      <x:c r="V229" s="161"/>
      <x:c r="W229" s="161"/>
      <x:c r="X229" s="161"/>
      <x:c r="Y229" s="161"/>
      <x:c r="Z229" s="161"/>
    </x:row>
    <x:row r="230">
      <x:c r="A230" s="161"/>
      <x:c r="B230" s="161"/>
      <x:c r="C230" s="161"/>
      <x:c r="D230" s="161"/>
      <x:c r="E230" s="161"/>
      <x:c r="F230" s="161"/>
      <x:c r="G230" s="161"/>
      <x:c r="H230" s="161"/>
      <x:c r="I230" s="161"/>
      <x:c r="J230" s="161"/>
      <x:c r="K230" s="161"/>
      <x:c r="L230" s="161"/>
      <x:c r="M230" s="161"/>
      <x:c r="N230" s="161"/>
      <x:c r="O230" s="161"/>
      <x:c r="P230" s="161"/>
      <x:c r="Q230" s="161"/>
      <x:c r="R230" s="161"/>
      <x:c r="S230" s="161"/>
      <x:c r="T230" s="161"/>
      <x:c r="U230" s="161"/>
      <x:c r="V230" s="161"/>
      <x:c r="W230" s="161"/>
      <x:c r="X230" s="161"/>
      <x:c r="Y230" s="161"/>
      <x:c r="Z230" s="161"/>
    </x:row>
    <x:row r="231">
      <x:c r="A231" s="161"/>
      <x:c r="B231" s="161"/>
      <x:c r="C231" s="161"/>
      <x:c r="D231" s="161"/>
      <x:c r="E231" s="161"/>
      <x:c r="F231" s="161"/>
      <x:c r="G231" s="161"/>
      <x:c r="H231" s="161"/>
      <x:c r="I231" s="161"/>
      <x:c r="J231" s="161"/>
      <x:c r="K231" s="161"/>
      <x:c r="L231" s="161"/>
      <x:c r="M231" s="161"/>
      <x:c r="N231" s="161"/>
      <x:c r="O231" s="161"/>
      <x:c r="P231" s="161"/>
      <x:c r="Q231" s="161"/>
      <x:c r="R231" s="161"/>
      <x:c r="S231" s="161"/>
      <x:c r="T231" s="161"/>
      <x:c r="U231" s="161"/>
      <x:c r="V231" s="161"/>
      <x:c r="W231" s="161"/>
      <x:c r="X231" s="161"/>
      <x:c r="Y231" s="161"/>
      <x:c r="Z231" s="161"/>
    </x:row>
    <x:row r="232">
      <x:c r="A232" s="161"/>
      <x:c r="B232" s="161"/>
      <x:c r="C232" s="161"/>
      <x:c r="D232" s="161"/>
      <x:c r="E232" s="161"/>
      <x:c r="F232" s="161"/>
      <x:c r="G232" s="161"/>
      <x:c r="H232" s="161"/>
      <x:c r="I232" s="161"/>
      <x:c r="J232" s="161"/>
      <x:c r="K232" s="161"/>
      <x:c r="L232" s="161"/>
      <x:c r="M232" s="161"/>
      <x:c r="N232" s="161"/>
      <x:c r="O232" s="161"/>
      <x:c r="P232" s="161"/>
      <x:c r="Q232" s="161"/>
      <x:c r="R232" s="161"/>
      <x:c r="S232" s="161"/>
      <x:c r="T232" s="161"/>
      <x:c r="U232" s="161"/>
      <x:c r="V232" s="161"/>
      <x:c r="W232" s="161"/>
      <x:c r="X232" s="161"/>
      <x:c r="Y232" s="161"/>
      <x:c r="Z232" s="161"/>
    </x:row>
    <x:row r="233">
      <x:c r="A233" s="161"/>
      <x:c r="B233" s="161"/>
      <x:c r="C233" s="161"/>
      <x:c r="D233" s="161"/>
      <x:c r="E233" s="161"/>
      <x:c r="F233" s="161"/>
      <x:c r="G233" s="161"/>
      <x:c r="H233" s="161"/>
      <x:c r="I233" s="161"/>
      <x:c r="J233" s="161"/>
      <x:c r="K233" s="161"/>
      <x:c r="L233" s="161"/>
      <x:c r="M233" s="161"/>
      <x:c r="N233" s="161"/>
      <x:c r="O233" s="161"/>
      <x:c r="P233" s="161"/>
      <x:c r="Q233" s="161"/>
      <x:c r="R233" s="161"/>
      <x:c r="S233" s="161"/>
      <x:c r="T233" s="161"/>
      <x:c r="U233" s="161"/>
      <x:c r="V233" s="161"/>
      <x:c r="W233" s="161"/>
      <x:c r="X233" s="161"/>
      <x:c r="Y233" s="161"/>
      <x:c r="Z233" s="161"/>
    </x:row>
    <x:row r="234">
      <x:c r="A234" s="161"/>
      <x:c r="B234" s="161"/>
      <x:c r="C234" s="161"/>
      <x:c r="D234" s="161"/>
      <x:c r="E234" s="161"/>
      <x:c r="F234" s="161"/>
      <x:c r="G234" s="161"/>
      <x:c r="H234" s="161"/>
      <x:c r="I234" s="161"/>
      <x:c r="J234" s="161"/>
      <x:c r="K234" s="161"/>
      <x:c r="L234" s="161"/>
      <x:c r="M234" s="161"/>
      <x:c r="N234" s="161"/>
      <x:c r="O234" s="161"/>
      <x:c r="P234" s="161"/>
      <x:c r="Q234" s="161"/>
      <x:c r="R234" s="161"/>
      <x:c r="S234" s="161"/>
      <x:c r="T234" s="161"/>
      <x:c r="U234" s="161"/>
      <x:c r="V234" s="161"/>
      <x:c r="W234" s="161"/>
      <x:c r="X234" s="161"/>
      <x:c r="Y234" s="161"/>
      <x:c r="Z234" s="161"/>
    </x:row>
    <x:row r="235">
      <x:c r="A235" s="161"/>
      <x:c r="B235" s="161"/>
      <x:c r="C235" s="161"/>
      <x:c r="D235" s="161"/>
      <x:c r="E235" s="161"/>
      <x:c r="F235" s="161"/>
      <x:c r="G235" s="161"/>
      <x:c r="H235" s="161"/>
      <x:c r="I235" s="161"/>
      <x:c r="J235" s="161"/>
      <x:c r="K235" s="161"/>
      <x:c r="L235" s="161"/>
      <x:c r="M235" s="161"/>
      <x:c r="N235" s="161"/>
      <x:c r="O235" s="161"/>
      <x:c r="P235" s="161"/>
      <x:c r="Q235" s="161"/>
      <x:c r="R235" s="161"/>
      <x:c r="S235" s="161"/>
      <x:c r="T235" s="161"/>
      <x:c r="U235" s="161"/>
      <x:c r="V235" s="161"/>
      <x:c r="W235" s="161"/>
      <x:c r="X235" s="161"/>
      <x:c r="Y235" s="161"/>
      <x:c r="Z235" s="161"/>
    </x:row>
    <x:row r="236">
      <x:c r="A236" s="161"/>
      <x:c r="B236" s="161"/>
      <x:c r="C236" s="161"/>
      <x:c r="D236" s="161"/>
      <x:c r="E236" s="161"/>
      <x:c r="F236" s="161"/>
      <x:c r="G236" s="161"/>
      <x:c r="H236" s="161"/>
      <x:c r="I236" s="161"/>
      <x:c r="J236" s="161"/>
      <x:c r="K236" s="161"/>
      <x:c r="L236" s="161"/>
      <x:c r="M236" s="161"/>
      <x:c r="N236" s="161"/>
      <x:c r="O236" s="161"/>
      <x:c r="P236" s="161"/>
      <x:c r="Q236" s="161"/>
      <x:c r="R236" s="161"/>
      <x:c r="S236" s="161"/>
      <x:c r="T236" s="161"/>
      <x:c r="U236" s="161"/>
      <x:c r="V236" s="161"/>
      <x:c r="W236" s="161"/>
      <x:c r="X236" s="161"/>
      <x:c r="Y236" s="161"/>
      <x:c r="Z236" s="161"/>
    </x:row>
    <x:row r="237">
      <x:c r="A237" s="161"/>
      <x:c r="B237" s="161"/>
      <x:c r="C237" s="161"/>
      <x:c r="D237" s="161"/>
      <x:c r="E237" s="161"/>
      <x:c r="F237" s="161"/>
      <x:c r="G237" s="161"/>
      <x:c r="H237" s="161"/>
      <x:c r="I237" s="161"/>
      <x:c r="J237" s="161"/>
      <x:c r="K237" s="161"/>
      <x:c r="L237" s="161"/>
      <x:c r="M237" s="161"/>
      <x:c r="N237" s="161"/>
      <x:c r="O237" s="161"/>
      <x:c r="P237" s="161"/>
      <x:c r="Q237" s="161"/>
      <x:c r="R237" s="161"/>
      <x:c r="S237" s="161"/>
      <x:c r="T237" s="161"/>
      <x:c r="U237" s="161"/>
      <x:c r="V237" s="161"/>
      <x:c r="W237" s="161"/>
      <x:c r="X237" s="161"/>
      <x:c r="Y237" s="161"/>
      <x:c r="Z237" s="161"/>
    </x:row>
    <x:row r="238">
      <x:c r="A238" s="161"/>
      <x:c r="B238" s="161"/>
      <x:c r="C238" s="161"/>
      <x:c r="D238" s="161"/>
      <x:c r="E238" s="161"/>
      <x:c r="F238" s="161"/>
      <x:c r="G238" s="161"/>
      <x:c r="H238" s="161"/>
      <x:c r="I238" s="161"/>
      <x:c r="J238" s="161"/>
      <x:c r="K238" s="161"/>
      <x:c r="L238" s="161"/>
      <x:c r="M238" s="161"/>
      <x:c r="N238" s="161"/>
      <x:c r="O238" s="161"/>
      <x:c r="P238" s="161"/>
      <x:c r="Q238" s="161"/>
      <x:c r="R238" s="161"/>
      <x:c r="S238" s="161"/>
      <x:c r="T238" s="161"/>
      <x:c r="U238" s="161"/>
      <x:c r="V238" s="161"/>
      <x:c r="W238" s="161"/>
      <x:c r="X238" s="161"/>
      <x:c r="Y238" s="161"/>
      <x:c r="Z238" s="161"/>
    </x:row>
    <x:row r="239">
      <x:c r="A239" s="161"/>
      <x:c r="B239" s="161"/>
      <x:c r="C239" s="161"/>
      <x:c r="D239" s="161"/>
      <x:c r="E239" s="161"/>
      <x:c r="F239" s="161"/>
      <x:c r="G239" s="161"/>
      <x:c r="H239" s="161"/>
      <x:c r="I239" s="161"/>
      <x:c r="J239" s="161"/>
      <x:c r="K239" s="161"/>
      <x:c r="L239" s="161"/>
      <x:c r="M239" s="161"/>
      <x:c r="N239" s="161"/>
      <x:c r="O239" s="161"/>
      <x:c r="P239" s="161"/>
      <x:c r="Q239" s="161"/>
      <x:c r="R239" s="161"/>
      <x:c r="S239" s="161"/>
      <x:c r="T239" s="161"/>
      <x:c r="U239" s="161"/>
      <x:c r="V239" s="161"/>
      <x:c r="W239" s="161"/>
      <x:c r="X239" s="161"/>
      <x:c r="Y239" s="161"/>
      <x:c r="Z239" s="161"/>
    </x:row>
    <x:row r="240">
      <x:c r="A240" s="161"/>
      <x:c r="B240" s="161"/>
      <x:c r="C240" s="161"/>
      <x:c r="D240" s="161"/>
      <x:c r="E240" s="161"/>
      <x:c r="F240" s="161"/>
      <x:c r="G240" s="161"/>
      <x:c r="H240" s="161"/>
      <x:c r="I240" s="161"/>
      <x:c r="J240" s="161"/>
      <x:c r="K240" s="161"/>
      <x:c r="L240" s="161"/>
      <x:c r="M240" s="161"/>
      <x:c r="N240" s="161"/>
      <x:c r="O240" s="161"/>
      <x:c r="P240" s="161"/>
      <x:c r="Q240" s="161"/>
      <x:c r="R240" s="161"/>
      <x:c r="S240" s="161"/>
      <x:c r="T240" s="161"/>
      <x:c r="U240" s="161"/>
      <x:c r="V240" s="161"/>
      <x:c r="W240" s="161"/>
      <x:c r="X240" s="161"/>
      <x:c r="Y240" s="161"/>
      <x:c r="Z240" s="161"/>
    </x:row>
    <x:row r="241">
      <x:c r="A241" s="161"/>
      <x:c r="B241" s="161"/>
      <x:c r="C241" s="161"/>
      <x:c r="D241" s="161"/>
      <x:c r="E241" s="161"/>
      <x:c r="F241" s="161"/>
      <x:c r="G241" s="161"/>
      <x:c r="H241" s="161"/>
      <x:c r="I241" s="161"/>
      <x:c r="J241" s="161"/>
      <x:c r="K241" s="161"/>
      <x:c r="L241" s="161"/>
      <x:c r="M241" s="161"/>
      <x:c r="N241" s="161"/>
      <x:c r="O241" s="161"/>
      <x:c r="P241" s="161"/>
      <x:c r="Q241" s="161"/>
      <x:c r="R241" s="161"/>
      <x:c r="S241" s="161"/>
      <x:c r="T241" s="161"/>
      <x:c r="U241" s="161"/>
      <x:c r="V241" s="161"/>
      <x:c r="W241" s="161"/>
      <x:c r="X241" s="161"/>
      <x:c r="Y241" s="161"/>
      <x:c r="Z241" s="161"/>
    </x:row>
    <x:row r="242">
      <x:c r="A242" s="161"/>
      <x:c r="B242" s="161"/>
      <x:c r="C242" s="161"/>
      <x:c r="D242" s="161"/>
      <x:c r="E242" s="161"/>
      <x:c r="F242" s="161"/>
      <x:c r="G242" s="161"/>
      <x:c r="H242" s="161"/>
      <x:c r="I242" s="161"/>
      <x:c r="J242" s="161"/>
      <x:c r="K242" s="161"/>
      <x:c r="L242" s="161"/>
      <x:c r="M242" s="161"/>
      <x:c r="N242" s="161"/>
      <x:c r="O242" s="161"/>
      <x:c r="P242" s="161"/>
      <x:c r="Q242" s="161"/>
      <x:c r="R242" s="161"/>
      <x:c r="S242" s="161"/>
      <x:c r="T242" s="161"/>
      <x:c r="U242" s="161"/>
      <x:c r="V242" s="161"/>
      <x:c r="W242" s="161"/>
      <x:c r="X242" s="161"/>
      <x:c r="Y242" s="161"/>
      <x:c r="Z242" s="161"/>
    </x:row>
    <x:row r="243">
      <x:c r="A243" s="161"/>
      <x:c r="B243" s="161"/>
      <x:c r="C243" s="161"/>
      <x:c r="D243" s="161"/>
      <x:c r="E243" s="161"/>
      <x:c r="F243" s="161"/>
      <x:c r="G243" s="161"/>
      <x:c r="H243" s="161"/>
      <x:c r="I243" s="161"/>
      <x:c r="J243" s="161"/>
      <x:c r="K243" s="161"/>
      <x:c r="L243" s="161"/>
      <x:c r="M243" s="161"/>
      <x:c r="N243" s="161"/>
      <x:c r="O243" s="161"/>
      <x:c r="P243" s="161"/>
      <x:c r="Q243" s="161"/>
      <x:c r="R243" s="161"/>
      <x:c r="S243" s="161"/>
      <x:c r="T243" s="161"/>
      <x:c r="U243" s="161"/>
      <x:c r="V243" s="161"/>
      <x:c r="W243" s="161"/>
      <x:c r="X243" s="161"/>
      <x:c r="Y243" s="161"/>
      <x:c r="Z243" s="161"/>
    </x:row>
    <x:row r="244">
      <x:c r="A244" s="161"/>
      <x:c r="B244" s="161"/>
      <x:c r="C244" s="161"/>
      <x:c r="D244" s="161"/>
      <x:c r="E244" s="161"/>
      <x:c r="F244" s="161"/>
      <x:c r="G244" s="161"/>
      <x:c r="H244" s="161"/>
      <x:c r="I244" s="161"/>
      <x:c r="J244" s="161"/>
      <x:c r="K244" s="161"/>
      <x:c r="L244" s="161"/>
      <x:c r="M244" s="161"/>
      <x:c r="N244" s="161"/>
      <x:c r="O244" s="161"/>
      <x:c r="P244" s="161"/>
      <x:c r="Q244" s="161"/>
      <x:c r="R244" s="161"/>
      <x:c r="S244" s="161"/>
      <x:c r="T244" s="161"/>
      <x:c r="U244" s="161"/>
      <x:c r="V244" s="161"/>
      <x:c r="W244" s="161"/>
      <x:c r="X244" s="161"/>
      <x:c r="Y244" s="161"/>
      <x:c r="Z244" s="161"/>
    </x:row>
    <x:row r="245">
      <x:c r="A245" s="161"/>
      <x:c r="B245" s="161"/>
      <x:c r="C245" s="161"/>
      <x:c r="D245" s="161"/>
      <x:c r="E245" s="161"/>
      <x:c r="F245" s="161"/>
      <x:c r="G245" s="161"/>
      <x:c r="H245" s="161"/>
      <x:c r="I245" s="161"/>
      <x:c r="J245" s="161"/>
      <x:c r="K245" s="161"/>
      <x:c r="L245" s="161"/>
      <x:c r="M245" s="161"/>
      <x:c r="N245" s="161"/>
      <x:c r="O245" s="161"/>
      <x:c r="P245" s="161"/>
      <x:c r="Q245" s="161"/>
      <x:c r="R245" s="161"/>
      <x:c r="S245" s="161"/>
      <x:c r="T245" s="161"/>
      <x:c r="U245" s="161"/>
      <x:c r="V245" s="161"/>
      <x:c r="W245" s="161"/>
      <x:c r="X245" s="161"/>
      <x:c r="Y245" s="161"/>
      <x:c r="Z245" s="161"/>
    </x:row>
    <x:row r="246">
      <x:c r="A246" s="161"/>
      <x:c r="B246" s="161"/>
      <x:c r="C246" s="161"/>
      <x:c r="D246" s="161"/>
      <x:c r="E246" s="161"/>
      <x:c r="F246" s="161"/>
      <x:c r="G246" s="161"/>
      <x:c r="H246" s="161"/>
      <x:c r="I246" s="161"/>
      <x:c r="J246" s="161"/>
      <x:c r="K246" s="161"/>
      <x:c r="L246" s="161"/>
      <x:c r="M246" s="161"/>
      <x:c r="N246" s="161"/>
      <x:c r="O246" s="161"/>
      <x:c r="P246" s="161"/>
      <x:c r="Q246" s="161"/>
      <x:c r="R246" s="161"/>
      <x:c r="S246" s="161"/>
      <x:c r="T246" s="161"/>
      <x:c r="U246" s="161"/>
      <x:c r="V246" s="161"/>
      <x:c r="W246" s="161"/>
      <x:c r="X246" s="161"/>
      <x:c r="Y246" s="161"/>
      <x:c r="Z246" s="161"/>
    </x:row>
    <x:row r="247">
      <x:c r="A247" s="161"/>
      <x:c r="B247" s="161"/>
      <x:c r="C247" s="161"/>
      <x:c r="D247" s="161"/>
      <x:c r="E247" s="161"/>
      <x:c r="F247" s="161"/>
      <x:c r="G247" s="161"/>
      <x:c r="H247" s="161"/>
      <x:c r="I247" s="161"/>
      <x:c r="J247" s="161"/>
      <x:c r="K247" s="161"/>
      <x:c r="L247" s="161"/>
      <x:c r="M247" s="161"/>
      <x:c r="N247" s="161"/>
      <x:c r="O247" s="161"/>
      <x:c r="P247" s="161"/>
      <x:c r="Q247" s="161"/>
      <x:c r="R247" s="161"/>
      <x:c r="S247" s="161"/>
      <x:c r="T247" s="161"/>
      <x:c r="U247" s="161"/>
      <x:c r="V247" s="161"/>
      <x:c r="W247" s="161"/>
      <x:c r="X247" s="161"/>
      <x:c r="Y247" s="161"/>
      <x:c r="Z247" s="161"/>
    </x:row>
    <x:row r="248">
      <x:c r="A248" s="161"/>
      <x:c r="B248" s="161"/>
      <x:c r="C248" s="161"/>
      <x:c r="D248" s="161"/>
      <x:c r="E248" s="161"/>
      <x:c r="F248" s="161"/>
      <x:c r="G248" s="161"/>
      <x:c r="H248" s="161"/>
      <x:c r="I248" s="161"/>
      <x:c r="J248" s="161"/>
      <x:c r="K248" s="161"/>
      <x:c r="L248" s="161"/>
      <x:c r="M248" s="161"/>
      <x:c r="N248" s="161"/>
      <x:c r="O248" s="161"/>
      <x:c r="P248" s="161"/>
      <x:c r="Q248" s="161"/>
      <x:c r="R248" s="161"/>
      <x:c r="S248" s="161"/>
      <x:c r="T248" s="161"/>
      <x:c r="U248" s="161"/>
      <x:c r="V248" s="161"/>
      <x:c r="W248" s="161"/>
      <x:c r="X248" s="161"/>
      <x:c r="Y248" s="161"/>
      <x:c r="Z248" s="161"/>
    </x:row>
    <x:row r="249">
      <x:c r="A249" s="161"/>
      <x:c r="B249" s="161"/>
      <x:c r="C249" s="161"/>
      <x:c r="D249" s="161"/>
      <x:c r="E249" s="161"/>
      <x:c r="F249" s="161"/>
      <x:c r="G249" s="161"/>
      <x:c r="H249" s="161"/>
      <x:c r="I249" s="161"/>
      <x:c r="J249" s="161"/>
      <x:c r="K249" s="161"/>
      <x:c r="L249" s="161"/>
      <x:c r="M249" s="161"/>
      <x:c r="N249" s="161"/>
      <x:c r="O249" s="161"/>
      <x:c r="P249" s="161"/>
      <x:c r="Q249" s="161"/>
      <x:c r="R249" s="161"/>
      <x:c r="S249" s="161"/>
      <x:c r="T249" s="161"/>
      <x:c r="U249" s="161"/>
      <x:c r="V249" s="161"/>
      <x:c r="W249" s="161"/>
      <x:c r="X249" s="161"/>
      <x:c r="Y249" s="161"/>
      <x:c r="Z249" s="161"/>
    </x:row>
    <x:row r="250">
      <x:c r="A250" s="161"/>
      <x:c r="B250" s="161"/>
      <x:c r="C250" s="161"/>
      <x:c r="D250" s="161"/>
      <x:c r="E250" s="161"/>
      <x:c r="F250" s="161"/>
      <x:c r="G250" s="161"/>
      <x:c r="H250" s="161"/>
      <x:c r="I250" s="161"/>
      <x:c r="J250" s="161"/>
      <x:c r="K250" s="161"/>
      <x:c r="L250" s="161"/>
      <x:c r="M250" s="161"/>
      <x:c r="N250" s="161"/>
      <x:c r="O250" s="161"/>
      <x:c r="P250" s="161"/>
      <x:c r="Q250" s="161"/>
      <x:c r="R250" s="161"/>
      <x:c r="S250" s="161"/>
      <x:c r="T250" s="161"/>
      <x:c r="U250" s="161"/>
      <x:c r="V250" s="161"/>
      <x:c r="W250" s="161"/>
      <x:c r="X250" s="161"/>
      <x:c r="Y250" s="161"/>
      <x:c r="Z250" s="161"/>
    </x:row>
  </x:sheetData>
  <x:mergeCells>
    <x:mergeCell ref="A1:H1"/>
    <x:mergeCell ref="A2:H3"/>
    <x:mergeCell ref="I1:J1"/>
  </x:mergeCells>
  <x:conditionalFormatting sqref="I6:I200">
    <x:cfRule type="cellIs" dxfId="0" priority="1" operator="lessThan">
      <x:formula>0</x:formula>
    </x:cfRule>
  </x:conditionalFormatting>
  <x:dataValidations count="3">
    <x:dataValidation type="list" sqref="C6:C200">
      <x:formula1>'02 Config'!$D$6:$D$10</x:formula1>
    </x:dataValidation>
    <x:dataValidation type="list" sqref="G6:G200">
      <x:formula1>"Pendiente,En proceso,Completado,Cancelado"</x:formula1>
    </x:dataValidation>
    <x:dataValidation type="list" sqref="H6:H200">
      <x:formula1>'02 Config'!$J$19:$J$21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49d0763ebd4e6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4" hidden="0" customWidth="1"/>
    <x:col min="4" max="4" width="34" hidden="0" customWidth="1"/>
    <x:col min="5" max="5" width="20" hidden="0" customWidth="1"/>
    <x:col min="6" max="6" width="13" hidden="0" customWidth="1"/>
    <x:col min="7" max="7" width="16" hidden="0" customWidth="1"/>
    <x:col min="8" max="8" width="18" hidden="0" customWidth="1"/>
    <x:col min="9" max="9" width="14" hidden="0" customWidth="1"/>
    <x:col min="10" max="10" width="18" hidden="0" customWidth="1"/>
    <x:col min="11" max="11" width="18" hidden="0" customWidth="1"/>
    <x:col min="12" max="12" width="13" hidden="0" customWidth="1"/>
    <x:col min="13" max="13" width="34" hidden="0" customWidth="1"/>
  </x:cols>
  <x:sheetData>
    <x:row r="1" ht="42" customHeight="1">
      <x:c r="A1" s="45" t="str">
        <x:v>Oportunidades comerciales</x:v>
      </x:c>
      <x:c r="B1" s="160"/>
      <x:c r="C1" s="160"/>
      <x:c r="D1" s="160"/>
      <x:c r="E1" s="160"/>
      <x:c r="F1" s="160"/>
      <x:c r="G1" s="160"/>
      <x:c r="H1" s="160"/>
      <x:c r="I1" s="58" t="str">
        <x:v>PIPELINE</x:v>
      </x:c>
      <x:c r="J1" s="160"/>
      <x:c r="K1" s="160"/>
      <x:c r="L1" s="160"/>
      <x:c r="M1" s="160"/>
      <x:c r="N1" s="161"/>
      <x:c r="O1" s="161"/>
      <x:c r="P1" s="161"/>
      <x:c r="Q1" s="161"/>
      <x:c r="R1" s="161"/>
      <x:c r="S1" s="161"/>
      <x:c r="T1" s="161"/>
      <x:c r="U1" s="161"/>
      <x:c r="V1" s="161"/>
      <x:c r="W1" s="161"/>
      <x:c r="X1" s="161"/>
      <x:c r="Y1" s="161"/>
      <x:c r="Z1" s="161"/>
    </x:row>
    <x:row r="2">
      <x:c r="A2" s="166" t="str">
        <x:v>Controla el pipeline: etapa, probabilidad, valor estimado y cierre proyectado por oportunidad.</x:v>
      </x:c>
      <x:c r="B2" s="160"/>
      <x:c r="C2" s="160"/>
      <x:c r="D2" s="160"/>
      <x:c r="E2" s="160"/>
      <x:c r="F2" s="160"/>
      <x:c r="G2" s="160"/>
      <x:c r="H2" s="160"/>
      <x:c r="I2" s="160"/>
      <x:c r="J2" s="160"/>
      <x:c r="K2" s="160"/>
      <x:c r="L2" s="160"/>
      <x:c r="M2" s="160"/>
      <x:c r="N2" s="161"/>
      <x:c r="O2" s="161"/>
      <x:c r="P2" s="161"/>
      <x:c r="Q2" s="161"/>
      <x:c r="R2" s="161"/>
      <x:c r="S2" s="161"/>
      <x:c r="T2" s="161"/>
      <x:c r="U2" s="161"/>
      <x:c r="V2" s="161"/>
      <x:c r="W2" s="161"/>
      <x:c r="X2" s="161"/>
      <x:c r="Y2" s="161"/>
      <x:c r="Z2" s="161"/>
    </x:row>
    <x:row r="3">
      <x:c r="A3" s="160"/>
      <x:c r="B3" s="160"/>
      <x:c r="C3" s="160"/>
      <x:c r="D3" s="160"/>
      <x:c r="E3" s="160"/>
      <x:c r="F3" s="160"/>
      <x:c r="G3" s="160"/>
      <x:c r="H3" s="160"/>
      <x:c r="I3" s="160"/>
      <x:c r="J3" s="160"/>
      <x:c r="K3" s="160"/>
      <x:c r="L3" s="160"/>
      <x:c r="M3" s="160"/>
      <x:c r="N3" s="161"/>
      <x:c r="O3" s="161"/>
      <x:c r="P3" s="161"/>
      <x:c r="Q3" s="161"/>
      <x:c r="R3" s="161"/>
      <x:c r="S3" s="161"/>
      <x:c r="T3" s="161"/>
      <x:c r="U3" s="161"/>
      <x:c r="V3" s="161"/>
      <x:c r="W3" s="161"/>
      <x:c r="X3" s="161"/>
      <x:c r="Y3" s="161"/>
      <x:c r="Z3" s="161"/>
    </x:row>
    <x:row r="4">
      <x:c r="A4" s="160"/>
      <x:c r="B4" s="160"/>
      <x:c r="C4" s="160"/>
      <x:c r="D4" s="160"/>
      <x:c r="E4" s="160"/>
      <x:c r="F4" s="160"/>
      <x:c r="G4" s="160"/>
      <x:c r="H4" s="160"/>
      <x:c r="I4" s="160"/>
      <x:c r="J4" s="160"/>
      <x:c r="K4" s="160"/>
      <x:c r="L4" s="160"/>
      <x:c r="M4" s="160"/>
      <x:c r="N4" s="161"/>
      <x:c r="O4" s="161"/>
      <x:c r="P4" s="161"/>
      <x:c r="Q4" s="161"/>
      <x:c r="R4" s="161"/>
      <x:c r="S4" s="161"/>
      <x:c r="T4" s="161"/>
      <x:c r="U4" s="161"/>
      <x:c r="V4" s="161"/>
      <x:c r="W4" s="161"/>
      <x:c r="X4" s="161"/>
      <x:c r="Y4" s="161"/>
      <x:c r="Z4" s="161"/>
    </x:row>
    <x:row r="5">
      <x:c r="A5" s="65" t="str">
        <x:v>ID Oportunidad</x:v>
      </x:c>
      <x:c r="B5" s="65" t="str">
        <x:v>ID Cliente</x:v>
      </x:c>
      <x:c r="C5" s="65" t="str">
        <x:v>Cliente</x:v>
      </x:c>
      <x:c r="D5" s="65" t="str">
        <x:v>Producto / Servicio</x:v>
      </x:c>
      <x:c r="E5" s="65" t="str">
        <x:v>Etapa</x:v>
      </x:c>
      <x:c r="F5" s="65" t="str">
        <x:v>Probabilidad</x:v>
      </x:c>
      <x:c r="G5" s="65" t="str">
        <x:v>Valor estimado</x:v>
      </x:c>
      <x:c r="H5" s="65" t="str">
        <x:v>Valor ponderado</x:v>
      </x:c>
      <x:c r="I5" s="65" t="str">
        <x:v>Fecha creación</x:v>
      </x:c>
      <x:c r="J5" s="65" t="str">
        <x:v>Cierre proyectado</x:v>
      </x:c>
      <x:c r="K5" s="65" t="str">
        <x:v>Responsable</x:v>
      </x:c>
      <x:c r="L5" s="65" t="str">
        <x:v>Estatus</x:v>
      </x:c>
      <x:c r="M5" s="65" t="str">
        <x:v>Próximo paso</x:v>
      </x:c>
      <x:c r="N5" s="161"/>
      <x:c r="O5" s="161"/>
      <x:c r="P5" s="161"/>
      <x:c r="Q5" s="161"/>
      <x:c r="R5" s="161"/>
      <x:c r="S5" s="161"/>
      <x:c r="T5" s="161"/>
      <x:c r="U5" s="161"/>
      <x:c r="V5" s="161"/>
      <x:c r="W5" s="161"/>
      <x:c r="X5" s="161"/>
      <x:c r="Y5" s="161"/>
      <x:c r="Z5" s="161"/>
    </x:row>
    <x:row r="6">
      <x:c r="A6" s="129" t="str">
        <x:v>OPP-001</x:v>
      </x:c>
      <x:c r="B6" s="108" t="str">
        <x:v>CLI-001</x:v>
      </x:c>
      <x:c r="C6" s="129" t="str">
        <x:v>Clínica Dermalysse</x:v>
      </x:c>
      <x:c r="D6" s="108" t="str">
        <x:v>Sistema de citas y panel administrativo</x:v>
      </x:c>
      <x:c r="E6" s="108" t="str">
        <x:v>Propuesta enviada</x:v>
      </x:c>
      <x:c r="F6" s="132" t="n">
        <x:v>0.75</x:v>
      </x:c>
      <x:c r="G6" s="112" t="n">
        <x:v>85000</x:v>
      </x:c>
      <x:c r="H6" s="134" t="n">
        <x:f>IF(OR(F6="",G6=""),"",F6*G6)</x:f>
        <x:v>63750</x:v>
      </x:c>
      <x:c r="I6" s="124" t="n">
        <x:v>46143</x:v>
      </x:c>
      <x:c r="J6" s="124" t="n">
        <x:v>46170</x:v>
      </x:c>
      <x:c r="K6" s="108" t="str">
        <x:v>Ejecutivo 1</x:v>
      </x:c>
      <x:c r="L6" s="108" t="str">
        <x:v>Abierta</x:v>
      </x:c>
      <x:c r="M6" s="108" t="str">
        <x:v>Enviar propuesta final ajustada.</x:v>
      </x:c>
      <x:c r="N6" s="161"/>
      <x:c r="O6" s="161"/>
      <x:c r="P6" s="161"/>
      <x:c r="Q6" s="161"/>
      <x:c r="R6" s="161"/>
      <x:c r="S6" s="161"/>
      <x:c r="T6" s="161"/>
      <x:c r="U6" s="161"/>
      <x:c r="V6" s="161"/>
      <x:c r="W6" s="161"/>
      <x:c r="X6" s="161"/>
      <x:c r="Y6" s="161"/>
      <x:c r="Z6" s="161"/>
    </x:row>
    <x:row r="7">
      <x:c r="A7" s="129" t="str">
        <x:v>OPP-002</x:v>
      </x:c>
      <x:c r="B7" s="108" t="str">
        <x:v>CLI-002</x:v>
      </x:c>
      <x:c r="C7" s="129" t="str">
        <x:v>AgroMarket MX</x:v>
      </x:c>
      <x:c r="D7" s="108" t="str">
        <x:v>Landing page + CRM básico</x:v>
      </x:c>
      <x:c r="E7" s="108" t="str">
        <x:v>Diagnóstico</x:v>
      </x:c>
      <x:c r="F7" s="132" t="n">
        <x:v>0.5</x:v>
      </x:c>
      <x:c r="G7" s="112" t="n">
        <x:v>45000</x:v>
      </x:c>
      <x:c r="H7" s="134" t="n">
        <x:f>IF(OR(F7="",G7=""),"",F7*G7)</x:f>
        <x:v>22500</x:v>
      </x:c>
      <x:c r="I7" s="124" t="n">
        <x:v>46148</x:v>
      </x:c>
      <x:c r="J7" s="124" t="n">
        <x:v>46183</x:v>
      </x:c>
      <x:c r="K7" s="108" t="str">
        <x:v>Ejecutivo 2</x:v>
      </x:c>
      <x:c r="L7" s="108" t="str">
        <x:v>Abierta</x:v>
      </x:c>
      <x:c r="M7" s="108" t="str">
        <x:v>Presentar demo.</x:v>
      </x:c>
      <x:c r="N7" s="161"/>
      <x:c r="O7" s="161"/>
      <x:c r="P7" s="161"/>
      <x:c r="Q7" s="161"/>
      <x:c r="R7" s="161"/>
      <x:c r="S7" s="161"/>
      <x:c r="T7" s="161"/>
      <x:c r="U7" s="161"/>
      <x:c r="V7" s="161"/>
      <x:c r="W7" s="161"/>
      <x:c r="X7" s="161"/>
      <x:c r="Y7" s="161"/>
      <x:c r="Z7" s="161"/>
    </x:row>
    <x:row r="8">
      <x:c r="A8" s="129" t="str">
        <x:v>OPP-003</x:v>
      </x:c>
      <x:c r="B8" s="108" t="str">
        <x:v>CLI-003</x:v>
      </x:c>
      <x:c r="C8" s="129" t="str">
        <x:v>Consultoría Alfa</x:v>
      </x:c>
      <x:c r="D8" s="108" t="str">
        <x:v>SaaS de gestión de clientes</x:v>
      </x:c>
      <x:c r="E8" s="108" t="str">
        <x:v>Contactado</x:v>
      </x:c>
      <x:c r="F8" s="132" t="n">
        <x:v>0.25</x:v>
      </x:c>
      <x:c r="G8" s="112" t="n">
        <x:v>120000</x:v>
      </x:c>
      <x:c r="H8" s="134" t="n">
        <x:f>IF(OR(F8="",G8=""),"",F8*G8)</x:f>
        <x:v>30000</x:v>
      </x:c>
      <x:c r="I8" s="124" t="n">
        <x:v>46150</x:v>
      </x:c>
      <x:c r="J8" s="124" t="n">
        <x:v>46208</x:v>
      </x:c>
      <x:c r="K8" s="108" t="str">
        <x:v>Dirección Comercial</x:v>
      </x:c>
      <x:c r="L8" s="108" t="str">
        <x:v>Abierta</x:v>
      </x:c>
      <x:c r="M8" s="108" t="str">
        <x:v>Agendar diagnóstico.</x:v>
      </x:c>
      <x:c r="N8" s="161"/>
      <x:c r="O8" s="161"/>
      <x:c r="P8" s="161"/>
      <x:c r="Q8" s="161"/>
      <x:c r="R8" s="161"/>
      <x:c r="S8" s="161"/>
      <x:c r="T8" s="161"/>
      <x:c r="U8" s="161"/>
      <x:c r="V8" s="161"/>
      <x:c r="W8" s="161"/>
      <x:c r="X8" s="161"/>
      <x:c r="Y8" s="161"/>
      <x:c r="Z8" s="161"/>
    </x:row>
    <x:row r="9">
      <x:c r="A9" s="129" t="str">
        <x:f>IF(D9&lt;&gt;"","OPP-"&amp;TEXT(ROW()-5,"000"),"")</x:f>
      </x:c>
      <x:c r="B9" s="108"/>
      <x:c r="C9" s="129" t="str">
        <x:f>IFERROR(VLOOKUP(B9,'03 Clientes'!$A$6:$N$200,2,FALSE),"")</x:f>
      </x:c>
      <x:c r="D9" s="108"/>
      <x:c r="E9" s="108"/>
      <x:c r="F9" s="132"/>
      <x:c r="G9" s="112"/>
      <x:c r="H9" s="134" t="str">
        <x:f>IF(OR(F9="",G9=""),"",F9*G9)</x:f>
      </x:c>
      <x:c r="I9" s="124"/>
      <x:c r="J9" s="124"/>
      <x:c r="K9" s="108"/>
      <x:c r="L9" s="108"/>
      <x:c r="M9" s="108"/>
      <x:c r="N9" s="161"/>
      <x:c r="O9" s="161"/>
      <x:c r="P9" s="161"/>
      <x:c r="Q9" s="161"/>
      <x:c r="R9" s="161"/>
      <x:c r="S9" s="161"/>
      <x:c r="T9" s="161"/>
      <x:c r="U9" s="161"/>
      <x:c r="V9" s="161"/>
      <x:c r="W9" s="161"/>
      <x:c r="X9" s="161"/>
      <x:c r="Y9" s="161"/>
      <x:c r="Z9" s="161"/>
    </x:row>
    <x:row r="10">
      <x:c r="A10" s="129" t="str">
        <x:f>IF(D10&lt;&gt;"","OPP-"&amp;TEXT(ROW()-5,"000"),"")</x:f>
      </x:c>
      <x:c r="B10" s="108"/>
      <x:c r="C10" s="129" t="str">
        <x:f>IFERROR(VLOOKUP(B10,'03 Clientes'!$A$6:$N$200,2,FALSE),"")</x:f>
      </x:c>
      <x:c r="D10" s="108"/>
      <x:c r="E10" s="108"/>
      <x:c r="F10" s="132"/>
      <x:c r="G10" s="112"/>
      <x:c r="H10" s="134" t="str">
        <x:f>IF(OR(F10="",G10=""),"",F10*G10)</x:f>
      </x:c>
      <x:c r="I10" s="124"/>
      <x:c r="J10" s="124"/>
      <x:c r="K10" s="108"/>
      <x:c r="L10" s="108"/>
      <x:c r="M10" s="108"/>
      <x:c r="N10" s="161"/>
      <x:c r="O10" s="161"/>
      <x:c r="P10" s="161"/>
      <x:c r="Q10" s="161"/>
      <x:c r="R10" s="161"/>
      <x:c r="S10" s="161"/>
      <x:c r="T10" s="161"/>
      <x:c r="U10" s="161"/>
      <x:c r="V10" s="161"/>
      <x:c r="W10" s="161"/>
      <x:c r="X10" s="161"/>
      <x:c r="Y10" s="161"/>
      <x:c r="Z10" s="161"/>
    </x:row>
    <x:row r="11">
      <x:c r="A11" s="129" t="str">
        <x:f>IF(D11&lt;&gt;"","OPP-"&amp;TEXT(ROW()-5,"000"),"")</x:f>
      </x:c>
      <x:c r="B11" s="108"/>
      <x:c r="C11" s="129" t="str">
        <x:f>IFERROR(VLOOKUP(B11,'03 Clientes'!$A$6:$N$200,2,FALSE),"")</x:f>
      </x:c>
      <x:c r="D11" s="108"/>
      <x:c r="E11" s="108"/>
      <x:c r="F11" s="132"/>
      <x:c r="G11" s="112"/>
      <x:c r="H11" s="134" t="str">
        <x:f>IF(OR(F11="",G11=""),"",F11*G11)</x:f>
      </x:c>
      <x:c r="I11" s="124"/>
      <x:c r="J11" s="124"/>
      <x:c r="K11" s="108"/>
      <x:c r="L11" s="108"/>
      <x:c r="M11" s="108"/>
      <x:c r="N11" s="161"/>
      <x:c r="O11" s="161"/>
      <x:c r="P11" s="161"/>
      <x:c r="Q11" s="161"/>
      <x:c r="R11" s="161"/>
      <x:c r="S11" s="161"/>
      <x:c r="T11" s="161"/>
      <x:c r="U11" s="161"/>
      <x:c r="V11" s="161"/>
      <x:c r="W11" s="161"/>
      <x:c r="X11" s="161"/>
      <x:c r="Y11" s="161"/>
      <x:c r="Z11" s="161"/>
    </x:row>
    <x:row r="12">
      <x:c r="A12" s="129" t="str">
        <x:f>IF(D12&lt;&gt;"","OPP-"&amp;TEXT(ROW()-5,"000"),"")</x:f>
      </x:c>
      <x:c r="B12" s="108"/>
      <x:c r="C12" s="129" t="str">
        <x:f>IFERROR(VLOOKUP(B12,'03 Clientes'!$A$6:$N$200,2,FALSE),"")</x:f>
      </x:c>
      <x:c r="D12" s="108"/>
      <x:c r="E12" s="108"/>
      <x:c r="F12" s="132"/>
      <x:c r="G12" s="112"/>
      <x:c r="H12" s="134" t="str">
        <x:f>IF(OR(F12="",G12=""),"",F12*G12)</x:f>
      </x:c>
      <x:c r="I12" s="124"/>
      <x:c r="J12" s="124"/>
      <x:c r="K12" s="108"/>
      <x:c r="L12" s="108"/>
      <x:c r="M12" s="108"/>
      <x:c r="N12" s="161"/>
      <x:c r="O12" s="161"/>
      <x:c r="P12" s="161"/>
      <x:c r="Q12" s="161"/>
      <x:c r="R12" s="161"/>
      <x:c r="S12" s="161"/>
      <x:c r="T12" s="161"/>
      <x:c r="U12" s="161"/>
      <x:c r="V12" s="161"/>
      <x:c r="W12" s="161"/>
      <x:c r="X12" s="161"/>
      <x:c r="Y12" s="161"/>
      <x:c r="Z12" s="161"/>
    </x:row>
    <x:row r="13">
      <x:c r="A13" s="129" t="str">
        <x:f>IF(D13&lt;&gt;"","OPP-"&amp;TEXT(ROW()-5,"000"),"")</x:f>
      </x:c>
      <x:c r="B13" s="108"/>
      <x:c r="C13" s="129" t="str">
        <x:f>IFERROR(VLOOKUP(B13,'03 Clientes'!$A$6:$N$200,2,FALSE),"")</x:f>
      </x:c>
      <x:c r="D13" s="108"/>
      <x:c r="E13" s="108"/>
      <x:c r="F13" s="132"/>
      <x:c r="G13" s="112"/>
      <x:c r="H13" s="134" t="str">
        <x:f>IF(OR(F13="",G13=""),"",F13*G13)</x:f>
      </x:c>
      <x:c r="I13" s="124"/>
      <x:c r="J13" s="124"/>
      <x:c r="K13" s="108"/>
      <x:c r="L13" s="108"/>
      <x:c r="M13" s="108"/>
      <x:c r="N13" s="161"/>
      <x:c r="O13" s="161"/>
      <x:c r="P13" s="161"/>
      <x:c r="Q13" s="161"/>
      <x:c r="R13" s="161"/>
      <x:c r="S13" s="161"/>
      <x:c r="T13" s="161"/>
      <x:c r="U13" s="161"/>
      <x:c r="V13" s="161"/>
      <x:c r="W13" s="161"/>
      <x:c r="X13" s="161"/>
      <x:c r="Y13" s="161"/>
      <x:c r="Z13" s="161"/>
    </x:row>
    <x:row r="14">
      <x:c r="A14" s="129" t="str">
        <x:f>IF(D14&lt;&gt;"","OPP-"&amp;TEXT(ROW()-5,"000"),"")</x:f>
      </x:c>
      <x:c r="B14" s="108"/>
      <x:c r="C14" s="129" t="str">
        <x:f>IFERROR(VLOOKUP(B14,'03 Clientes'!$A$6:$N$200,2,FALSE),"")</x:f>
      </x:c>
      <x:c r="D14" s="108"/>
      <x:c r="E14" s="108"/>
      <x:c r="F14" s="132"/>
      <x:c r="G14" s="112"/>
      <x:c r="H14" s="134" t="str">
        <x:f>IF(OR(F14="",G14=""),"",F14*G14)</x:f>
      </x:c>
      <x:c r="I14" s="124"/>
      <x:c r="J14" s="124"/>
      <x:c r="K14" s="108"/>
      <x:c r="L14" s="108"/>
      <x:c r="M14" s="108"/>
      <x:c r="N14" s="161"/>
      <x:c r="O14" s="161"/>
      <x:c r="P14" s="161"/>
      <x:c r="Q14" s="161"/>
      <x:c r="R14" s="161"/>
      <x:c r="S14" s="161"/>
      <x:c r="T14" s="161"/>
      <x:c r="U14" s="161"/>
      <x:c r="V14" s="161"/>
      <x:c r="W14" s="161"/>
      <x:c r="X14" s="161"/>
      <x:c r="Y14" s="161"/>
      <x:c r="Z14" s="161"/>
    </x:row>
    <x:row r="15">
      <x:c r="A15" s="129" t="str">
        <x:f>IF(D15&lt;&gt;"","OPP-"&amp;TEXT(ROW()-5,"000"),"")</x:f>
      </x:c>
      <x:c r="B15" s="108"/>
      <x:c r="C15" s="129" t="str">
        <x:f>IFERROR(VLOOKUP(B15,'03 Clientes'!$A$6:$N$200,2,FALSE),"")</x:f>
      </x:c>
      <x:c r="D15" s="108"/>
      <x:c r="E15" s="108"/>
      <x:c r="F15" s="132"/>
      <x:c r="G15" s="112"/>
      <x:c r="H15" s="134" t="str">
        <x:f>IF(OR(F15="",G15=""),"",F15*G15)</x:f>
      </x:c>
      <x:c r="I15" s="124"/>
      <x:c r="J15" s="124"/>
      <x:c r="K15" s="108"/>
      <x:c r="L15" s="108"/>
      <x:c r="M15" s="108"/>
      <x:c r="N15" s="161"/>
      <x:c r="O15" s="161"/>
      <x:c r="P15" s="161"/>
      <x:c r="Q15" s="161"/>
      <x:c r="R15" s="161"/>
      <x:c r="S15" s="161"/>
      <x:c r="T15" s="161"/>
      <x:c r="U15" s="161"/>
      <x:c r="V15" s="161"/>
      <x:c r="W15" s="161"/>
      <x:c r="X15" s="161"/>
      <x:c r="Y15" s="161"/>
      <x:c r="Z15" s="161"/>
    </x:row>
    <x:row r="16">
      <x:c r="A16" s="129" t="str">
        <x:f>IF(D16&lt;&gt;"","OPP-"&amp;TEXT(ROW()-5,"000"),"")</x:f>
      </x:c>
      <x:c r="B16" s="108"/>
      <x:c r="C16" s="129" t="str">
        <x:f>IFERROR(VLOOKUP(B16,'03 Clientes'!$A$6:$N$200,2,FALSE),"")</x:f>
      </x:c>
      <x:c r="D16" s="108"/>
      <x:c r="E16" s="108"/>
      <x:c r="F16" s="132"/>
      <x:c r="G16" s="112"/>
      <x:c r="H16" s="134" t="str">
        <x:f>IF(OR(F16="",G16=""),"",F16*G16)</x:f>
      </x:c>
      <x:c r="I16" s="124"/>
      <x:c r="J16" s="124"/>
      <x:c r="K16" s="108"/>
      <x:c r="L16" s="108"/>
      <x:c r="M16" s="108"/>
      <x:c r="N16" s="161"/>
      <x:c r="O16" s="161"/>
      <x:c r="P16" s="161"/>
      <x:c r="Q16" s="161"/>
      <x:c r="R16" s="161"/>
      <x:c r="S16" s="161"/>
      <x:c r="T16" s="161"/>
      <x:c r="U16" s="161"/>
      <x:c r="V16" s="161"/>
      <x:c r="W16" s="161"/>
      <x:c r="X16" s="161"/>
      <x:c r="Y16" s="161"/>
      <x:c r="Z16" s="161"/>
    </x:row>
    <x:row r="17">
      <x:c r="A17" s="129" t="str">
        <x:f>IF(D17&lt;&gt;"","OPP-"&amp;TEXT(ROW()-5,"000"),"")</x:f>
      </x:c>
      <x:c r="B17" s="108"/>
      <x:c r="C17" s="129" t="str">
        <x:f>IFERROR(VLOOKUP(B17,'03 Clientes'!$A$6:$N$200,2,FALSE),"")</x:f>
      </x:c>
      <x:c r="D17" s="108"/>
      <x:c r="E17" s="108"/>
      <x:c r="F17" s="132"/>
      <x:c r="G17" s="112"/>
      <x:c r="H17" s="134" t="str">
        <x:f>IF(OR(F17="",G17=""),"",F17*G17)</x:f>
      </x:c>
      <x:c r="I17" s="124"/>
      <x:c r="J17" s="124"/>
      <x:c r="K17" s="108"/>
      <x:c r="L17" s="108"/>
      <x:c r="M17" s="108"/>
      <x:c r="N17" s="161"/>
      <x:c r="O17" s="161"/>
      <x:c r="P17" s="161"/>
      <x:c r="Q17" s="161"/>
      <x:c r="R17" s="161"/>
      <x:c r="S17" s="161"/>
      <x:c r="T17" s="161"/>
      <x:c r="U17" s="161"/>
      <x:c r="V17" s="161"/>
      <x:c r="W17" s="161"/>
      <x:c r="X17" s="161"/>
      <x:c r="Y17" s="161"/>
      <x:c r="Z17" s="161"/>
    </x:row>
    <x:row r="18">
      <x:c r="A18" s="129" t="str">
        <x:f>IF(D18&lt;&gt;"","OPP-"&amp;TEXT(ROW()-5,"000"),"")</x:f>
      </x:c>
      <x:c r="B18" s="108"/>
      <x:c r="C18" s="129" t="str">
        <x:f>IFERROR(VLOOKUP(B18,'03 Clientes'!$A$6:$N$200,2,FALSE),"")</x:f>
      </x:c>
      <x:c r="D18" s="108"/>
      <x:c r="E18" s="108"/>
      <x:c r="F18" s="132"/>
      <x:c r="G18" s="112"/>
      <x:c r="H18" s="134" t="str">
        <x:f>IF(OR(F18="",G18=""),"",F18*G18)</x:f>
      </x:c>
      <x:c r="I18" s="124"/>
      <x:c r="J18" s="124"/>
      <x:c r="K18" s="108"/>
      <x:c r="L18" s="108"/>
      <x:c r="M18" s="108"/>
      <x:c r="N18" s="161"/>
      <x:c r="O18" s="161"/>
      <x:c r="P18" s="161"/>
      <x:c r="Q18" s="161"/>
      <x:c r="R18" s="161"/>
      <x:c r="S18" s="161"/>
      <x:c r="T18" s="161"/>
      <x:c r="U18" s="161"/>
      <x:c r="V18" s="161"/>
      <x:c r="W18" s="161"/>
      <x:c r="X18" s="161"/>
      <x:c r="Y18" s="161"/>
      <x:c r="Z18" s="161"/>
    </x:row>
    <x:row r="19">
      <x:c r="A19" s="129" t="str">
        <x:f>IF(D19&lt;&gt;"","OPP-"&amp;TEXT(ROW()-5,"000"),"")</x:f>
      </x:c>
      <x:c r="B19" s="108"/>
      <x:c r="C19" s="129" t="str">
        <x:f>IFERROR(VLOOKUP(B19,'03 Clientes'!$A$6:$N$200,2,FALSE),"")</x:f>
      </x:c>
      <x:c r="D19" s="108"/>
      <x:c r="E19" s="108"/>
      <x:c r="F19" s="132"/>
      <x:c r="G19" s="112"/>
      <x:c r="H19" s="134" t="str">
        <x:f>IF(OR(F19="",G19=""),"",F19*G19)</x:f>
      </x:c>
      <x:c r="I19" s="124"/>
      <x:c r="J19" s="124"/>
      <x:c r="K19" s="108"/>
      <x:c r="L19" s="108"/>
      <x:c r="M19" s="108"/>
      <x:c r="N19" s="161"/>
      <x:c r="O19" s="161"/>
      <x:c r="P19" s="161"/>
      <x:c r="Q19" s="161"/>
      <x:c r="R19" s="161"/>
      <x:c r="S19" s="161"/>
      <x:c r="T19" s="161"/>
      <x:c r="U19" s="161"/>
      <x:c r="V19" s="161"/>
      <x:c r="W19" s="161"/>
      <x:c r="X19" s="161"/>
      <x:c r="Y19" s="161"/>
      <x:c r="Z19" s="161"/>
    </x:row>
    <x:row r="20">
      <x:c r="A20" s="129" t="str">
        <x:f>IF(D20&lt;&gt;"","OPP-"&amp;TEXT(ROW()-5,"000"),"")</x:f>
      </x:c>
      <x:c r="B20" s="108"/>
      <x:c r="C20" s="129" t="str">
        <x:f>IFERROR(VLOOKUP(B20,'03 Clientes'!$A$6:$N$200,2,FALSE),"")</x:f>
      </x:c>
      <x:c r="D20" s="108"/>
      <x:c r="E20" s="108"/>
      <x:c r="F20" s="132"/>
      <x:c r="G20" s="112"/>
      <x:c r="H20" s="134" t="str">
        <x:f>IF(OR(F20="",G20=""),"",F20*G20)</x:f>
      </x:c>
      <x:c r="I20" s="124"/>
      <x:c r="J20" s="124"/>
      <x:c r="K20" s="108"/>
      <x:c r="L20" s="108"/>
      <x:c r="M20" s="108"/>
      <x:c r="N20" s="161"/>
      <x:c r="O20" s="161"/>
      <x:c r="P20" s="161"/>
      <x:c r="Q20" s="161"/>
      <x:c r="R20" s="161"/>
      <x:c r="S20" s="161"/>
      <x:c r="T20" s="161"/>
      <x:c r="U20" s="161"/>
      <x:c r="V20" s="161"/>
      <x:c r="W20" s="161"/>
      <x:c r="X20" s="161"/>
      <x:c r="Y20" s="161"/>
      <x:c r="Z20" s="161"/>
    </x:row>
    <x:row r="21">
      <x:c r="A21" s="129" t="str">
        <x:f>IF(D21&lt;&gt;"","OPP-"&amp;TEXT(ROW()-5,"000"),"")</x:f>
      </x:c>
      <x:c r="B21" s="108"/>
      <x:c r="C21" s="129" t="str">
        <x:f>IFERROR(VLOOKUP(B21,'03 Clientes'!$A$6:$N$200,2,FALSE),"")</x:f>
      </x:c>
      <x:c r="D21" s="108"/>
      <x:c r="E21" s="108"/>
      <x:c r="F21" s="132"/>
      <x:c r="G21" s="112"/>
      <x:c r="H21" s="134" t="str">
        <x:f>IF(OR(F21="",G21=""),"",F21*G21)</x:f>
      </x:c>
      <x:c r="I21" s="124"/>
      <x:c r="J21" s="124"/>
      <x:c r="K21" s="108"/>
      <x:c r="L21" s="108"/>
      <x:c r="M21" s="108"/>
      <x:c r="N21" s="161"/>
      <x:c r="O21" s="161"/>
      <x:c r="P21" s="161"/>
      <x:c r="Q21" s="161"/>
      <x:c r="R21" s="161"/>
      <x:c r="S21" s="161"/>
      <x:c r="T21" s="161"/>
      <x:c r="U21" s="161"/>
      <x:c r="V21" s="161"/>
      <x:c r="W21" s="161"/>
      <x:c r="X21" s="161"/>
      <x:c r="Y21" s="161"/>
      <x:c r="Z21" s="161"/>
    </x:row>
    <x:row r="22">
      <x:c r="A22" s="129" t="str">
        <x:f>IF(D22&lt;&gt;"","OPP-"&amp;TEXT(ROW()-5,"000"),"")</x:f>
      </x:c>
      <x:c r="B22" s="108"/>
      <x:c r="C22" s="129" t="str">
        <x:f>IFERROR(VLOOKUP(B22,'03 Clientes'!$A$6:$N$200,2,FALSE),"")</x:f>
      </x:c>
      <x:c r="D22" s="108"/>
      <x:c r="E22" s="108"/>
      <x:c r="F22" s="132"/>
      <x:c r="G22" s="112"/>
      <x:c r="H22" s="134" t="str">
        <x:f>IF(OR(F22="",G22=""),"",F22*G22)</x:f>
      </x:c>
      <x:c r="I22" s="124"/>
      <x:c r="J22" s="124"/>
      <x:c r="K22" s="108"/>
      <x:c r="L22" s="108"/>
      <x:c r="M22" s="108"/>
      <x:c r="N22" s="161"/>
      <x:c r="O22" s="161"/>
      <x:c r="P22" s="161"/>
      <x:c r="Q22" s="161"/>
      <x:c r="R22" s="161"/>
      <x:c r="S22" s="161"/>
      <x:c r="T22" s="161"/>
      <x:c r="U22" s="161"/>
      <x:c r="V22" s="161"/>
      <x:c r="W22" s="161"/>
      <x:c r="X22" s="161"/>
      <x:c r="Y22" s="161"/>
      <x:c r="Z22" s="161"/>
    </x:row>
    <x:row r="23">
      <x:c r="A23" s="129" t="str">
        <x:f>IF(D23&lt;&gt;"","OPP-"&amp;TEXT(ROW()-5,"000"),"")</x:f>
      </x:c>
      <x:c r="B23" s="108"/>
      <x:c r="C23" s="129" t="str">
        <x:f>IFERROR(VLOOKUP(B23,'03 Clientes'!$A$6:$N$200,2,FALSE),"")</x:f>
      </x:c>
      <x:c r="D23" s="108"/>
      <x:c r="E23" s="108"/>
      <x:c r="F23" s="132"/>
      <x:c r="G23" s="112"/>
      <x:c r="H23" s="134" t="str">
        <x:f>IF(OR(F23="",G23=""),"",F23*G23)</x:f>
      </x:c>
      <x:c r="I23" s="124"/>
      <x:c r="J23" s="124"/>
      <x:c r="K23" s="108"/>
      <x:c r="L23" s="108"/>
      <x:c r="M23" s="108"/>
      <x:c r="N23" s="161"/>
      <x:c r="O23" s="161"/>
      <x:c r="P23" s="161"/>
      <x:c r="Q23" s="161"/>
      <x:c r="R23" s="161"/>
      <x:c r="S23" s="161"/>
      <x:c r="T23" s="161"/>
      <x:c r="U23" s="161"/>
      <x:c r="V23" s="161"/>
      <x:c r="W23" s="161"/>
      <x:c r="X23" s="161"/>
      <x:c r="Y23" s="161"/>
      <x:c r="Z23" s="161"/>
    </x:row>
    <x:row r="24">
      <x:c r="A24" s="129" t="str">
        <x:f>IF(D24&lt;&gt;"","OPP-"&amp;TEXT(ROW()-5,"000"),"")</x:f>
      </x:c>
      <x:c r="B24" s="108"/>
      <x:c r="C24" s="129" t="str">
        <x:f>IFERROR(VLOOKUP(B24,'03 Clientes'!$A$6:$N$200,2,FALSE),"")</x:f>
      </x:c>
      <x:c r="D24" s="108"/>
      <x:c r="E24" s="108"/>
      <x:c r="F24" s="132"/>
      <x:c r="G24" s="112"/>
      <x:c r="H24" s="134" t="str">
        <x:f>IF(OR(F24="",G24=""),"",F24*G24)</x:f>
      </x:c>
      <x:c r="I24" s="124"/>
      <x:c r="J24" s="124"/>
      <x:c r="K24" s="108"/>
      <x:c r="L24" s="108"/>
      <x:c r="M24" s="108"/>
      <x:c r="N24" s="161"/>
      <x:c r="O24" s="161"/>
      <x:c r="P24" s="161"/>
      <x:c r="Q24" s="161"/>
      <x:c r="R24" s="161"/>
      <x:c r="S24" s="161"/>
      <x:c r="T24" s="161"/>
      <x:c r="U24" s="161"/>
      <x:c r="V24" s="161"/>
      <x:c r="W24" s="161"/>
      <x:c r="X24" s="161"/>
      <x:c r="Y24" s="161"/>
      <x:c r="Z24" s="161"/>
    </x:row>
    <x:row r="25">
      <x:c r="A25" s="129" t="str">
        <x:f>IF(D25&lt;&gt;"","OPP-"&amp;TEXT(ROW()-5,"000"),"")</x:f>
      </x:c>
      <x:c r="B25" s="108"/>
      <x:c r="C25" s="129" t="str">
        <x:f>IFERROR(VLOOKUP(B25,'03 Clientes'!$A$6:$N$200,2,FALSE),"")</x:f>
      </x:c>
      <x:c r="D25" s="108"/>
      <x:c r="E25" s="108"/>
      <x:c r="F25" s="132"/>
      <x:c r="G25" s="112"/>
      <x:c r="H25" s="134" t="str">
        <x:f>IF(OR(F25="",G25=""),"",F25*G25)</x:f>
      </x:c>
      <x:c r="I25" s="124"/>
      <x:c r="J25" s="124"/>
      <x:c r="K25" s="108"/>
      <x:c r="L25" s="108"/>
      <x:c r="M25" s="108"/>
      <x:c r="N25" s="161"/>
      <x:c r="O25" s="161"/>
      <x:c r="P25" s="161"/>
      <x:c r="Q25" s="161"/>
      <x:c r="R25" s="161"/>
      <x:c r="S25" s="161"/>
      <x:c r="T25" s="161"/>
      <x:c r="U25" s="161"/>
      <x:c r="V25" s="161"/>
      <x:c r="W25" s="161"/>
      <x:c r="X25" s="161"/>
      <x:c r="Y25" s="161"/>
      <x:c r="Z25" s="161"/>
    </x:row>
    <x:row r="26">
      <x:c r="A26" s="129" t="str">
        <x:f>IF(D26&lt;&gt;"","OPP-"&amp;TEXT(ROW()-5,"000"),"")</x:f>
      </x:c>
      <x:c r="B26" s="108"/>
      <x:c r="C26" s="129" t="str">
        <x:f>IFERROR(VLOOKUP(B26,'03 Clientes'!$A$6:$N$200,2,FALSE),"")</x:f>
      </x:c>
      <x:c r="D26" s="108"/>
      <x:c r="E26" s="108"/>
      <x:c r="F26" s="132"/>
      <x:c r="G26" s="112"/>
      <x:c r="H26" s="134" t="str">
        <x:f>IF(OR(F26="",G26=""),"",F26*G26)</x:f>
      </x:c>
      <x:c r="I26" s="124"/>
      <x:c r="J26" s="124"/>
      <x:c r="K26" s="108"/>
      <x:c r="L26" s="108"/>
      <x:c r="M26" s="108"/>
      <x:c r="N26" s="161"/>
      <x:c r="O26" s="161"/>
      <x:c r="P26" s="161"/>
      <x:c r="Q26" s="161"/>
      <x:c r="R26" s="161"/>
      <x:c r="S26" s="161"/>
      <x:c r="T26" s="161"/>
      <x:c r="U26" s="161"/>
      <x:c r="V26" s="161"/>
      <x:c r="W26" s="161"/>
      <x:c r="X26" s="161"/>
      <x:c r="Y26" s="161"/>
      <x:c r="Z26" s="161"/>
    </x:row>
    <x:row r="27">
      <x:c r="A27" s="129" t="str">
        <x:f>IF(D27&lt;&gt;"","OPP-"&amp;TEXT(ROW()-5,"000"),"")</x:f>
      </x:c>
      <x:c r="B27" s="108"/>
      <x:c r="C27" s="129" t="str">
        <x:f>IFERROR(VLOOKUP(B27,'03 Clientes'!$A$6:$N$200,2,FALSE),"")</x:f>
      </x:c>
      <x:c r="D27" s="108"/>
      <x:c r="E27" s="108"/>
      <x:c r="F27" s="132"/>
      <x:c r="G27" s="112"/>
      <x:c r="H27" s="134" t="str">
        <x:f>IF(OR(F27="",G27=""),"",F27*G27)</x:f>
      </x:c>
      <x:c r="I27" s="124"/>
      <x:c r="J27" s="124"/>
      <x:c r="K27" s="108"/>
      <x:c r="L27" s="108"/>
      <x:c r="M27" s="108"/>
      <x:c r="N27" s="161"/>
      <x:c r="O27" s="161"/>
      <x:c r="P27" s="161"/>
      <x:c r="Q27" s="161"/>
      <x:c r="R27" s="161"/>
      <x:c r="S27" s="161"/>
      <x:c r="T27" s="161"/>
      <x:c r="U27" s="161"/>
      <x:c r="V27" s="161"/>
      <x:c r="W27" s="161"/>
      <x:c r="X27" s="161"/>
      <x:c r="Y27" s="161"/>
      <x:c r="Z27" s="161"/>
    </x:row>
    <x:row r="28">
      <x:c r="A28" s="129" t="str">
        <x:f>IF(D28&lt;&gt;"","OPP-"&amp;TEXT(ROW()-5,"000"),"")</x:f>
      </x:c>
      <x:c r="B28" s="108"/>
      <x:c r="C28" s="129" t="str">
        <x:f>IFERROR(VLOOKUP(B28,'03 Clientes'!$A$6:$N$200,2,FALSE),"")</x:f>
      </x:c>
      <x:c r="D28" s="108"/>
      <x:c r="E28" s="108"/>
      <x:c r="F28" s="132"/>
      <x:c r="G28" s="112"/>
      <x:c r="H28" s="134" t="str">
        <x:f>IF(OR(F28="",G28=""),"",F28*G28)</x:f>
      </x:c>
      <x:c r="I28" s="124"/>
      <x:c r="J28" s="124"/>
      <x:c r="K28" s="108"/>
      <x:c r="L28" s="108"/>
      <x:c r="M28" s="108"/>
      <x:c r="N28" s="161"/>
      <x:c r="O28" s="161"/>
      <x:c r="P28" s="161"/>
      <x:c r="Q28" s="161"/>
      <x:c r="R28" s="161"/>
      <x:c r="S28" s="161"/>
      <x:c r="T28" s="161"/>
      <x:c r="U28" s="161"/>
      <x:c r="V28" s="161"/>
      <x:c r="W28" s="161"/>
      <x:c r="X28" s="161"/>
      <x:c r="Y28" s="161"/>
      <x:c r="Z28" s="161"/>
    </x:row>
    <x:row r="29">
      <x:c r="A29" s="129" t="str">
        <x:f>IF(D29&lt;&gt;"","OPP-"&amp;TEXT(ROW()-5,"000"),"")</x:f>
      </x:c>
      <x:c r="B29" s="108"/>
      <x:c r="C29" s="129" t="str">
        <x:f>IFERROR(VLOOKUP(B29,'03 Clientes'!$A$6:$N$200,2,FALSE),"")</x:f>
      </x:c>
      <x:c r="D29" s="108"/>
      <x:c r="E29" s="108"/>
      <x:c r="F29" s="132"/>
      <x:c r="G29" s="112"/>
      <x:c r="H29" s="134" t="str">
        <x:f>IF(OR(F29="",G29=""),"",F29*G29)</x:f>
      </x:c>
      <x:c r="I29" s="124"/>
      <x:c r="J29" s="124"/>
      <x:c r="K29" s="108"/>
      <x:c r="L29" s="108"/>
      <x:c r="M29" s="108"/>
      <x:c r="N29" s="161"/>
      <x:c r="O29" s="161"/>
      <x:c r="P29" s="161"/>
      <x:c r="Q29" s="161"/>
      <x:c r="R29" s="161"/>
      <x:c r="S29" s="161"/>
      <x:c r="T29" s="161"/>
      <x:c r="U29" s="161"/>
      <x:c r="V29" s="161"/>
      <x:c r="W29" s="161"/>
      <x:c r="X29" s="161"/>
      <x:c r="Y29" s="161"/>
      <x:c r="Z29" s="161"/>
    </x:row>
    <x:row r="30">
      <x:c r="A30" s="129" t="str">
        <x:f>IF(D30&lt;&gt;"","OPP-"&amp;TEXT(ROW()-5,"000"),"")</x:f>
      </x:c>
      <x:c r="B30" s="108"/>
      <x:c r="C30" s="129" t="str">
        <x:f>IFERROR(VLOOKUP(B30,'03 Clientes'!$A$6:$N$200,2,FALSE),"")</x:f>
      </x:c>
      <x:c r="D30" s="108"/>
      <x:c r="E30" s="108"/>
      <x:c r="F30" s="132"/>
      <x:c r="G30" s="112"/>
      <x:c r="H30" s="134" t="str">
        <x:f>IF(OR(F30="",G30=""),"",F30*G30)</x:f>
      </x:c>
      <x:c r="I30" s="124"/>
      <x:c r="J30" s="124"/>
      <x:c r="K30" s="108"/>
      <x:c r="L30" s="108"/>
      <x:c r="M30" s="108"/>
      <x:c r="N30" s="161"/>
      <x:c r="O30" s="161"/>
      <x:c r="P30" s="161"/>
      <x:c r="Q30" s="161"/>
      <x:c r="R30" s="161"/>
      <x:c r="S30" s="161"/>
      <x:c r="T30" s="161"/>
      <x:c r="U30" s="161"/>
      <x:c r="V30" s="161"/>
      <x:c r="W30" s="161"/>
      <x:c r="X30" s="161"/>
      <x:c r="Y30" s="161"/>
      <x:c r="Z30" s="161"/>
    </x:row>
    <x:row r="31">
      <x:c r="A31" s="129" t="str">
        <x:f>IF(D31&lt;&gt;"","OPP-"&amp;TEXT(ROW()-5,"000"),"")</x:f>
      </x:c>
      <x:c r="B31" s="108"/>
      <x:c r="C31" s="129" t="str">
        <x:f>IFERROR(VLOOKUP(B31,'03 Clientes'!$A$6:$N$200,2,FALSE),"")</x:f>
      </x:c>
      <x:c r="D31" s="108"/>
      <x:c r="E31" s="108"/>
      <x:c r="F31" s="132"/>
      <x:c r="G31" s="112"/>
      <x:c r="H31" s="134" t="str">
        <x:f>IF(OR(F31="",G31=""),"",F31*G31)</x:f>
      </x:c>
      <x:c r="I31" s="124"/>
      <x:c r="J31" s="124"/>
      <x:c r="K31" s="108"/>
      <x:c r="L31" s="108"/>
      <x:c r="M31" s="108"/>
      <x:c r="N31" s="161"/>
      <x:c r="O31" s="161"/>
      <x:c r="P31" s="161"/>
      <x:c r="Q31" s="161"/>
      <x:c r="R31" s="161"/>
      <x:c r="S31" s="161"/>
      <x:c r="T31" s="161"/>
      <x:c r="U31" s="161"/>
      <x:c r="V31" s="161"/>
      <x:c r="W31" s="161"/>
      <x:c r="X31" s="161"/>
      <x:c r="Y31" s="161"/>
      <x:c r="Z31" s="161"/>
    </x:row>
    <x:row r="32">
      <x:c r="A32" s="129" t="str">
        <x:f>IF(D32&lt;&gt;"","OPP-"&amp;TEXT(ROW()-5,"000"),"")</x:f>
      </x:c>
      <x:c r="B32" s="108"/>
      <x:c r="C32" s="129" t="str">
        <x:f>IFERROR(VLOOKUP(B32,'03 Clientes'!$A$6:$N$200,2,FALSE),"")</x:f>
      </x:c>
      <x:c r="D32" s="108"/>
      <x:c r="E32" s="108"/>
      <x:c r="F32" s="132"/>
      <x:c r="G32" s="112"/>
      <x:c r="H32" s="134" t="str">
        <x:f>IF(OR(F32="",G32=""),"",F32*G32)</x:f>
      </x:c>
      <x:c r="I32" s="124"/>
      <x:c r="J32" s="124"/>
      <x:c r="K32" s="108"/>
      <x:c r="L32" s="108"/>
      <x:c r="M32" s="108"/>
      <x:c r="N32" s="161"/>
      <x:c r="O32" s="161"/>
      <x:c r="P32" s="161"/>
      <x:c r="Q32" s="161"/>
      <x:c r="R32" s="161"/>
      <x:c r="S32" s="161"/>
      <x:c r="T32" s="161"/>
      <x:c r="U32" s="161"/>
      <x:c r="V32" s="161"/>
      <x:c r="W32" s="161"/>
      <x:c r="X32" s="161"/>
      <x:c r="Y32" s="161"/>
      <x:c r="Z32" s="161"/>
    </x:row>
    <x:row r="33">
      <x:c r="A33" s="129" t="str">
        <x:f>IF(D33&lt;&gt;"","OPP-"&amp;TEXT(ROW()-5,"000"),"")</x:f>
      </x:c>
      <x:c r="B33" s="108"/>
      <x:c r="C33" s="129" t="str">
        <x:f>IFERROR(VLOOKUP(B33,'03 Clientes'!$A$6:$N$200,2,FALSE),"")</x:f>
      </x:c>
      <x:c r="D33" s="108"/>
      <x:c r="E33" s="108"/>
      <x:c r="F33" s="132"/>
      <x:c r="G33" s="112"/>
      <x:c r="H33" s="134" t="str">
        <x:f>IF(OR(F33="",G33=""),"",F33*G33)</x:f>
      </x:c>
      <x:c r="I33" s="124"/>
      <x:c r="J33" s="124"/>
      <x:c r="K33" s="108"/>
      <x:c r="L33" s="108"/>
      <x:c r="M33" s="108"/>
      <x:c r="N33" s="161"/>
      <x:c r="O33" s="161"/>
      <x:c r="P33" s="161"/>
      <x:c r="Q33" s="161"/>
      <x:c r="R33" s="161"/>
      <x:c r="S33" s="161"/>
      <x:c r="T33" s="161"/>
      <x:c r="U33" s="161"/>
      <x:c r="V33" s="161"/>
      <x:c r="W33" s="161"/>
      <x:c r="X33" s="161"/>
      <x:c r="Y33" s="161"/>
      <x:c r="Z33" s="161"/>
    </x:row>
    <x:row r="34">
      <x:c r="A34" s="129" t="str">
        <x:f>IF(D34&lt;&gt;"","OPP-"&amp;TEXT(ROW()-5,"000"),"")</x:f>
      </x:c>
      <x:c r="B34" s="108"/>
      <x:c r="C34" s="129" t="str">
        <x:f>IFERROR(VLOOKUP(B34,'03 Clientes'!$A$6:$N$200,2,FALSE),"")</x:f>
      </x:c>
      <x:c r="D34" s="108"/>
      <x:c r="E34" s="108"/>
      <x:c r="F34" s="132"/>
      <x:c r="G34" s="112"/>
      <x:c r="H34" s="134" t="str">
        <x:f>IF(OR(F34="",G34=""),"",F34*G34)</x:f>
      </x:c>
      <x:c r="I34" s="124"/>
      <x:c r="J34" s="124"/>
      <x:c r="K34" s="108"/>
      <x:c r="L34" s="108"/>
      <x:c r="M34" s="108"/>
      <x:c r="N34" s="161"/>
      <x:c r="O34" s="161"/>
      <x:c r="P34" s="161"/>
      <x:c r="Q34" s="161"/>
      <x:c r="R34" s="161"/>
      <x:c r="S34" s="161"/>
      <x:c r="T34" s="161"/>
      <x:c r="U34" s="161"/>
      <x:c r="V34" s="161"/>
      <x:c r="W34" s="161"/>
      <x:c r="X34" s="161"/>
      <x:c r="Y34" s="161"/>
      <x:c r="Z34" s="161"/>
    </x:row>
    <x:row r="35">
      <x:c r="A35" s="129" t="str">
        <x:f>IF(D35&lt;&gt;"","OPP-"&amp;TEXT(ROW()-5,"000"),"")</x:f>
      </x:c>
      <x:c r="B35" s="108"/>
      <x:c r="C35" s="129" t="str">
        <x:f>IFERROR(VLOOKUP(B35,'03 Clientes'!$A$6:$N$200,2,FALSE),"")</x:f>
      </x:c>
      <x:c r="D35" s="108"/>
      <x:c r="E35" s="108"/>
      <x:c r="F35" s="132"/>
      <x:c r="G35" s="112"/>
      <x:c r="H35" s="134" t="str">
        <x:f>IF(OR(F35="",G35=""),"",F35*G35)</x:f>
      </x:c>
      <x:c r="I35" s="124"/>
      <x:c r="J35" s="124"/>
      <x:c r="K35" s="108"/>
      <x:c r="L35" s="108"/>
      <x:c r="M35" s="108"/>
      <x:c r="N35" s="161"/>
      <x:c r="O35" s="161"/>
      <x:c r="P35" s="161"/>
      <x:c r="Q35" s="161"/>
      <x:c r="R35" s="161"/>
      <x:c r="S35" s="161"/>
      <x:c r="T35" s="161"/>
      <x:c r="U35" s="161"/>
      <x:c r="V35" s="161"/>
      <x:c r="W35" s="161"/>
      <x:c r="X35" s="161"/>
      <x:c r="Y35" s="161"/>
      <x:c r="Z35" s="161"/>
    </x:row>
    <x:row r="36">
      <x:c r="A36" s="129" t="str">
        <x:f>IF(D36&lt;&gt;"","OPP-"&amp;TEXT(ROW()-5,"000"),"")</x:f>
      </x:c>
      <x:c r="B36" s="108"/>
      <x:c r="C36" s="129" t="str">
        <x:f>IFERROR(VLOOKUP(B36,'03 Clientes'!$A$6:$N$200,2,FALSE),"")</x:f>
      </x:c>
      <x:c r="D36" s="108"/>
      <x:c r="E36" s="108"/>
      <x:c r="F36" s="132"/>
      <x:c r="G36" s="112"/>
      <x:c r="H36" s="134" t="str">
        <x:f>IF(OR(F36="",G36=""),"",F36*G36)</x:f>
      </x:c>
      <x:c r="I36" s="124"/>
      <x:c r="J36" s="124"/>
      <x:c r="K36" s="108"/>
      <x:c r="L36" s="108"/>
      <x:c r="M36" s="108"/>
      <x:c r="N36" s="161"/>
      <x:c r="O36" s="161"/>
      <x:c r="P36" s="161"/>
      <x:c r="Q36" s="161"/>
      <x:c r="R36" s="161"/>
      <x:c r="S36" s="161"/>
      <x:c r="T36" s="161"/>
      <x:c r="U36" s="161"/>
      <x:c r="V36" s="161"/>
      <x:c r="W36" s="161"/>
      <x:c r="X36" s="161"/>
      <x:c r="Y36" s="161"/>
      <x:c r="Z36" s="161"/>
    </x:row>
    <x:row r="37">
      <x:c r="A37" s="129" t="str">
        <x:f>IF(D37&lt;&gt;"","OPP-"&amp;TEXT(ROW()-5,"000"),"")</x:f>
      </x:c>
      <x:c r="B37" s="108"/>
      <x:c r="C37" s="129" t="str">
        <x:f>IFERROR(VLOOKUP(B37,'03 Clientes'!$A$6:$N$200,2,FALSE),"")</x:f>
      </x:c>
      <x:c r="D37" s="108"/>
      <x:c r="E37" s="108"/>
      <x:c r="F37" s="132"/>
      <x:c r="G37" s="112"/>
      <x:c r="H37" s="134" t="str">
        <x:f>IF(OR(F37="",G37=""),"",F37*G37)</x:f>
      </x:c>
      <x:c r="I37" s="124"/>
      <x:c r="J37" s="124"/>
      <x:c r="K37" s="108"/>
      <x:c r="L37" s="108"/>
      <x:c r="M37" s="108"/>
      <x:c r="N37" s="161"/>
      <x:c r="O37" s="161"/>
      <x:c r="P37" s="161"/>
      <x:c r="Q37" s="161"/>
      <x:c r="R37" s="161"/>
      <x:c r="S37" s="161"/>
      <x:c r="T37" s="161"/>
      <x:c r="U37" s="161"/>
      <x:c r="V37" s="161"/>
      <x:c r="W37" s="161"/>
      <x:c r="X37" s="161"/>
      <x:c r="Y37" s="161"/>
      <x:c r="Z37" s="161"/>
    </x:row>
    <x:row r="38">
      <x:c r="A38" s="129" t="str">
        <x:f>IF(D38&lt;&gt;"","OPP-"&amp;TEXT(ROW()-5,"000"),"")</x:f>
      </x:c>
      <x:c r="B38" s="108"/>
      <x:c r="C38" s="129" t="str">
        <x:f>IFERROR(VLOOKUP(B38,'03 Clientes'!$A$6:$N$200,2,FALSE),"")</x:f>
      </x:c>
      <x:c r="D38" s="108"/>
      <x:c r="E38" s="108"/>
      <x:c r="F38" s="132"/>
      <x:c r="G38" s="112"/>
      <x:c r="H38" s="134" t="str">
        <x:f>IF(OR(F38="",G38=""),"",F38*G38)</x:f>
      </x:c>
      <x:c r="I38" s="124"/>
      <x:c r="J38" s="124"/>
      <x:c r="K38" s="108"/>
      <x:c r="L38" s="108"/>
      <x:c r="M38" s="108"/>
      <x:c r="N38" s="161"/>
      <x:c r="O38" s="161"/>
      <x:c r="P38" s="161"/>
      <x:c r="Q38" s="161"/>
      <x:c r="R38" s="161"/>
      <x:c r="S38" s="161"/>
      <x:c r="T38" s="161"/>
      <x:c r="U38" s="161"/>
      <x:c r="V38" s="161"/>
      <x:c r="W38" s="161"/>
      <x:c r="X38" s="161"/>
      <x:c r="Y38" s="161"/>
      <x:c r="Z38" s="161"/>
    </x:row>
    <x:row r="39">
      <x:c r="A39" s="129" t="str">
        <x:f>IF(D39&lt;&gt;"","OPP-"&amp;TEXT(ROW()-5,"000"),"")</x:f>
      </x:c>
      <x:c r="B39" s="108"/>
      <x:c r="C39" s="129" t="str">
        <x:f>IFERROR(VLOOKUP(B39,'03 Clientes'!$A$6:$N$200,2,FALSE),"")</x:f>
      </x:c>
      <x:c r="D39" s="108"/>
      <x:c r="E39" s="108"/>
      <x:c r="F39" s="132"/>
      <x:c r="G39" s="112"/>
      <x:c r="H39" s="134" t="str">
        <x:f>IF(OR(F39="",G39=""),"",F39*G39)</x:f>
      </x:c>
      <x:c r="I39" s="124"/>
      <x:c r="J39" s="124"/>
      <x:c r="K39" s="108"/>
      <x:c r="L39" s="108"/>
      <x:c r="M39" s="108"/>
      <x:c r="N39" s="161"/>
      <x:c r="O39" s="161"/>
      <x:c r="P39" s="161"/>
      <x:c r="Q39" s="161"/>
      <x:c r="R39" s="161"/>
      <x:c r="S39" s="161"/>
      <x:c r="T39" s="161"/>
      <x:c r="U39" s="161"/>
      <x:c r="V39" s="161"/>
      <x:c r="W39" s="161"/>
      <x:c r="X39" s="161"/>
      <x:c r="Y39" s="161"/>
      <x:c r="Z39" s="161"/>
    </x:row>
    <x:row r="40">
      <x:c r="A40" s="129" t="str">
        <x:f>IF(D40&lt;&gt;"","OPP-"&amp;TEXT(ROW()-5,"000"),"")</x:f>
      </x:c>
      <x:c r="B40" s="108"/>
      <x:c r="C40" s="129" t="str">
        <x:f>IFERROR(VLOOKUP(B40,'03 Clientes'!$A$6:$N$200,2,FALSE),"")</x:f>
      </x:c>
      <x:c r="D40" s="108"/>
      <x:c r="E40" s="108"/>
      <x:c r="F40" s="132"/>
      <x:c r="G40" s="112"/>
      <x:c r="H40" s="134" t="str">
        <x:f>IF(OR(F40="",G40=""),"",F40*G40)</x:f>
      </x:c>
      <x:c r="I40" s="124"/>
      <x:c r="J40" s="124"/>
      <x:c r="K40" s="108"/>
      <x:c r="L40" s="108"/>
      <x:c r="M40" s="108"/>
      <x:c r="N40" s="161"/>
      <x:c r="O40" s="161"/>
      <x:c r="P40" s="161"/>
      <x:c r="Q40" s="161"/>
      <x:c r="R40" s="161"/>
      <x:c r="S40" s="161"/>
      <x:c r="T40" s="161"/>
      <x:c r="U40" s="161"/>
      <x:c r="V40" s="161"/>
      <x:c r="W40" s="161"/>
      <x:c r="X40" s="161"/>
      <x:c r="Y40" s="161"/>
      <x:c r="Z40" s="161"/>
    </x:row>
    <x:row r="41">
      <x:c r="A41" s="129" t="str">
        <x:f>IF(D41&lt;&gt;"","OPP-"&amp;TEXT(ROW()-5,"000"),"")</x:f>
      </x:c>
      <x:c r="B41" s="108"/>
      <x:c r="C41" s="129" t="str">
        <x:f>IFERROR(VLOOKUP(B41,'03 Clientes'!$A$6:$N$200,2,FALSE),"")</x:f>
      </x:c>
      <x:c r="D41" s="108"/>
      <x:c r="E41" s="108"/>
      <x:c r="F41" s="132"/>
      <x:c r="G41" s="112"/>
      <x:c r="H41" s="134" t="str">
        <x:f>IF(OR(F41="",G41=""),"",F41*G41)</x:f>
      </x:c>
      <x:c r="I41" s="124"/>
      <x:c r="J41" s="124"/>
      <x:c r="K41" s="108"/>
      <x:c r="L41" s="108"/>
      <x:c r="M41" s="108"/>
      <x:c r="N41" s="161"/>
      <x:c r="O41" s="161"/>
      <x:c r="P41" s="161"/>
      <x:c r="Q41" s="161"/>
      <x:c r="R41" s="161"/>
      <x:c r="S41" s="161"/>
      <x:c r="T41" s="161"/>
      <x:c r="U41" s="161"/>
      <x:c r="V41" s="161"/>
      <x:c r="W41" s="161"/>
      <x:c r="X41" s="161"/>
      <x:c r="Y41" s="161"/>
      <x:c r="Z41" s="161"/>
    </x:row>
    <x:row r="42">
      <x:c r="A42" s="129" t="str">
        <x:f>IF(D42&lt;&gt;"","OPP-"&amp;TEXT(ROW()-5,"000"),"")</x:f>
      </x:c>
      <x:c r="B42" s="108"/>
      <x:c r="C42" s="129" t="str">
        <x:f>IFERROR(VLOOKUP(B42,'03 Clientes'!$A$6:$N$200,2,FALSE),"")</x:f>
      </x:c>
      <x:c r="D42" s="108"/>
      <x:c r="E42" s="108"/>
      <x:c r="F42" s="132"/>
      <x:c r="G42" s="112"/>
      <x:c r="H42" s="134" t="str">
        <x:f>IF(OR(F42="",G42=""),"",F42*G42)</x:f>
      </x:c>
      <x:c r="I42" s="124"/>
      <x:c r="J42" s="124"/>
      <x:c r="K42" s="108"/>
      <x:c r="L42" s="108"/>
      <x:c r="M42" s="108"/>
      <x:c r="N42" s="161"/>
      <x:c r="O42" s="161"/>
      <x:c r="P42" s="161"/>
      <x:c r="Q42" s="161"/>
      <x:c r="R42" s="161"/>
      <x:c r="S42" s="161"/>
      <x:c r="T42" s="161"/>
      <x:c r="U42" s="161"/>
      <x:c r="V42" s="161"/>
      <x:c r="W42" s="161"/>
      <x:c r="X42" s="161"/>
      <x:c r="Y42" s="161"/>
      <x:c r="Z42" s="161"/>
    </x:row>
    <x:row r="43">
      <x:c r="A43" s="129" t="str">
        <x:f>IF(D43&lt;&gt;"","OPP-"&amp;TEXT(ROW()-5,"000"),"")</x:f>
      </x:c>
      <x:c r="B43" s="108"/>
      <x:c r="C43" s="129" t="str">
        <x:f>IFERROR(VLOOKUP(B43,'03 Clientes'!$A$6:$N$200,2,FALSE),"")</x:f>
      </x:c>
      <x:c r="D43" s="108"/>
      <x:c r="E43" s="108"/>
      <x:c r="F43" s="132"/>
      <x:c r="G43" s="112"/>
      <x:c r="H43" s="134" t="str">
        <x:f>IF(OR(F43="",G43=""),"",F43*G43)</x:f>
      </x:c>
      <x:c r="I43" s="124"/>
      <x:c r="J43" s="124"/>
      <x:c r="K43" s="108"/>
      <x:c r="L43" s="108"/>
      <x:c r="M43" s="108"/>
      <x:c r="N43" s="161"/>
      <x:c r="O43" s="161"/>
      <x:c r="P43" s="161"/>
      <x:c r="Q43" s="161"/>
      <x:c r="R43" s="161"/>
      <x:c r="S43" s="161"/>
      <x:c r="T43" s="161"/>
      <x:c r="U43" s="161"/>
      <x:c r="V43" s="161"/>
      <x:c r="W43" s="161"/>
      <x:c r="X43" s="161"/>
      <x:c r="Y43" s="161"/>
      <x:c r="Z43" s="161"/>
    </x:row>
    <x:row r="44">
      <x:c r="A44" s="129" t="str">
        <x:f>IF(D44&lt;&gt;"","OPP-"&amp;TEXT(ROW()-5,"000"),"")</x:f>
      </x:c>
      <x:c r="B44" s="108"/>
      <x:c r="C44" s="129" t="str">
        <x:f>IFERROR(VLOOKUP(B44,'03 Clientes'!$A$6:$N$200,2,FALSE),"")</x:f>
      </x:c>
      <x:c r="D44" s="108"/>
      <x:c r="E44" s="108"/>
      <x:c r="F44" s="132"/>
      <x:c r="G44" s="112"/>
      <x:c r="H44" s="134" t="str">
        <x:f>IF(OR(F44="",G44=""),"",F44*G44)</x:f>
      </x:c>
      <x:c r="I44" s="124"/>
      <x:c r="J44" s="124"/>
      <x:c r="K44" s="108"/>
      <x:c r="L44" s="108"/>
      <x:c r="M44" s="108"/>
      <x:c r="N44" s="161"/>
      <x:c r="O44" s="161"/>
      <x:c r="P44" s="161"/>
      <x:c r="Q44" s="161"/>
      <x:c r="R44" s="161"/>
      <x:c r="S44" s="161"/>
      <x:c r="T44" s="161"/>
      <x:c r="U44" s="161"/>
      <x:c r="V44" s="161"/>
      <x:c r="W44" s="161"/>
      <x:c r="X44" s="161"/>
      <x:c r="Y44" s="161"/>
      <x:c r="Z44" s="161"/>
    </x:row>
    <x:row r="45">
      <x:c r="A45" s="129" t="str">
        <x:f>IF(D45&lt;&gt;"","OPP-"&amp;TEXT(ROW()-5,"000"),"")</x:f>
      </x:c>
      <x:c r="B45" s="108"/>
      <x:c r="C45" s="129" t="str">
        <x:f>IFERROR(VLOOKUP(B45,'03 Clientes'!$A$6:$N$200,2,FALSE),"")</x:f>
      </x:c>
      <x:c r="D45" s="108"/>
      <x:c r="E45" s="108"/>
      <x:c r="F45" s="132"/>
      <x:c r="G45" s="112"/>
      <x:c r="H45" s="134" t="str">
        <x:f>IF(OR(F45="",G45=""),"",F45*G45)</x:f>
      </x:c>
      <x:c r="I45" s="124"/>
      <x:c r="J45" s="124"/>
      <x:c r="K45" s="108"/>
      <x:c r="L45" s="108"/>
      <x:c r="M45" s="108"/>
      <x:c r="N45" s="161"/>
      <x:c r="O45" s="161"/>
      <x:c r="P45" s="161"/>
      <x:c r="Q45" s="161"/>
      <x:c r="R45" s="161"/>
      <x:c r="S45" s="161"/>
      <x:c r="T45" s="161"/>
      <x:c r="U45" s="161"/>
      <x:c r="V45" s="161"/>
      <x:c r="W45" s="161"/>
      <x:c r="X45" s="161"/>
      <x:c r="Y45" s="161"/>
      <x:c r="Z45" s="161"/>
    </x:row>
    <x:row r="46">
      <x:c r="A46" s="129" t="str">
        <x:f>IF(D46&lt;&gt;"","OPP-"&amp;TEXT(ROW()-5,"000"),"")</x:f>
      </x:c>
      <x:c r="B46" s="108"/>
      <x:c r="C46" s="129" t="str">
        <x:f>IFERROR(VLOOKUP(B46,'03 Clientes'!$A$6:$N$200,2,FALSE),"")</x:f>
      </x:c>
      <x:c r="D46" s="108"/>
      <x:c r="E46" s="108"/>
      <x:c r="F46" s="132"/>
      <x:c r="G46" s="112"/>
      <x:c r="H46" s="134" t="str">
        <x:f>IF(OR(F46="",G46=""),"",F46*G46)</x:f>
      </x:c>
      <x:c r="I46" s="124"/>
      <x:c r="J46" s="124"/>
      <x:c r="K46" s="108"/>
      <x:c r="L46" s="108"/>
      <x:c r="M46" s="108"/>
      <x:c r="N46" s="161"/>
      <x:c r="O46" s="161"/>
      <x:c r="P46" s="161"/>
      <x:c r="Q46" s="161"/>
      <x:c r="R46" s="161"/>
      <x:c r="S46" s="161"/>
      <x:c r="T46" s="161"/>
      <x:c r="U46" s="161"/>
      <x:c r="V46" s="161"/>
      <x:c r="W46" s="161"/>
      <x:c r="X46" s="161"/>
      <x:c r="Y46" s="161"/>
      <x:c r="Z46" s="161"/>
    </x:row>
    <x:row r="47">
      <x:c r="A47" s="129" t="str">
        <x:f>IF(D47&lt;&gt;"","OPP-"&amp;TEXT(ROW()-5,"000"),"")</x:f>
      </x:c>
      <x:c r="B47" s="108"/>
      <x:c r="C47" s="129" t="str">
        <x:f>IFERROR(VLOOKUP(B47,'03 Clientes'!$A$6:$N$200,2,FALSE),"")</x:f>
      </x:c>
      <x:c r="D47" s="108"/>
      <x:c r="E47" s="108"/>
      <x:c r="F47" s="132"/>
      <x:c r="G47" s="112"/>
      <x:c r="H47" s="134" t="str">
        <x:f>IF(OR(F47="",G47=""),"",F47*G47)</x:f>
      </x:c>
      <x:c r="I47" s="124"/>
      <x:c r="J47" s="124"/>
      <x:c r="K47" s="108"/>
      <x:c r="L47" s="108"/>
      <x:c r="M47" s="108"/>
      <x:c r="N47" s="161"/>
      <x:c r="O47" s="161"/>
      <x:c r="P47" s="161"/>
      <x:c r="Q47" s="161"/>
      <x:c r="R47" s="161"/>
      <x:c r="S47" s="161"/>
      <x:c r="T47" s="161"/>
      <x:c r="U47" s="161"/>
      <x:c r="V47" s="161"/>
      <x:c r="W47" s="161"/>
      <x:c r="X47" s="161"/>
      <x:c r="Y47" s="161"/>
      <x:c r="Z47" s="161"/>
    </x:row>
    <x:row r="48">
      <x:c r="A48" s="129" t="str">
        <x:f>IF(D48&lt;&gt;"","OPP-"&amp;TEXT(ROW()-5,"000"),"")</x:f>
      </x:c>
      <x:c r="B48" s="108"/>
      <x:c r="C48" s="129" t="str">
        <x:f>IFERROR(VLOOKUP(B48,'03 Clientes'!$A$6:$N$200,2,FALSE),"")</x:f>
      </x:c>
      <x:c r="D48" s="108"/>
      <x:c r="E48" s="108"/>
      <x:c r="F48" s="132"/>
      <x:c r="G48" s="112"/>
      <x:c r="H48" s="134" t="str">
        <x:f>IF(OR(F48="",G48=""),"",F48*G48)</x:f>
      </x:c>
      <x:c r="I48" s="124"/>
      <x:c r="J48" s="124"/>
      <x:c r="K48" s="108"/>
      <x:c r="L48" s="108"/>
      <x:c r="M48" s="108"/>
      <x:c r="N48" s="161"/>
      <x:c r="O48" s="161"/>
      <x:c r="P48" s="161"/>
      <x:c r="Q48" s="161"/>
      <x:c r="R48" s="161"/>
      <x:c r="S48" s="161"/>
      <x:c r="T48" s="161"/>
      <x:c r="U48" s="161"/>
      <x:c r="V48" s="161"/>
      <x:c r="W48" s="161"/>
      <x:c r="X48" s="161"/>
      <x:c r="Y48" s="161"/>
      <x:c r="Z48" s="161"/>
    </x:row>
    <x:row r="49">
      <x:c r="A49" s="129" t="str">
        <x:f>IF(D49&lt;&gt;"","OPP-"&amp;TEXT(ROW()-5,"000"),"")</x:f>
      </x:c>
      <x:c r="B49" s="108"/>
      <x:c r="C49" s="129" t="str">
        <x:f>IFERROR(VLOOKUP(B49,'03 Clientes'!$A$6:$N$200,2,FALSE),"")</x:f>
      </x:c>
      <x:c r="D49" s="108"/>
      <x:c r="E49" s="108"/>
      <x:c r="F49" s="132"/>
      <x:c r="G49" s="112"/>
      <x:c r="H49" s="134" t="str">
        <x:f>IF(OR(F49="",G49=""),"",F49*G49)</x:f>
      </x:c>
      <x:c r="I49" s="124"/>
      <x:c r="J49" s="124"/>
      <x:c r="K49" s="108"/>
      <x:c r="L49" s="108"/>
      <x:c r="M49" s="108"/>
      <x:c r="N49" s="161"/>
      <x:c r="O49" s="161"/>
      <x:c r="P49" s="161"/>
      <x:c r="Q49" s="161"/>
      <x:c r="R49" s="161"/>
      <x:c r="S49" s="161"/>
      <x:c r="T49" s="161"/>
      <x:c r="U49" s="161"/>
      <x:c r="V49" s="161"/>
      <x:c r="W49" s="161"/>
      <x:c r="X49" s="161"/>
      <x:c r="Y49" s="161"/>
      <x:c r="Z49" s="161"/>
    </x:row>
    <x:row r="50">
      <x:c r="A50" s="129" t="str">
        <x:f>IF(D50&lt;&gt;"","OPP-"&amp;TEXT(ROW()-5,"000"),"")</x:f>
      </x:c>
      <x:c r="B50" s="108"/>
      <x:c r="C50" s="129" t="str">
        <x:f>IFERROR(VLOOKUP(B50,'03 Clientes'!$A$6:$N$200,2,FALSE),"")</x:f>
      </x:c>
      <x:c r="D50" s="108"/>
      <x:c r="E50" s="108"/>
      <x:c r="F50" s="132"/>
      <x:c r="G50" s="112"/>
      <x:c r="H50" s="134" t="str">
        <x:f>IF(OR(F50="",G50=""),"",F50*G50)</x:f>
      </x:c>
      <x:c r="I50" s="124"/>
      <x:c r="J50" s="124"/>
      <x:c r="K50" s="108"/>
      <x:c r="L50" s="108"/>
      <x:c r="M50" s="108"/>
      <x:c r="N50" s="161"/>
      <x:c r="O50" s="161"/>
      <x:c r="P50" s="161"/>
      <x:c r="Q50" s="161"/>
      <x:c r="R50" s="161"/>
      <x:c r="S50" s="161"/>
      <x:c r="T50" s="161"/>
      <x:c r="U50" s="161"/>
      <x:c r="V50" s="161"/>
      <x:c r="W50" s="161"/>
      <x:c r="X50" s="161"/>
      <x:c r="Y50" s="161"/>
      <x:c r="Z50" s="161"/>
    </x:row>
    <x:row r="51">
      <x:c r="A51" s="129" t="str">
        <x:f>IF(D51&lt;&gt;"","OPP-"&amp;TEXT(ROW()-5,"000"),"")</x:f>
      </x:c>
      <x:c r="B51" s="108"/>
      <x:c r="C51" s="129" t="str">
        <x:f>IFERROR(VLOOKUP(B51,'03 Clientes'!$A$6:$N$200,2,FALSE),"")</x:f>
      </x:c>
      <x:c r="D51" s="108"/>
      <x:c r="E51" s="108"/>
      <x:c r="F51" s="132"/>
      <x:c r="G51" s="112"/>
      <x:c r="H51" s="134" t="str">
        <x:f>IF(OR(F51="",G51=""),"",F51*G51)</x:f>
      </x:c>
      <x:c r="I51" s="124"/>
      <x:c r="J51" s="124"/>
      <x:c r="K51" s="108"/>
      <x:c r="L51" s="108"/>
      <x:c r="M51" s="108"/>
      <x:c r="N51" s="161"/>
      <x:c r="O51" s="161"/>
      <x:c r="P51" s="161"/>
      <x:c r="Q51" s="161"/>
      <x:c r="R51" s="161"/>
      <x:c r="S51" s="161"/>
      <x:c r="T51" s="161"/>
      <x:c r="U51" s="161"/>
      <x:c r="V51" s="161"/>
      <x:c r="W51" s="161"/>
      <x:c r="X51" s="161"/>
      <x:c r="Y51" s="161"/>
      <x:c r="Z51" s="161"/>
    </x:row>
    <x:row r="52">
      <x:c r="A52" s="129" t="str">
        <x:f>IF(D52&lt;&gt;"","OPP-"&amp;TEXT(ROW()-5,"000"),"")</x:f>
      </x:c>
      <x:c r="B52" s="108"/>
      <x:c r="C52" s="129" t="str">
        <x:f>IFERROR(VLOOKUP(B52,'03 Clientes'!$A$6:$N$200,2,FALSE),"")</x:f>
      </x:c>
      <x:c r="D52" s="108"/>
      <x:c r="E52" s="108"/>
      <x:c r="F52" s="132"/>
      <x:c r="G52" s="112"/>
      <x:c r="H52" s="134" t="str">
        <x:f>IF(OR(F52="",G52=""),"",F52*G52)</x:f>
      </x:c>
      <x:c r="I52" s="124"/>
      <x:c r="J52" s="124"/>
      <x:c r="K52" s="108"/>
      <x:c r="L52" s="108"/>
      <x:c r="M52" s="108"/>
      <x:c r="N52" s="161"/>
      <x:c r="O52" s="161"/>
      <x:c r="P52" s="161"/>
      <x:c r="Q52" s="161"/>
      <x:c r="R52" s="161"/>
      <x:c r="S52" s="161"/>
      <x:c r="T52" s="161"/>
      <x:c r="U52" s="161"/>
      <x:c r="V52" s="161"/>
      <x:c r="W52" s="161"/>
      <x:c r="X52" s="161"/>
      <x:c r="Y52" s="161"/>
      <x:c r="Z52" s="161"/>
    </x:row>
    <x:row r="53">
      <x:c r="A53" s="129" t="str">
        <x:f>IF(D53&lt;&gt;"","OPP-"&amp;TEXT(ROW()-5,"000"),"")</x:f>
      </x:c>
      <x:c r="B53" s="108"/>
      <x:c r="C53" s="129" t="str">
        <x:f>IFERROR(VLOOKUP(B53,'03 Clientes'!$A$6:$N$200,2,FALSE),"")</x:f>
      </x:c>
      <x:c r="D53" s="108"/>
      <x:c r="E53" s="108"/>
      <x:c r="F53" s="132"/>
      <x:c r="G53" s="112"/>
      <x:c r="H53" s="134" t="str">
        <x:f>IF(OR(F53="",G53=""),"",F53*G53)</x:f>
      </x:c>
      <x:c r="I53" s="124"/>
      <x:c r="J53" s="124"/>
      <x:c r="K53" s="108"/>
      <x:c r="L53" s="108"/>
      <x:c r="M53" s="108"/>
      <x:c r="N53" s="161"/>
      <x:c r="O53" s="161"/>
      <x:c r="P53" s="161"/>
      <x:c r="Q53" s="161"/>
      <x:c r="R53" s="161"/>
      <x:c r="S53" s="161"/>
      <x:c r="T53" s="161"/>
      <x:c r="U53" s="161"/>
      <x:c r="V53" s="161"/>
      <x:c r="W53" s="161"/>
      <x:c r="X53" s="161"/>
      <x:c r="Y53" s="161"/>
      <x:c r="Z53" s="161"/>
    </x:row>
    <x:row r="54">
      <x:c r="A54" s="129" t="str">
        <x:f>IF(D54&lt;&gt;"","OPP-"&amp;TEXT(ROW()-5,"000"),"")</x:f>
      </x:c>
      <x:c r="B54" s="108"/>
      <x:c r="C54" s="129" t="str">
        <x:f>IFERROR(VLOOKUP(B54,'03 Clientes'!$A$6:$N$200,2,FALSE),"")</x:f>
      </x:c>
      <x:c r="D54" s="108"/>
      <x:c r="E54" s="108"/>
      <x:c r="F54" s="132"/>
      <x:c r="G54" s="112"/>
      <x:c r="H54" s="134" t="str">
        <x:f>IF(OR(F54="",G54=""),"",F54*G54)</x:f>
      </x:c>
      <x:c r="I54" s="124"/>
      <x:c r="J54" s="124"/>
      <x:c r="K54" s="108"/>
      <x:c r="L54" s="108"/>
      <x:c r="M54" s="108"/>
      <x:c r="N54" s="161"/>
      <x:c r="O54" s="161"/>
      <x:c r="P54" s="161"/>
      <x:c r="Q54" s="161"/>
      <x:c r="R54" s="161"/>
      <x:c r="S54" s="161"/>
      <x:c r="T54" s="161"/>
      <x:c r="U54" s="161"/>
      <x:c r="V54" s="161"/>
      <x:c r="W54" s="161"/>
      <x:c r="X54" s="161"/>
      <x:c r="Y54" s="161"/>
      <x:c r="Z54" s="161"/>
    </x:row>
    <x:row r="55">
      <x:c r="A55" s="129" t="str">
        <x:f>IF(D55&lt;&gt;"","OPP-"&amp;TEXT(ROW()-5,"000"),"")</x:f>
      </x:c>
      <x:c r="B55" s="108"/>
      <x:c r="C55" s="129" t="str">
        <x:f>IFERROR(VLOOKUP(B55,'03 Clientes'!$A$6:$N$200,2,FALSE),"")</x:f>
      </x:c>
      <x:c r="D55" s="108"/>
      <x:c r="E55" s="108"/>
      <x:c r="F55" s="132"/>
      <x:c r="G55" s="112"/>
      <x:c r="H55" s="134" t="str">
        <x:f>IF(OR(F55="",G55=""),"",F55*G55)</x:f>
      </x:c>
      <x:c r="I55" s="124"/>
      <x:c r="J55" s="124"/>
      <x:c r="K55" s="108"/>
      <x:c r="L55" s="108"/>
      <x:c r="M55" s="108"/>
      <x:c r="N55" s="161"/>
      <x:c r="O55" s="161"/>
      <x:c r="P55" s="161"/>
      <x:c r="Q55" s="161"/>
      <x:c r="R55" s="161"/>
      <x:c r="S55" s="161"/>
      <x:c r="T55" s="161"/>
      <x:c r="U55" s="161"/>
      <x:c r="V55" s="161"/>
      <x:c r="W55" s="161"/>
      <x:c r="X55" s="161"/>
      <x:c r="Y55" s="161"/>
      <x:c r="Z55" s="161"/>
    </x:row>
    <x:row r="56">
      <x:c r="A56" s="129" t="str">
        <x:f>IF(D56&lt;&gt;"","OPP-"&amp;TEXT(ROW()-5,"000"),"")</x:f>
      </x:c>
      <x:c r="B56" s="108"/>
      <x:c r="C56" s="129" t="str">
        <x:f>IFERROR(VLOOKUP(B56,'03 Clientes'!$A$6:$N$200,2,FALSE),"")</x:f>
      </x:c>
      <x:c r="D56" s="108"/>
      <x:c r="E56" s="108"/>
      <x:c r="F56" s="132"/>
      <x:c r="G56" s="112"/>
      <x:c r="H56" s="134" t="str">
        <x:f>IF(OR(F56="",G56=""),"",F56*G56)</x:f>
      </x:c>
      <x:c r="I56" s="124"/>
      <x:c r="J56" s="124"/>
      <x:c r="K56" s="108"/>
      <x:c r="L56" s="108"/>
      <x:c r="M56" s="108"/>
      <x:c r="N56" s="161"/>
      <x:c r="O56" s="161"/>
      <x:c r="P56" s="161"/>
      <x:c r="Q56" s="161"/>
      <x:c r="R56" s="161"/>
      <x:c r="S56" s="161"/>
      <x:c r="T56" s="161"/>
      <x:c r="U56" s="161"/>
      <x:c r="V56" s="161"/>
      <x:c r="W56" s="161"/>
      <x:c r="X56" s="161"/>
      <x:c r="Y56" s="161"/>
      <x:c r="Z56" s="161"/>
    </x:row>
    <x:row r="57">
      <x:c r="A57" s="129" t="str">
        <x:f>IF(D57&lt;&gt;"","OPP-"&amp;TEXT(ROW()-5,"000"),"")</x:f>
      </x:c>
      <x:c r="B57" s="108"/>
      <x:c r="C57" s="129" t="str">
        <x:f>IFERROR(VLOOKUP(B57,'03 Clientes'!$A$6:$N$200,2,FALSE),"")</x:f>
      </x:c>
      <x:c r="D57" s="108"/>
      <x:c r="E57" s="108"/>
      <x:c r="F57" s="132"/>
      <x:c r="G57" s="112"/>
      <x:c r="H57" s="134" t="str">
        <x:f>IF(OR(F57="",G57=""),"",F57*G57)</x:f>
      </x:c>
      <x:c r="I57" s="124"/>
      <x:c r="J57" s="124"/>
      <x:c r="K57" s="108"/>
      <x:c r="L57" s="108"/>
      <x:c r="M57" s="108"/>
      <x:c r="N57" s="161"/>
      <x:c r="O57" s="161"/>
      <x:c r="P57" s="161"/>
      <x:c r="Q57" s="161"/>
      <x:c r="R57" s="161"/>
      <x:c r="S57" s="161"/>
      <x:c r="T57" s="161"/>
      <x:c r="U57" s="161"/>
      <x:c r="V57" s="161"/>
      <x:c r="W57" s="161"/>
      <x:c r="X57" s="161"/>
      <x:c r="Y57" s="161"/>
      <x:c r="Z57" s="161"/>
    </x:row>
    <x:row r="58">
      <x:c r="A58" s="129" t="str">
        <x:f>IF(D58&lt;&gt;"","OPP-"&amp;TEXT(ROW()-5,"000"),"")</x:f>
      </x:c>
      <x:c r="B58" s="108"/>
      <x:c r="C58" s="129" t="str">
        <x:f>IFERROR(VLOOKUP(B58,'03 Clientes'!$A$6:$N$200,2,FALSE),"")</x:f>
      </x:c>
      <x:c r="D58" s="108"/>
      <x:c r="E58" s="108"/>
      <x:c r="F58" s="132"/>
      <x:c r="G58" s="112"/>
      <x:c r="H58" s="134" t="str">
        <x:f>IF(OR(F58="",G58=""),"",F58*G58)</x:f>
      </x:c>
      <x:c r="I58" s="124"/>
      <x:c r="J58" s="124"/>
      <x:c r="K58" s="108"/>
      <x:c r="L58" s="108"/>
      <x:c r="M58" s="108"/>
      <x:c r="N58" s="161"/>
      <x:c r="O58" s="161"/>
      <x:c r="P58" s="161"/>
      <x:c r="Q58" s="161"/>
      <x:c r="R58" s="161"/>
      <x:c r="S58" s="161"/>
      <x:c r="T58" s="161"/>
      <x:c r="U58" s="161"/>
      <x:c r="V58" s="161"/>
      <x:c r="W58" s="161"/>
      <x:c r="X58" s="161"/>
      <x:c r="Y58" s="161"/>
      <x:c r="Z58" s="161"/>
    </x:row>
    <x:row r="59">
      <x:c r="A59" s="129" t="str">
        <x:f>IF(D59&lt;&gt;"","OPP-"&amp;TEXT(ROW()-5,"000"),"")</x:f>
      </x:c>
      <x:c r="B59" s="108"/>
      <x:c r="C59" s="129" t="str">
        <x:f>IFERROR(VLOOKUP(B59,'03 Clientes'!$A$6:$N$200,2,FALSE),"")</x:f>
      </x:c>
      <x:c r="D59" s="108"/>
      <x:c r="E59" s="108"/>
      <x:c r="F59" s="132"/>
      <x:c r="G59" s="112"/>
      <x:c r="H59" s="134" t="str">
        <x:f>IF(OR(F59="",G59=""),"",F59*G59)</x:f>
      </x:c>
      <x:c r="I59" s="124"/>
      <x:c r="J59" s="124"/>
      <x:c r="K59" s="108"/>
      <x:c r="L59" s="108"/>
      <x:c r="M59" s="108"/>
      <x:c r="N59" s="161"/>
      <x:c r="O59" s="161"/>
      <x:c r="P59" s="161"/>
      <x:c r="Q59" s="161"/>
      <x:c r="R59" s="161"/>
      <x:c r="S59" s="161"/>
      <x:c r="T59" s="161"/>
      <x:c r="U59" s="161"/>
      <x:c r="V59" s="161"/>
      <x:c r="W59" s="161"/>
      <x:c r="X59" s="161"/>
      <x:c r="Y59" s="161"/>
      <x:c r="Z59" s="161"/>
    </x:row>
    <x:row r="60">
      <x:c r="A60" s="129" t="str">
        <x:f>IF(D60&lt;&gt;"","OPP-"&amp;TEXT(ROW()-5,"000"),"")</x:f>
      </x:c>
      <x:c r="B60" s="108"/>
      <x:c r="C60" s="129" t="str">
        <x:f>IFERROR(VLOOKUP(B60,'03 Clientes'!$A$6:$N$200,2,FALSE),"")</x:f>
      </x:c>
      <x:c r="D60" s="108"/>
      <x:c r="E60" s="108"/>
      <x:c r="F60" s="132"/>
      <x:c r="G60" s="112"/>
      <x:c r="H60" s="134" t="str">
        <x:f>IF(OR(F60="",G60=""),"",F60*G60)</x:f>
      </x:c>
      <x:c r="I60" s="124"/>
      <x:c r="J60" s="124"/>
      <x:c r="K60" s="108"/>
      <x:c r="L60" s="108"/>
      <x:c r="M60" s="108"/>
      <x:c r="N60" s="161"/>
      <x:c r="O60" s="161"/>
      <x:c r="P60" s="161"/>
      <x:c r="Q60" s="161"/>
      <x:c r="R60" s="161"/>
      <x:c r="S60" s="161"/>
      <x:c r="T60" s="161"/>
      <x:c r="U60" s="161"/>
      <x:c r="V60" s="161"/>
      <x:c r="W60" s="161"/>
      <x:c r="X60" s="161"/>
      <x:c r="Y60" s="161"/>
      <x:c r="Z60" s="161"/>
    </x:row>
    <x:row r="61">
      <x:c r="A61" s="129" t="str">
        <x:f>IF(D61&lt;&gt;"","OPP-"&amp;TEXT(ROW()-5,"000"),"")</x:f>
      </x:c>
      <x:c r="B61" s="108"/>
      <x:c r="C61" s="129" t="str">
        <x:f>IFERROR(VLOOKUP(B61,'03 Clientes'!$A$6:$N$200,2,FALSE),"")</x:f>
      </x:c>
      <x:c r="D61" s="108"/>
      <x:c r="E61" s="108"/>
      <x:c r="F61" s="132"/>
      <x:c r="G61" s="112"/>
      <x:c r="H61" s="134" t="str">
        <x:f>IF(OR(F61="",G61=""),"",F61*G61)</x:f>
      </x:c>
      <x:c r="I61" s="124"/>
      <x:c r="J61" s="124"/>
      <x:c r="K61" s="108"/>
      <x:c r="L61" s="108"/>
      <x:c r="M61" s="108"/>
      <x:c r="N61" s="161"/>
      <x:c r="O61" s="161"/>
      <x:c r="P61" s="161"/>
      <x:c r="Q61" s="161"/>
      <x:c r="R61" s="161"/>
      <x:c r="S61" s="161"/>
      <x:c r="T61" s="161"/>
      <x:c r="U61" s="161"/>
      <x:c r="V61" s="161"/>
      <x:c r="W61" s="161"/>
      <x:c r="X61" s="161"/>
      <x:c r="Y61" s="161"/>
      <x:c r="Z61" s="161"/>
    </x:row>
    <x:row r="62">
      <x:c r="A62" s="129" t="str">
        <x:f>IF(D62&lt;&gt;"","OPP-"&amp;TEXT(ROW()-5,"000"),"")</x:f>
      </x:c>
      <x:c r="B62" s="108"/>
      <x:c r="C62" s="129" t="str">
        <x:f>IFERROR(VLOOKUP(B62,'03 Clientes'!$A$6:$N$200,2,FALSE),"")</x:f>
      </x:c>
      <x:c r="D62" s="108"/>
      <x:c r="E62" s="108"/>
      <x:c r="F62" s="132"/>
      <x:c r="G62" s="112"/>
      <x:c r="H62" s="134" t="str">
        <x:f>IF(OR(F62="",G62=""),"",F62*G62)</x:f>
      </x:c>
      <x:c r="I62" s="124"/>
      <x:c r="J62" s="124"/>
      <x:c r="K62" s="108"/>
      <x:c r="L62" s="108"/>
      <x:c r="M62" s="108"/>
      <x:c r="N62" s="161"/>
      <x:c r="O62" s="161"/>
      <x:c r="P62" s="161"/>
      <x:c r="Q62" s="161"/>
      <x:c r="R62" s="161"/>
      <x:c r="S62" s="161"/>
      <x:c r="T62" s="161"/>
      <x:c r="U62" s="161"/>
      <x:c r="V62" s="161"/>
      <x:c r="W62" s="161"/>
      <x:c r="X62" s="161"/>
      <x:c r="Y62" s="161"/>
      <x:c r="Z62" s="161"/>
    </x:row>
    <x:row r="63">
      <x:c r="A63" s="129" t="str">
        <x:f>IF(D63&lt;&gt;"","OPP-"&amp;TEXT(ROW()-5,"000"),"")</x:f>
      </x:c>
      <x:c r="B63" s="108"/>
      <x:c r="C63" s="129" t="str">
        <x:f>IFERROR(VLOOKUP(B63,'03 Clientes'!$A$6:$N$200,2,FALSE),"")</x:f>
      </x:c>
      <x:c r="D63" s="108"/>
      <x:c r="E63" s="108"/>
      <x:c r="F63" s="132"/>
      <x:c r="G63" s="112"/>
      <x:c r="H63" s="134" t="str">
        <x:f>IF(OR(F63="",G63=""),"",F63*G63)</x:f>
      </x:c>
      <x:c r="I63" s="124"/>
      <x:c r="J63" s="124"/>
      <x:c r="K63" s="108"/>
      <x:c r="L63" s="108"/>
      <x:c r="M63" s="108"/>
      <x:c r="N63" s="161"/>
      <x:c r="O63" s="161"/>
      <x:c r="P63" s="161"/>
      <x:c r="Q63" s="161"/>
      <x:c r="R63" s="161"/>
      <x:c r="S63" s="161"/>
      <x:c r="T63" s="161"/>
      <x:c r="U63" s="161"/>
      <x:c r="V63" s="161"/>
      <x:c r="W63" s="161"/>
      <x:c r="X63" s="161"/>
      <x:c r="Y63" s="161"/>
      <x:c r="Z63" s="161"/>
    </x:row>
    <x:row r="64">
      <x:c r="A64" s="129" t="str">
        <x:f>IF(D64&lt;&gt;"","OPP-"&amp;TEXT(ROW()-5,"000"),"")</x:f>
      </x:c>
      <x:c r="B64" s="108"/>
      <x:c r="C64" s="129" t="str">
        <x:f>IFERROR(VLOOKUP(B64,'03 Clientes'!$A$6:$N$200,2,FALSE),"")</x:f>
      </x:c>
      <x:c r="D64" s="108"/>
      <x:c r="E64" s="108"/>
      <x:c r="F64" s="132"/>
      <x:c r="G64" s="112"/>
      <x:c r="H64" s="134" t="str">
        <x:f>IF(OR(F64="",G64=""),"",F64*G64)</x:f>
      </x:c>
      <x:c r="I64" s="124"/>
      <x:c r="J64" s="124"/>
      <x:c r="K64" s="108"/>
      <x:c r="L64" s="108"/>
      <x:c r="M64" s="108"/>
      <x:c r="N64" s="161"/>
      <x:c r="O64" s="161"/>
      <x:c r="P64" s="161"/>
      <x:c r="Q64" s="161"/>
      <x:c r="R64" s="161"/>
      <x:c r="S64" s="161"/>
      <x:c r="T64" s="161"/>
      <x:c r="U64" s="161"/>
      <x:c r="V64" s="161"/>
      <x:c r="W64" s="161"/>
      <x:c r="X64" s="161"/>
      <x:c r="Y64" s="161"/>
      <x:c r="Z64" s="161"/>
    </x:row>
    <x:row r="65">
      <x:c r="A65" s="129" t="str">
        <x:f>IF(D65&lt;&gt;"","OPP-"&amp;TEXT(ROW()-5,"000"),"")</x:f>
      </x:c>
      <x:c r="B65" s="108"/>
      <x:c r="C65" s="129" t="str">
        <x:f>IFERROR(VLOOKUP(B65,'03 Clientes'!$A$6:$N$200,2,FALSE),"")</x:f>
      </x:c>
      <x:c r="D65" s="108"/>
      <x:c r="E65" s="108"/>
      <x:c r="F65" s="132"/>
      <x:c r="G65" s="112"/>
      <x:c r="H65" s="134" t="str">
        <x:f>IF(OR(F65="",G65=""),"",F65*G65)</x:f>
      </x:c>
      <x:c r="I65" s="124"/>
      <x:c r="J65" s="124"/>
      <x:c r="K65" s="108"/>
      <x:c r="L65" s="108"/>
      <x:c r="M65" s="108"/>
      <x:c r="N65" s="161"/>
      <x:c r="O65" s="161"/>
      <x:c r="P65" s="161"/>
      <x:c r="Q65" s="161"/>
      <x:c r="R65" s="161"/>
      <x:c r="S65" s="161"/>
      <x:c r="T65" s="161"/>
      <x:c r="U65" s="161"/>
      <x:c r="V65" s="161"/>
      <x:c r="W65" s="161"/>
      <x:c r="X65" s="161"/>
      <x:c r="Y65" s="161"/>
      <x:c r="Z65" s="161"/>
    </x:row>
    <x:row r="66">
      <x:c r="A66" s="129" t="str">
        <x:f>IF(D66&lt;&gt;"","OPP-"&amp;TEXT(ROW()-5,"000"),"")</x:f>
      </x:c>
      <x:c r="B66" s="108"/>
      <x:c r="C66" s="129" t="str">
        <x:f>IFERROR(VLOOKUP(B66,'03 Clientes'!$A$6:$N$200,2,FALSE),"")</x:f>
      </x:c>
      <x:c r="D66" s="108"/>
      <x:c r="E66" s="108"/>
      <x:c r="F66" s="132"/>
      <x:c r="G66" s="112"/>
      <x:c r="H66" s="134" t="str">
        <x:f>IF(OR(F66="",G66=""),"",F66*G66)</x:f>
      </x:c>
      <x:c r="I66" s="124"/>
      <x:c r="J66" s="124"/>
      <x:c r="K66" s="108"/>
      <x:c r="L66" s="108"/>
      <x:c r="M66" s="108"/>
      <x:c r="N66" s="161"/>
      <x:c r="O66" s="161"/>
      <x:c r="P66" s="161"/>
      <x:c r="Q66" s="161"/>
      <x:c r="R66" s="161"/>
      <x:c r="S66" s="161"/>
      <x:c r="T66" s="161"/>
      <x:c r="U66" s="161"/>
      <x:c r="V66" s="161"/>
      <x:c r="W66" s="161"/>
      <x:c r="X66" s="161"/>
      <x:c r="Y66" s="161"/>
      <x:c r="Z66" s="161"/>
    </x:row>
    <x:row r="67">
      <x:c r="A67" s="129" t="str">
        <x:f>IF(D67&lt;&gt;"","OPP-"&amp;TEXT(ROW()-5,"000"),"")</x:f>
      </x:c>
      <x:c r="B67" s="108"/>
      <x:c r="C67" s="129" t="str">
        <x:f>IFERROR(VLOOKUP(B67,'03 Clientes'!$A$6:$N$200,2,FALSE),"")</x:f>
      </x:c>
      <x:c r="D67" s="108"/>
      <x:c r="E67" s="108"/>
      <x:c r="F67" s="132"/>
      <x:c r="G67" s="112"/>
      <x:c r="H67" s="134" t="str">
        <x:f>IF(OR(F67="",G67=""),"",F67*G67)</x:f>
      </x:c>
      <x:c r="I67" s="124"/>
      <x:c r="J67" s="124"/>
      <x:c r="K67" s="108"/>
      <x:c r="L67" s="108"/>
      <x:c r="M67" s="108"/>
      <x:c r="N67" s="161"/>
      <x:c r="O67" s="161"/>
      <x:c r="P67" s="161"/>
      <x:c r="Q67" s="161"/>
      <x:c r="R67" s="161"/>
      <x:c r="S67" s="161"/>
      <x:c r="T67" s="161"/>
      <x:c r="U67" s="161"/>
      <x:c r="V67" s="161"/>
      <x:c r="W67" s="161"/>
      <x:c r="X67" s="161"/>
      <x:c r="Y67" s="161"/>
      <x:c r="Z67" s="161"/>
    </x:row>
    <x:row r="68">
      <x:c r="A68" s="129" t="str">
        <x:f>IF(D68&lt;&gt;"","OPP-"&amp;TEXT(ROW()-5,"000"),"")</x:f>
      </x:c>
      <x:c r="B68" s="108"/>
      <x:c r="C68" s="129" t="str">
        <x:f>IFERROR(VLOOKUP(B68,'03 Clientes'!$A$6:$N$200,2,FALSE),"")</x:f>
      </x:c>
      <x:c r="D68" s="108"/>
      <x:c r="E68" s="108"/>
      <x:c r="F68" s="132"/>
      <x:c r="G68" s="112"/>
      <x:c r="H68" s="134" t="str">
        <x:f>IF(OR(F68="",G68=""),"",F68*G68)</x:f>
      </x:c>
      <x:c r="I68" s="124"/>
      <x:c r="J68" s="124"/>
      <x:c r="K68" s="108"/>
      <x:c r="L68" s="108"/>
      <x:c r="M68" s="108"/>
      <x:c r="N68" s="161"/>
      <x:c r="O68" s="161"/>
      <x:c r="P68" s="161"/>
      <x:c r="Q68" s="161"/>
      <x:c r="R68" s="161"/>
      <x:c r="S68" s="161"/>
      <x:c r="T68" s="161"/>
      <x:c r="U68" s="161"/>
      <x:c r="V68" s="161"/>
      <x:c r="W68" s="161"/>
      <x:c r="X68" s="161"/>
      <x:c r="Y68" s="161"/>
      <x:c r="Z68" s="161"/>
    </x:row>
    <x:row r="69">
      <x:c r="A69" s="129" t="str">
        <x:f>IF(D69&lt;&gt;"","OPP-"&amp;TEXT(ROW()-5,"000"),"")</x:f>
      </x:c>
      <x:c r="B69" s="108"/>
      <x:c r="C69" s="129" t="str">
        <x:f>IFERROR(VLOOKUP(B69,'03 Clientes'!$A$6:$N$200,2,FALSE),"")</x:f>
      </x:c>
      <x:c r="D69" s="108"/>
      <x:c r="E69" s="108"/>
      <x:c r="F69" s="132"/>
      <x:c r="G69" s="112"/>
      <x:c r="H69" s="134" t="str">
        <x:f>IF(OR(F69="",G69=""),"",F69*G69)</x:f>
      </x:c>
      <x:c r="I69" s="124"/>
      <x:c r="J69" s="124"/>
      <x:c r="K69" s="108"/>
      <x:c r="L69" s="108"/>
      <x:c r="M69" s="108"/>
      <x:c r="N69" s="161"/>
      <x:c r="O69" s="161"/>
      <x:c r="P69" s="161"/>
      <x:c r="Q69" s="161"/>
      <x:c r="R69" s="161"/>
      <x:c r="S69" s="161"/>
      <x:c r="T69" s="161"/>
      <x:c r="U69" s="161"/>
      <x:c r="V69" s="161"/>
      <x:c r="W69" s="161"/>
      <x:c r="X69" s="161"/>
      <x:c r="Y69" s="161"/>
      <x:c r="Z69" s="161"/>
    </x:row>
    <x:row r="70">
      <x:c r="A70" s="129" t="str">
        <x:f>IF(D70&lt;&gt;"","OPP-"&amp;TEXT(ROW()-5,"000"),"")</x:f>
      </x:c>
      <x:c r="B70" s="108"/>
      <x:c r="C70" s="129" t="str">
        <x:f>IFERROR(VLOOKUP(B70,'03 Clientes'!$A$6:$N$200,2,FALSE),"")</x:f>
      </x:c>
      <x:c r="D70" s="108"/>
      <x:c r="E70" s="108"/>
      <x:c r="F70" s="132"/>
      <x:c r="G70" s="112"/>
      <x:c r="H70" s="134" t="str">
        <x:f>IF(OR(F70="",G70=""),"",F70*G70)</x:f>
      </x:c>
      <x:c r="I70" s="124"/>
      <x:c r="J70" s="124"/>
      <x:c r="K70" s="108"/>
      <x:c r="L70" s="108"/>
      <x:c r="M70" s="108"/>
      <x:c r="N70" s="161"/>
      <x:c r="O70" s="161"/>
      <x:c r="P70" s="161"/>
      <x:c r="Q70" s="161"/>
      <x:c r="R70" s="161"/>
      <x:c r="S70" s="161"/>
      <x:c r="T70" s="161"/>
      <x:c r="U70" s="161"/>
      <x:c r="V70" s="161"/>
      <x:c r="W70" s="161"/>
      <x:c r="X70" s="161"/>
      <x:c r="Y70" s="161"/>
      <x:c r="Z70" s="161"/>
    </x:row>
    <x:row r="71">
      <x:c r="A71" s="129" t="str">
        <x:f>IF(D71&lt;&gt;"","OPP-"&amp;TEXT(ROW()-5,"000"),"")</x:f>
      </x:c>
      <x:c r="B71" s="108"/>
      <x:c r="C71" s="129" t="str">
        <x:f>IFERROR(VLOOKUP(B71,'03 Clientes'!$A$6:$N$200,2,FALSE),"")</x:f>
      </x:c>
      <x:c r="D71" s="108"/>
      <x:c r="E71" s="108"/>
      <x:c r="F71" s="132"/>
      <x:c r="G71" s="112"/>
      <x:c r="H71" s="134" t="str">
        <x:f>IF(OR(F71="",G71=""),"",F71*G71)</x:f>
      </x:c>
      <x:c r="I71" s="124"/>
      <x:c r="J71" s="124"/>
      <x:c r="K71" s="108"/>
      <x:c r="L71" s="108"/>
      <x:c r="M71" s="108"/>
      <x:c r="N71" s="161"/>
      <x:c r="O71" s="161"/>
      <x:c r="P71" s="161"/>
      <x:c r="Q71" s="161"/>
      <x:c r="R71" s="161"/>
      <x:c r="S71" s="161"/>
      <x:c r="T71" s="161"/>
      <x:c r="U71" s="161"/>
      <x:c r="V71" s="161"/>
      <x:c r="W71" s="161"/>
      <x:c r="X71" s="161"/>
      <x:c r="Y71" s="161"/>
      <x:c r="Z71" s="161"/>
    </x:row>
    <x:row r="72">
      <x:c r="A72" s="129" t="str">
        <x:f>IF(D72&lt;&gt;"","OPP-"&amp;TEXT(ROW()-5,"000"),"")</x:f>
      </x:c>
      <x:c r="B72" s="108"/>
      <x:c r="C72" s="129" t="str">
        <x:f>IFERROR(VLOOKUP(B72,'03 Clientes'!$A$6:$N$200,2,FALSE),"")</x:f>
      </x:c>
      <x:c r="D72" s="108"/>
      <x:c r="E72" s="108"/>
      <x:c r="F72" s="132"/>
      <x:c r="G72" s="112"/>
      <x:c r="H72" s="134" t="str">
        <x:f>IF(OR(F72="",G72=""),"",F72*G72)</x:f>
      </x:c>
      <x:c r="I72" s="124"/>
      <x:c r="J72" s="124"/>
      <x:c r="K72" s="108"/>
      <x:c r="L72" s="108"/>
      <x:c r="M72" s="108"/>
      <x:c r="N72" s="161"/>
      <x:c r="O72" s="161"/>
      <x:c r="P72" s="161"/>
      <x:c r="Q72" s="161"/>
      <x:c r="R72" s="161"/>
      <x:c r="S72" s="161"/>
      <x:c r="T72" s="161"/>
      <x:c r="U72" s="161"/>
      <x:c r="V72" s="161"/>
      <x:c r="W72" s="161"/>
      <x:c r="X72" s="161"/>
      <x:c r="Y72" s="161"/>
      <x:c r="Z72" s="161"/>
    </x:row>
    <x:row r="73">
      <x:c r="A73" s="129" t="str">
        <x:f>IF(D73&lt;&gt;"","OPP-"&amp;TEXT(ROW()-5,"000"),"")</x:f>
      </x:c>
      <x:c r="B73" s="108"/>
      <x:c r="C73" s="129" t="str">
        <x:f>IFERROR(VLOOKUP(B73,'03 Clientes'!$A$6:$N$200,2,FALSE),"")</x:f>
      </x:c>
      <x:c r="D73" s="108"/>
      <x:c r="E73" s="108"/>
      <x:c r="F73" s="132"/>
      <x:c r="G73" s="112"/>
      <x:c r="H73" s="134" t="str">
        <x:f>IF(OR(F73="",G73=""),"",F73*G73)</x:f>
      </x:c>
      <x:c r="I73" s="124"/>
      <x:c r="J73" s="124"/>
      <x:c r="K73" s="108"/>
      <x:c r="L73" s="108"/>
      <x:c r="M73" s="108"/>
      <x:c r="N73" s="161"/>
      <x:c r="O73" s="161"/>
      <x:c r="P73" s="161"/>
      <x:c r="Q73" s="161"/>
      <x:c r="R73" s="161"/>
      <x:c r="S73" s="161"/>
      <x:c r="T73" s="161"/>
      <x:c r="U73" s="161"/>
      <x:c r="V73" s="161"/>
      <x:c r="W73" s="161"/>
      <x:c r="X73" s="161"/>
      <x:c r="Y73" s="161"/>
      <x:c r="Z73" s="161"/>
    </x:row>
    <x:row r="74">
      <x:c r="A74" s="129" t="str">
        <x:f>IF(D74&lt;&gt;"","OPP-"&amp;TEXT(ROW()-5,"000"),"")</x:f>
      </x:c>
      <x:c r="B74" s="108"/>
      <x:c r="C74" s="129" t="str">
        <x:f>IFERROR(VLOOKUP(B74,'03 Clientes'!$A$6:$N$200,2,FALSE),"")</x:f>
      </x:c>
      <x:c r="D74" s="108"/>
      <x:c r="E74" s="108"/>
      <x:c r="F74" s="132"/>
      <x:c r="G74" s="112"/>
      <x:c r="H74" s="134" t="str">
        <x:f>IF(OR(F74="",G74=""),"",F74*G74)</x:f>
      </x:c>
      <x:c r="I74" s="124"/>
      <x:c r="J74" s="124"/>
      <x:c r="K74" s="108"/>
      <x:c r="L74" s="108"/>
      <x:c r="M74" s="108"/>
      <x:c r="N74" s="161"/>
      <x:c r="O74" s="161"/>
      <x:c r="P74" s="161"/>
      <x:c r="Q74" s="161"/>
      <x:c r="R74" s="161"/>
      <x:c r="S74" s="161"/>
      <x:c r="T74" s="161"/>
      <x:c r="U74" s="161"/>
      <x:c r="V74" s="161"/>
      <x:c r="W74" s="161"/>
      <x:c r="X74" s="161"/>
      <x:c r="Y74" s="161"/>
      <x:c r="Z74" s="161"/>
    </x:row>
    <x:row r="75">
      <x:c r="A75" s="129" t="str">
        <x:f>IF(D75&lt;&gt;"","OPP-"&amp;TEXT(ROW()-5,"000"),"")</x:f>
      </x:c>
      <x:c r="B75" s="108"/>
      <x:c r="C75" s="129" t="str">
        <x:f>IFERROR(VLOOKUP(B75,'03 Clientes'!$A$6:$N$200,2,FALSE),"")</x:f>
      </x:c>
      <x:c r="D75" s="108"/>
      <x:c r="E75" s="108"/>
      <x:c r="F75" s="132"/>
      <x:c r="G75" s="112"/>
      <x:c r="H75" s="134" t="str">
        <x:f>IF(OR(F75="",G75=""),"",F75*G75)</x:f>
      </x:c>
      <x:c r="I75" s="124"/>
      <x:c r="J75" s="124"/>
      <x:c r="K75" s="108"/>
      <x:c r="L75" s="108"/>
      <x:c r="M75" s="108"/>
      <x:c r="N75" s="161"/>
      <x:c r="O75" s="161"/>
      <x:c r="P75" s="161"/>
      <x:c r="Q75" s="161"/>
      <x:c r="R75" s="161"/>
      <x:c r="S75" s="161"/>
      <x:c r="T75" s="161"/>
      <x:c r="U75" s="161"/>
      <x:c r="V75" s="161"/>
      <x:c r="W75" s="161"/>
      <x:c r="X75" s="161"/>
      <x:c r="Y75" s="161"/>
      <x:c r="Z75" s="161"/>
    </x:row>
    <x:row r="76">
      <x:c r="A76" s="129" t="str">
        <x:f>IF(D76&lt;&gt;"","OPP-"&amp;TEXT(ROW()-5,"000"),"")</x:f>
      </x:c>
      <x:c r="B76" s="108"/>
      <x:c r="C76" s="129" t="str">
        <x:f>IFERROR(VLOOKUP(B76,'03 Clientes'!$A$6:$N$200,2,FALSE),"")</x:f>
      </x:c>
      <x:c r="D76" s="108"/>
      <x:c r="E76" s="108"/>
      <x:c r="F76" s="132"/>
      <x:c r="G76" s="112"/>
      <x:c r="H76" s="134" t="str">
        <x:f>IF(OR(F76="",G76=""),"",F76*G76)</x:f>
      </x:c>
      <x:c r="I76" s="124"/>
      <x:c r="J76" s="124"/>
      <x:c r="K76" s="108"/>
      <x:c r="L76" s="108"/>
      <x:c r="M76" s="108"/>
      <x:c r="N76" s="161"/>
      <x:c r="O76" s="161"/>
      <x:c r="P76" s="161"/>
      <x:c r="Q76" s="161"/>
      <x:c r="R76" s="161"/>
      <x:c r="S76" s="161"/>
      <x:c r="T76" s="161"/>
      <x:c r="U76" s="161"/>
      <x:c r="V76" s="161"/>
      <x:c r="W76" s="161"/>
      <x:c r="X76" s="161"/>
      <x:c r="Y76" s="161"/>
      <x:c r="Z76" s="161"/>
    </x:row>
    <x:row r="77">
      <x:c r="A77" s="129" t="str">
        <x:f>IF(D77&lt;&gt;"","OPP-"&amp;TEXT(ROW()-5,"000"),"")</x:f>
      </x:c>
      <x:c r="B77" s="108"/>
      <x:c r="C77" s="129" t="str">
        <x:f>IFERROR(VLOOKUP(B77,'03 Clientes'!$A$6:$N$200,2,FALSE),"")</x:f>
      </x:c>
      <x:c r="D77" s="108"/>
      <x:c r="E77" s="108"/>
      <x:c r="F77" s="132"/>
      <x:c r="G77" s="112"/>
      <x:c r="H77" s="134" t="str">
        <x:f>IF(OR(F77="",G77=""),"",F77*G77)</x:f>
      </x:c>
      <x:c r="I77" s="124"/>
      <x:c r="J77" s="124"/>
      <x:c r="K77" s="108"/>
      <x:c r="L77" s="108"/>
      <x:c r="M77" s="108"/>
      <x:c r="N77" s="161"/>
      <x:c r="O77" s="161"/>
      <x:c r="P77" s="161"/>
      <x:c r="Q77" s="161"/>
      <x:c r="R77" s="161"/>
      <x:c r="S77" s="161"/>
      <x:c r="T77" s="161"/>
      <x:c r="U77" s="161"/>
      <x:c r="V77" s="161"/>
      <x:c r="W77" s="161"/>
      <x:c r="X77" s="161"/>
      <x:c r="Y77" s="161"/>
      <x:c r="Z77" s="161"/>
    </x:row>
    <x:row r="78">
      <x:c r="A78" s="129" t="str">
        <x:f>IF(D78&lt;&gt;"","OPP-"&amp;TEXT(ROW()-5,"000"),"")</x:f>
      </x:c>
      <x:c r="B78" s="108"/>
      <x:c r="C78" s="129" t="str">
        <x:f>IFERROR(VLOOKUP(B78,'03 Clientes'!$A$6:$N$200,2,FALSE),"")</x:f>
      </x:c>
      <x:c r="D78" s="108"/>
      <x:c r="E78" s="108"/>
      <x:c r="F78" s="132"/>
      <x:c r="G78" s="112"/>
      <x:c r="H78" s="134" t="str">
        <x:f>IF(OR(F78="",G78=""),"",F78*G78)</x:f>
      </x:c>
      <x:c r="I78" s="124"/>
      <x:c r="J78" s="124"/>
      <x:c r="K78" s="108"/>
      <x:c r="L78" s="108"/>
      <x:c r="M78" s="108"/>
      <x:c r="N78" s="161"/>
      <x:c r="O78" s="161"/>
      <x:c r="P78" s="161"/>
      <x:c r="Q78" s="161"/>
      <x:c r="R78" s="161"/>
      <x:c r="S78" s="161"/>
      <x:c r="T78" s="161"/>
      <x:c r="U78" s="161"/>
      <x:c r="V78" s="161"/>
      <x:c r="W78" s="161"/>
      <x:c r="X78" s="161"/>
      <x:c r="Y78" s="161"/>
      <x:c r="Z78" s="161"/>
    </x:row>
    <x:row r="79">
      <x:c r="A79" s="129" t="str">
        <x:f>IF(D79&lt;&gt;"","OPP-"&amp;TEXT(ROW()-5,"000"),"")</x:f>
      </x:c>
      <x:c r="B79" s="108"/>
      <x:c r="C79" s="129" t="str">
        <x:f>IFERROR(VLOOKUP(B79,'03 Clientes'!$A$6:$N$200,2,FALSE),"")</x:f>
      </x:c>
      <x:c r="D79" s="108"/>
      <x:c r="E79" s="108"/>
      <x:c r="F79" s="132"/>
      <x:c r="G79" s="112"/>
      <x:c r="H79" s="134" t="str">
        <x:f>IF(OR(F79="",G79=""),"",F79*G79)</x:f>
      </x:c>
      <x:c r="I79" s="124"/>
      <x:c r="J79" s="124"/>
      <x:c r="K79" s="108"/>
      <x:c r="L79" s="108"/>
      <x:c r="M79" s="108"/>
      <x:c r="N79" s="161"/>
      <x:c r="O79" s="161"/>
      <x:c r="P79" s="161"/>
      <x:c r="Q79" s="161"/>
      <x:c r="R79" s="161"/>
      <x:c r="S79" s="161"/>
      <x:c r="T79" s="161"/>
      <x:c r="U79" s="161"/>
      <x:c r="V79" s="161"/>
      <x:c r="W79" s="161"/>
      <x:c r="X79" s="161"/>
      <x:c r="Y79" s="161"/>
      <x:c r="Z79" s="161"/>
    </x:row>
    <x:row r="80">
      <x:c r="A80" s="129" t="str">
        <x:f>IF(D80&lt;&gt;"","OPP-"&amp;TEXT(ROW()-5,"000"),"")</x:f>
      </x:c>
      <x:c r="B80" s="108"/>
      <x:c r="C80" s="129" t="str">
        <x:f>IFERROR(VLOOKUP(B80,'03 Clientes'!$A$6:$N$200,2,FALSE),"")</x:f>
      </x:c>
      <x:c r="D80" s="108"/>
      <x:c r="E80" s="108"/>
      <x:c r="F80" s="132"/>
      <x:c r="G80" s="112"/>
      <x:c r="H80" s="134" t="str">
        <x:f>IF(OR(F80="",G80=""),"",F80*G80)</x:f>
      </x:c>
      <x:c r="I80" s="124"/>
      <x:c r="J80" s="124"/>
      <x:c r="K80" s="108"/>
      <x:c r="L80" s="108"/>
      <x:c r="M80" s="108"/>
      <x:c r="N80" s="161"/>
      <x:c r="O80" s="161"/>
      <x:c r="P80" s="161"/>
      <x:c r="Q80" s="161"/>
      <x:c r="R80" s="161"/>
      <x:c r="S80" s="161"/>
      <x:c r="T80" s="161"/>
      <x:c r="U80" s="161"/>
      <x:c r="V80" s="161"/>
      <x:c r="W80" s="161"/>
      <x:c r="X80" s="161"/>
      <x:c r="Y80" s="161"/>
      <x:c r="Z80" s="161"/>
    </x:row>
    <x:row r="81">
      <x:c r="A81" s="129" t="str">
        <x:f>IF(D81&lt;&gt;"","OPP-"&amp;TEXT(ROW()-5,"000"),"")</x:f>
      </x:c>
      <x:c r="B81" s="108"/>
      <x:c r="C81" s="129" t="str">
        <x:f>IFERROR(VLOOKUP(B81,'03 Clientes'!$A$6:$N$200,2,FALSE),"")</x:f>
      </x:c>
      <x:c r="D81" s="108"/>
      <x:c r="E81" s="108"/>
      <x:c r="F81" s="132"/>
      <x:c r="G81" s="112"/>
      <x:c r="H81" s="134" t="str">
        <x:f>IF(OR(F81="",G81=""),"",F81*G81)</x:f>
      </x:c>
      <x:c r="I81" s="124"/>
      <x:c r="J81" s="124"/>
      <x:c r="K81" s="108"/>
      <x:c r="L81" s="108"/>
      <x:c r="M81" s="108"/>
      <x:c r="N81" s="161"/>
      <x:c r="O81" s="161"/>
      <x:c r="P81" s="161"/>
      <x:c r="Q81" s="161"/>
      <x:c r="R81" s="161"/>
      <x:c r="S81" s="161"/>
      <x:c r="T81" s="161"/>
      <x:c r="U81" s="161"/>
      <x:c r="V81" s="161"/>
      <x:c r="W81" s="161"/>
      <x:c r="X81" s="161"/>
      <x:c r="Y81" s="161"/>
      <x:c r="Z81" s="161"/>
    </x:row>
    <x:row r="82">
      <x:c r="A82" s="129" t="str">
        <x:f>IF(D82&lt;&gt;"","OPP-"&amp;TEXT(ROW()-5,"000"),"")</x:f>
      </x:c>
      <x:c r="B82" s="108"/>
      <x:c r="C82" s="129" t="str">
        <x:f>IFERROR(VLOOKUP(B82,'03 Clientes'!$A$6:$N$200,2,FALSE),"")</x:f>
      </x:c>
      <x:c r="D82" s="108"/>
      <x:c r="E82" s="108"/>
      <x:c r="F82" s="132"/>
      <x:c r="G82" s="112"/>
      <x:c r="H82" s="134" t="str">
        <x:f>IF(OR(F82="",G82=""),"",F82*G82)</x:f>
      </x:c>
      <x:c r="I82" s="124"/>
      <x:c r="J82" s="124"/>
      <x:c r="K82" s="108"/>
      <x:c r="L82" s="108"/>
      <x:c r="M82" s="108"/>
      <x:c r="N82" s="161"/>
      <x:c r="O82" s="161"/>
      <x:c r="P82" s="161"/>
      <x:c r="Q82" s="161"/>
      <x:c r="R82" s="161"/>
      <x:c r="S82" s="161"/>
      <x:c r="T82" s="161"/>
      <x:c r="U82" s="161"/>
      <x:c r="V82" s="161"/>
      <x:c r="W82" s="161"/>
      <x:c r="X82" s="161"/>
      <x:c r="Y82" s="161"/>
      <x:c r="Z82" s="161"/>
    </x:row>
    <x:row r="83">
      <x:c r="A83" s="129" t="str">
        <x:f>IF(D83&lt;&gt;"","OPP-"&amp;TEXT(ROW()-5,"000"),"")</x:f>
      </x:c>
      <x:c r="B83" s="108"/>
      <x:c r="C83" s="129" t="str">
        <x:f>IFERROR(VLOOKUP(B83,'03 Clientes'!$A$6:$N$200,2,FALSE),"")</x:f>
      </x:c>
      <x:c r="D83" s="108"/>
      <x:c r="E83" s="108"/>
      <x:c r="F83" s="132"/>
      <x:c r="G83" s="112"/>
      <x:c r="H83" s="134" t="str">
        <x:f>IF(OR(F83="",G83=""),"",F83*G83)</x:f>
      </x:c>
      <x:c r="I83" s="124"/>
      <x:c r="J83" s="124"/>
      <x:c r="K83" s="108"/>
      <x:c r="L83" s="108"/>
      <x:c r="M83" s="108"/>
      <x:c r="N83" s="161"/>
      <x:c r="O83" s="161"/>
      <x:c r="P83" s="161"/>
      <x:c r="Q83" s="161"/>
      <x:c r="R83" s="161"/>
      <x:c r="S83" s="161"/>
      <x:c r="T83" s="161"/>
      <x:c r="U83" s="161"/>
      <x:c r="V83" s="161"/>
      <x:c r="W83" s="161"/>
      <x:c r="X83" s="161"/>
      <x:c r="Y83" s="161"/>
      <x:c r="Z83" s="161"/>
    </x:row>
    <x:row r="84">
      <x:c r="A84" s="129" t="str">
        <x:f>IF(D84&lt;&gt;"","OPP-"&amp;TEXT(ROW()-5,"000"),"")</x:f>
      </x:c>
      <x:c r="B84" s="108"/>
      <x:c r="C84" s="129" t="str">
        <x:f>IFERROR(VLOOKUP(B84,'03 Clientes'!$A$6:$N$200,2,FALSE),"")</x:f>
      </x:c>
      <x:c r="D84" s="108"/>
      <x:c r="E84" s="108"/>
      <x:c r="F84" s="132"/>
      <x:c r="G84" s="112"/>
      <x:c r="H84" s="134" t="str">
        <x:f>IF(OR(F84="",G84=""),"",F84*G84)</x:f>
      </x:c>
      <x:c r="I84" s="124"/>
      <x:c r="J84" s="124"/>
      <x:c r="K84" s="108"/>
      <x:c r="L84" s="108"/>
      <x:c r="M84" s="108"/>
      <x:c r="N84" s="161"/>
      <x:c r="O84" s="161"/>
      <x:c r="P84" s="161"/>
      <x:c r="Q84" s="161"/>
      <x:c r="R84" s="161"/>
      <x:c r="S84" s="161"/>
      <x:c r="T84" s="161"/>
      <x:c r="U84" s="161"/>
      <x:c r="V84" s="161"/>
      <x:c r="W84" s="161"/>
      <x:c r="X84" s="161"/>
      <x:c r="Y84" s="161"/>
      <x:c r="Z84" s="161"/>
    </x:row>
    <x:row r="85">
      <x:c r="A85" s="129" t="str">
        <x:f>IF(D85&lt;&gt;"","OPP-"&amp;TEXT(ROW()-5,"000"),"")</x:f>
      </x:c>
      <x:c r="B85" s="108"/>
      <x:c r="C85" s="129" t="str">
        <x:f>IFERROR(VLOOKUP(B85,'03 Clientes'!$A$6:$N$200,2,FALSE),"")</x:f>
      </x:c>
      <x:c r="D85" s="108"/>
      <x:c r="E85" s="108"/>
      <x:c r="F85" s="132"/>
      <x:c r="G85" s="112"/>
      <x:c r="H85" s="134" t="str">
        <x:f>IF(OR(F85="",G85=""),"",F85*G85)</x:f>
      </x:c>
      <x:c r="I85" s="124"/>
      <x:c r="J85" s="124"/>
      <x:c r="K85" s="108"/>
      <x:c r="L85" s="108"/>
      <x:c r="M85" s="108"/>
      <x:c r="N85" s="161"/>
      <x:c r="O85" s="161"/>
      <x:c r="P85" s="161"/>
      <x:c r="Q85" s="161"/>
      <x:c r="R85" s="161"/>
      <x:c r="S85" s="161"/>
      <x:c r="T85" s="161"/>
      <x:c r="U85" s="161"/>
      <x:c r="V85" s="161"/>
      <x:c r="W85" s="161"/>
      <x:c r="X85" s="161"/>
      <x:c r="Y85" s="161"/>
      <x:c r="Z85" s="161"/>
    </x:row>
    <x:row r="86">
      <x:c r="A86" s="129" t="str">
        <x:f>IF(D86&lt;&gt;"","OPP-"&amp;TEXT(ROW()-5,"000"),"")</x:f>
      </x:c>
      <x:c r="B86" s="108"/>
      <x:c r="C86" s="129" t="str">
        <x:f>IFERROR(VLOOKUP(B86,'03 Clientes'!$A$6:$N$200,2,FALSE),"")</x:f>
      </x:c>
      <x:c r="D86" s="108"/>
      <x:c r="E86" s="108"/>
      <x:c r="F86" s="132"/>
      <x:c r="G86" s="112"/>
      <x:c r="H86" s="134" t="str">
        <x:f>IF(OR(F86="",G86=""),"",F86*G86)</x:f>
      </x:c>
      <x:c r="I86" s="124"/>
      <x:c r="J86" s="124"/>
      <x:c r="K86" s="108"/>
      <x:c r="L86" s="108"/>
      <x:c r="M86" s="108"/>
      <x:c r="N86" s="161"/>
      <x:c r="O86" s="161"/>
      <x:c r="P86" s="161"/>
      <x:c r="Q86" s="161"/>
      <x:c r="R86" s="161"/>
      <x:c r="S86" s="161"/>
      <x:c r="T86" s="161"/>
      <x:c r="U86" s="161"/>
      <x:c r="V86" s="161"/>
      <x:c r="W86" s="161"/>
      <x:c r="X86" s="161"/>
      <x:c r="Y86" s="161"/>
      <x:c r="Z86" s="161"/>
    </x:row>
    <x:row r="87">
      <x:c r="A87" s="129" t="str">
        <x:f>IF(D87&lt;&gt;"","OPP-"&amp;TEXT(ROW()-5,"000"),"")</x:f>
      </x:c>
      <x:c r="B87" s="108"/>
      <x:c r="C87" s="129" t="str">
        <x:f>IFERROR(VLOOKUP(B87,'03 Clientes'!$A$6:$N$200,2,FALSE),"")</x:f>
      </x:c>
      <x:c r="D87" s="108"/>
      <x:c r="E87" s="108"/>
      <x:c r="F87" s="132"/>
      <x:c r="G87" s="112"/>
      <x:c r="H87" s="134" t="str">
        <x:f>IF(OR(F87="",G87=""),"",F87*G87)</x:f>
      </x:c>
      <x:c r="I87" s="124"/>
      <x:c r="J87" s="124"/>
      <x:c r="K87" s="108"/>
      <x:c r="L87" s="108"/>
      <x:c r="M87" s="108"/>
      <x:c r="N87" s="161"/>
      <x:c r="O87" s="161"/>
      <x:c r="P87" s="161"/>
      <x:c r="Q87" s="161"/>
      <x:c r="R87" s="161"/>
      <x:c r="S87" s="161"/>
      <x:c r="T87" s="161"/>
      <x:c r="U87" s="161"/>
      <x:c r="V87" s="161"/>
      <x:c r="W87" s="161"/>
      <x:c r="X87" s="161"/>
      <x:c r="Y87" s="161"/>
      <x:c r="Z87" s="161"/>
    </x:row>
    <x:row r="88">
      <x:c r="A88" s="129" t="str">
        <x:f>IF(D88&lt;&gt;"","OPP-"&amp;TEXT(ROW()-5,"000"),"")</x:f>
      </x:c>
      <x:c r="B88" s="108"/>
      <x:c r="C88" s="129" t="str">
        <x:f>IFERROR(VLOOKUP(B88,'03 Clientes'!$A$6:$N$200,2,FALSE),"")</x:f>
      </x:c>
      <x:c r="D88" s="108"/>
      <x:c r="E88" s="108"/>
      <x:c r="F88" s="132"/>
      <x:c r="G88" s="112"/>
      <x:c r="H88" s="134" t="str">
        <x:f>IF(OR(F88="",G88=""),"",F88*G88)</x:f>
      </x:c>
      <x:c r="I88" s="124"/>
      <x:c r="J88" s="124"/>
      <x:c r="K88" s="108"/>
      <x:c r="L88" s="108"/>
      <x:c r="M88" s="108"/>
      <x:c r="N88" s="161"/>
      <x:c r="O88" s="161"/>
      <x:c r="P88" s="161"/>
      <x:c r="Q88" s="161"/>
      <x:c r="R88" s="161"/>
      <x:c r="S88" s="161"/>
      <x:c r="T88" s="161"/>
      <x:c r="U88" s="161"/>
      <x:c r="V88" s="161"/>
      <x:c r="W88" s="161"/>
      <x:c r="X88" s="161"/>
      <x:c r="Y88" s="161"/>
      <x:c r="Z88" s="161"/>
    </x:row>
    <x:row r="89">
      <x:c r="A89" s="129" t="str">
        <x:f>IF(D89&lt;&gt;"","OPP-"&amp;TEXT(ROW()-5,"000"),"")</x:f>
      </x:c>
      <x:c r="B89" s="108"/>
      <x:c r="C89" s="129" t="str">
        <x:f>IFERROR(VLOOKUP(B89,'03 Clientes'!$A$6:$N$200,2,FALSE),"")</x:f>
      </x:c>
      <x:c r="D89" s="108"/>
      <x:c r="E89" s="108"/>
      <x:c r="F89" s="132"/>
      <x:c r="G89" s="112"/>
      <x:c r="H89" s="134" t="str">
        <x:f>IF(OR(F89="",G89=""),"",F89*G89)</x:f>
      </x:c>
      <x:c r="I89" s="124"/>
      <x:c r="J89" s="124"/>
      <x:c r="K89" s="108"/>
      <x:c r="L89" s="108"/>
      <x:c r="M89" s="108"/>
      <x:c r="N89" s="161"/>
      <x:c r="O89" s="161"/>
      <x:c r="P89" s="161"/>
      <x:c r="Q89" s="161"/>
      <x:c r="R89" s="161"/>
      <x:c r="S89" s="161"/>
      <x:c r="T89" s="161"/>
      <x:c r="U89" s="161"/>
      <x:c r="V89" s="161"/>
      <x:c r="W89" s="161"/>
      <x:c r="X89" s="161"/>
      <x:c r="Y89" s="161"/>
      <x:c r="Z89" s="161"/>
    </x:row>
    <x:row r="90">
      <x:c r="A90" s="129" t="str">
        <x:f>IF(D90&lt;&gt;"","OPP-"&amp;TEXT(ROW()-5,"000"),"")</x:f>
      </x:c>
      <x:c r="B90" s="108"/>
      <x:c r="C90" s="129" t="str">
        <x:f>IFERROR(VLOOKUP(B90,'03 Clientes'!$A$6:$N$200,2,FALSE),"")</x:f>
      </x:c>
      <x:c r="D90" s="108"/>
      <x:c r="E90" s="108"/>
      <x:c r="F90" s="132"/>
      <x:c r="G90" s="112"/>
      <x:c r="H90" s="134" t="str">
        <x:f>IF(OR(F90="",G90=""),"",F90*G90)</x:f>
      </x:c>
      <x:c r="I90" s="124"/>
      <x:c r="J90" s="124"/>
      <x:c r="K90" s="108"/>
      <x:c r="L90" s="108"/>
      <x:c r="M90" s="108"/>
      <x:c r="N90" s="161"/>
      <x:c r="O90" s="161"/>
      <x:c r="P90" s="161"/>
      <x:c r="Q90" s="161"/>
      <x:c r="R90" s="161"/>
      <x:c r="S90" s="161"/>
      <x:c r="T90" s="161"/>
      <x:c r="U90" s="161"/>
      <x:c r="V90" s="161"/>
      <x:c r="W90" s="161"/>
      <x:c r="X90" s="161"/>
      <x:c r="Y90" s="161"/>
      <x:c r="Z90" s="161"/>
    </x:row>
    <x:row r="91">
      <x:c r="A91" s="129" t="str">
        <x:f>IF(D91&lt;&gt;"","OPP-"&amp;TEXT(ROW()-5,"000"),"")</x:f>
      </x:c>
      <x:c r="B91" s="108"/>
      <x:c r="C91" s="129" t="str">
        <x:f>IFERROR(VLOOKUP(B91,'03 Clientes'!$A$6:$N$200,2,FALSE),"")</x:f>
      </x:c>
      <x:c r="D91" s="108"/>
      <x:c r="E91" s="108"/>
      <x:c r="F91" s="132"/>
      <x:c r="G91" s="112"/>
      <x:c r="H91" s="134" t="str">
        <x:f>IF(OR(F91="",G91=""),"",F91*G91)</x:f>
      </x:c>
      <x:c r="I91" s="124"/>
      <x:c r="J91" s="124"/>
      <x:c r="K91" s="108"/>
      <x:c r="L91" s="108"/>
      <x:c r="M91" s="108"/>
      <x:c r="N91" s="161"/>
      <x:c r="O91" s="161"/>
      <x:c r="P91" s="161"/>
      <x:c r="Q91" s="161"/>
      <x:c r="R91" s="161"/>
      <x:c r="S91" s="161"/>
      <x:c r="T91" s="161"/>
      <x:c r="U91" s="161"/>
      <x:c r="V91" s="161"/>
      <x:c r="W91" s="161"/>
      <x:c r="X91" s="161"/>
      <x:c r="Y91" s="161"/>
      <x:c r="Z91" s="161"/>
    </x:row>
    <x:row r="92">
      <x:c r="A92" s="129" t="str">
        <x:f>IF(D92&lt;&gt;"","OPP-"&amp;TEXT(ROW()-5,"000"),"")</x:f>
      </x:c>
      <x:c r="B92" s="108"/>
      <x:c r="C92" s="129" t="str">
        <x:f>IFERROR(VLOOKUP(B92,'03 Clientes'!$A$6:$N$200,2,FALSE),"")</x:f>
      </x:c>
      <x:c r="D92" s="108"/>
      <x:c r="E92" s="108"/>
      <x:c r="F92" s="132"/>
      <x:c r="G92" s="112"/>
      <x:c r="H92" s="134" t="str">
        <x:f>IF(OR(F92="",G92=""),"",F92*G92)</x:f>
      </x:c>
      <x:c r="I92" s="124"/>
      <x:c r="J92" s="124"/>
      <x:c r="K92" s="108"/>
      <x:c r="L92" s="108"/>
      <x:c r="M92" s="108"/>
      <x:c r="N92" s="161"/>
      <x:c r="O92" s="161"/>
      <x:c r="P92" s="161"/>
      <x:c r="Q92" s="161"/>
      <x:c r="R92" s="161"/>
      <x:c r="S92" s="161"/>
      <x:c r="T92" s="161"/>
      <x:c r="U92" s="161"/>
      <x:c r="V92" s="161"/>
      <x:c r="W92" s="161"/>
      <x:c r="X92" s="161"/>
      <x:c r="Y92" s="161"/>
      <x:c r="Z92" s="161"/>
    </x:row>
    <x:row r="93">
      <x:c r="A93" s="129" t="str">
        <x:f>IF(D93&lt;&gt;"","OPP-"&amp;TEXT(ROW()-5,"000"),"")</x:f>
      </x:c>
      <x:c r="B93" s="108"/>
      <x:c r="C93" s="129" t="str">
        <x:f>IFERROR(VLOOKUP(B93,'03 Clientes'!$A$6:$N$200,2,FALSE),"")</x:f>
      </x:c>
      <x:c r="D93" s="108"/>
      <x:c r="E93" s="108"/>
      <x:c r="F93" s="132"/>
      <x:c r="G93" s="112"/>
      <x:c r="H93" s="134" t="str">
        <x:f>IF(OR(F93="",G93=""),"",F93*G93)</x:f>
      </x:c>
      <x:c r="I93" s="124"/>
      <x:c r="J93" s="124"/>
      <x:c r="K93" s="108"/>
      <x:c r="L93" s="108"/>
      <x:c r="M93" s="108"/>
      <x:c r="N93" s="161"/>
      <x:c r="O93" s="161"/>
      <x:c r="P93" s="161"/>
      <x:c r="Q93" s="161"/>
      <x:c r="R93" s="161"/>
      <x:c r="S93" s="161"/>
      <x:c r="T93" s="161"/>
      <x:c r="U93" s="161"/>
      <x:c r="V93" s="161"/>
      <x:c r="W93" s="161"/>
      <x:c r="X93" s="161"/>
      <x:c r="Y93" s="161"/>
      <x:c r="Z93" s="161"/>
    </x:row>
    <x:row r="94">
      <x:c r="A94" s="129" t="str">
        <x:f>IF(D94&lt;&gt;"","OPP-"&amp;TEXT(ROW()-5,"000"),"")</x:f>
      </x:c>
      <x:c r="B94" s="108"/>
      <x:c r="C94" s="129" t="str">
        <x:f>IFERROR(VLOOKUP(B94,'03 Clientes'!$A$6:$N$200,2,FALSE),"")</x:f>
      </x:c>
      <x:c r="D94" s="108"/>
      <x:c r="E94" s="108"/>
      <x:c r="F94" s="132"/>
      <x:c r="G94" s="112"/>
      <x:c r="H94" s="134" t="str">
        <x:f>IF(OR(F94="",G94=""),"",F94*G94)</x:f>
      </x:c>
      <x:c r="I94" s="124"/>
      <x:c r="J94" s="124"/>
      <x:c r="K94" s="108"/>
      <x:c r="L94" s="108"/>
      <x:c r="M94" s="108"/>
      <x:c r="N94" s="161"/>
      <x:c r="O94" s="161"/>
      <x:c r="P94" s="161"/>
      <x:c r="Q94" s="161"/>
      <x:c r="R94" s="161"/>
      <x:c r="S94" s="161"/>
      <x:c r="T94" s="161"/>
      <x:c r="U94" s="161"/>
      <x:c r="V94" s="161"/>
      <x:c r="W94" s="161"/>
      <x:c r="X94" s="161"/>
      <x:c r="Y94" s="161"/>
      <x:c r="Z94" s="161"/>
    </x:row>
    <x:row r="95">
      <x:c r="A95" s="129" t="str">
        <x:f>IF(D95&lt;&gt;"","OPP-"&amp;TEXT(ROW()-5,"000"),"")</x:f>
      </x:c>
      <x:c r="B95" s="108"/>
      <x:c r="C95" s="129" t="str">
        <x:f>IFERROR(VLOOKUP(B95,'03 Clientes'!$A$6:$N$200,2,FALSE),"")</x:f>
      </x:c>
      <x:c r="D95" s="108"/>
      <x:c r="E95" s="108"/>
      <x:c r="F95" s="132"/>
      <x:c r="G95" s="112"/>
      <x:c r="H95" s="134" t="str">
        <x:f>IF(OR(F95="",G95=""),"",F95*G95)</x:f>
      </x:c>
      <x:c r="I95" s="124"/>
      <x:c r="J95" s="124"/>
      <x:c r="K95" s="108"/>
      <x:c r="L95" s="108"/>
      <x:c r="M95" s="108"/>
      <x:c r="N95" s="161"/>
      <x:c r="O95" s="161"/>
      <x:c r="P95" s="161"/>
      <x:c r="Q95" s="161"/>
      <x:c r="R95" s="161"/>
      <x:c r="S95" s="161"/>
      <x:c r="T95" s="161"/>
      <x:c r="U95" s="161"/>
      <x:c r="V95" s="161"/>
      <x:c r="W95" s="161"/>
      <x:c r="X95" s="161"/>
      <x:c r="Y95" s="161"/>
      <x:c r="Z95" s="161"/>
    </x:row>
    <x:row r="96">
      <x:c r="A96" s="129" t="str">
        <x:f>IF(D96&lt;&gt;"","OPP-"&amp;TEXT(ROW()-5,"000"),"")</x:f>
      </x:c>
      <x:c r="B96" s="108"/>
      <x:c r="C96" s="129" t="str">
        <x:f>IFERROR(VLOOKUP(B96,'03 Clientes'!$A$6:$N$200,2,FALSE),"")</x:f>
      </x:c>
      <x:c r="D96" s="108"/>
      <x:c r="E96" s="108"/>
      <x:c r="F96" s="132"/>
      <x:c r="G96" s="112"/>
      <x:c r="H96" s="134" t="str">
        <x:f>IF(OR(F96="",G96=""),"",F96*G96)</x:f>
      </x:c>
      <x:c r="I96" s="124"/>
      <x:c r="J96" s="124"/>
      <x:c r="K96" s="108"/>
      <x:c r="L96" s="108"/>
      <x:c r="M96" s="108"/>
      <x:c r="N96" s="161"/>
      <x:c r="O96" s="161"/>
      <x:c r="P96" s="161"/>
      <x:c r="Q96" s="161"/>
      <x:c r="R96" s="161"/>
      <x:c r="S96" s="161"/>
      <x:c r="T96" s="161"/>
      <x:c r="U96" s="161"/>
      <x:c r="V96" s="161"/>
      <x:c r="W96" s="161"/>
      <x:c r="X96" s="161"/>
      <x:c r="Y96" s="161"/>
      <x:c r="Z96" s="161"/>
    </x:row>
    <x:row r="97">
      <x:c r="A97" s="129" t="str">
        <x:f>IF(D97&lt;&gt;"","OPP-"&amp;TEXT(ROW()-5,"000"),"")</x:f>
      </x:c>
      <x:c r="B97" s="108"/>
      <x:c r="C97" s="129" t="str">
        <x:f>IFERROR(VLOOKUP(B97,'03 Clientes'!$A$6:$N$200,2,FALSE),"")</x:f>
      </x:c>
      <x:c r="D97" s="108"/>
      <x:c r="E97" s="108"/>
      <x:c r="F97" s="132"/>
      <x:c r="G97" s="112"/>
      <x:c r="H97" s="134" t="str">
        <x:f>IF(OR(F97="",G97=""),"",F97*G97)</x:f>
      </x:c>
      <x:c r="I97" s="124"/>
      <x:c r="J97" s="124"/>
      <x:c r="K97" s="108"/>
      <x:c r="L97" s="108"/>
      <x:c r="M97" s="108"/>
      <x:c r="N97" s="161"/>
      <x:c r="O97" s="161"/>
      <x:c r="P97" s="161"/>
      <x:c r="Q97" s="161"/>
      <x:c r="R97" s="161"/>
      <x:c r="S97" s="161"/>
      <x:c r="T97" s="161"/>
      <x:c r="U97" s="161"/>
      <x:c r="V97" s="161"/>
      <x:c r="W97" s="161"/>
      <x:c r="X97" s="161"/>
      <x:c r="Y97" s="161"/>
      <x:c r="Z97" s="161"/>
    </x:row>
    <x:row r="98">
      <x:c r="A98" s="129" t="str">
        <x:f>IF(D98&lt;&gt;"","OPP-"&amp;TEXT(ROW()-5,"000"),"")</x:f>
      </x:c>
      <x:c r="B98" s="108"/>
      <x:c r="C98" s="129" t="str">
        <x:f>IFERROR(VLOOKUP(B98,'03 Clientes'!$A$6:$N$200,2,FALSE),"")</x:f>
      </x:c>
      <x:c r="D98" s="108"/>
      <x:c r="E98" s="108"/>
      <x:c r="F98" s="132"/>
      <x:c r="G98" s="112"/>
      <x:c r="H98" s="134" t="str">
        <x:f>IF(OR(F98="",G98=""),"",F98*G98)</x:f>
      </x:c>
      <x:c r="I98" s="124"/>
      <x:c r="J98" s="124"/>
      <x:c r="K98" s="108"/>
      <x:c r="L98" s="108"/>
      <x:c r="M98" s="108"/>
      <x:c r="N98" s="161"/>
      <x:c r="O98" s="161"/>
      <x:c r="P98" s="161"/>
      <x:c r="Q98" s="161"/>
      <x:c r="R98" s="161"/>
      <x:c r="S98" s="161"/>
      <x:c r="T98" s="161"/>
      <x:c r="U98" s="161"/>
      <x:c r="V98" s="161"/>
      <x:c r="W98" s="161"/>
      <x:c r="X98" s="161"/>
      <x:c r="Y98" s="161"/>
      <x:c r="Z98" s="161"/>
    </x:row>
    <x:row r="99">
      <x:c r="A99" s="129" t="str">
        <x:f>IF(D99&lt;&gt;"","OPP-"&amp;TEXT(ROW()-5,"000"),"")</x:f>
      </x:c>
      <x:c r="B99" s="108"/>
      <x:c r="C99" s="129" t="str">
        <x:f>IFERROR(VLOOKUP(B99,'03 Clientes'!$A$6:$N$200,2,FALSE),"")</x:f>
      </x:c>
      <x:c r="D99" s="108"/>
      <x:c r="E99" s="108"/>
      <x:c r="F99" s="132"/>
      <x:c r="G99" s="112"/>
      <x:c r="H99" s="134" t="str">
        <x:f>IF(OR(F99="",G99=""),"",F99*G99)</x:f>
      </x:c>
      <x:c r="I99" s="124"/>
      <x:c r="J99" s="124"/>
      <x:c r="K99" s="108"/>
      <x:c r="L99" s="108"/>
      <x:c r="M99" s="108"/>
      <x:c r="N99" s="161"/>
      <x:c r="O99" s="161"/>
      <x:c r="P99" s="161"/>
      <x:c r="Q99" s="161"/>
      <x:c r="R99" s="161"/>
      <x:c r="S99" s="161"/>
      <x:c r="T99" s="161"/>
      <x:c r="U99" s="161"/>
      <x:c r="V99" s="161"/>
      <x:c r="W99" s="161"/>
      <x:c r="X99" s="161"/>
      <x:c r="Y99" s="161"/>
      <x:c r="Z99" s="161"/>
    </x:row>
    <x:row r="100">
      <x:c r="A100" s="129" t="str">
        <x:f>IF(D100&lt;&gt;"","OPP-"&amp;TEXT(ROW()-5,"000"),"")</x:f>
      </x:c>
      <x:c r="B100" s="108"/>
      <x:c r="C100" s="129" t="str">
        <x:f>IFERROR(VLOOKUP(B100,'03 Clientes'!$A$6:$N$200,2,FALSE),"")</x:f>
      </x:c>
      <x:c r="D100" s="108"/>
      <x:c r="E100" s="108"/>
      <x:c r="F100" s="132"/>
      <x:c r="G100" s="112"/>
      <x:c r="H100" s="134" t="str">
        <x:f>IF(OR(F100="",G100=""),"",F100*G100)</x:f>
      </x:c>
      <x:c r="I100" s="124"/>
      <x:c r="J100" s="124"/>
      <x:c r="K100" s="108"/>
      <x:c r="L100" s="108"/>
      <x:c r="M100" s="108"/>
      <x:c r="N100" s="161"/>
      <x:c r="O100" s="161"/>
      <x:c r="P100" s="161"/>
      <x:c r="Q100" s="161"/>
      <x:c r="R100" s="161"/>
      <x:c r="S100" s="161"/>
      <x:c r="T100" s="161"/>
      <x:c r="U100" s="161"/>
      <x:c r="V100" s="161"/>
      <x:c r="W100" s="161"/>
      <x:c r="X100" s="161"/>
      <x:c r="Y100" s="161"/>
      <x:c r="Z100" s="161"/>
    </x:row>
    <x:row r="101">
      <x:c r="A101" s="129" t="str">
        <x:f>IF(D101&lt;&gt;"","OPP-"&amp;TEXT(ROW()-5,"000"),"")</x:f>
      </x:c>
      <x:c r="B101" s="108"/>
      <x:c r="C101" s="129" t="str">
        <x:f>IFERROR(VLOOKUP(B101,'03 Clientes'!$A$6:$N$200,2,FALSE),"")</x:f>
      </x:c>
      <x:c r="D101" s="108"/>
      <x:c r="E101" s="108"/>
      <x:c r="F101" s="132"/>
      <x:c r="G101" s="112"/>
      <x:c r="H101" s="134" t="str">
        <x:f>IF(OR(F101="",G101=""),"",F101*G101)</x:f>
      </x:c>
      <x:c r="I101" s="124"/>
      <x:c r="J101" s="124"/>
      <x:c r="K101" s="108"/>
      <x:c r="L101" s="108"/>
      <x:c r="M101" s="108"/>
      <x:c r="N101" s="161"/>
      <x:c r="O101" s="161"/>
      <x:c r="P101" s="161"/>
      <x:c r="Q101" s="161"/>
      <x:c r="R101" s="161"/>
      <x:c r="S101" s="161"/>
      <x:c r="T101" s="161"/>
      <x:c r="U101" s="161"/>
      <x:c r="V101" s="161"/>
      <x:c r="W101" s="161"/>
      <x:c r="X101" s="161"/>
      <x:c r="Y101" s="161"/>
      <x:c r="Z101" s="161"/>
    </x:row>
    <x:row r="102">
      <x:c r="A102" s="129" t="str">
        <x:f>IF(D102&lt;&gt;"","OPP-"&amp;TEXT(ROW()-5,"000"),"")</x:f>
      </x:c>
      <x:c r="B102" s="108"/>
      <x:c r="C102" s="129" t="str">
        <x:f>IFERROR(VLOOKUP(B102,'03 Clientes'!$A$6:$N$200,2,FALSE),"")</x:f>
      </x:c>
      <x:c r="D102" s="108"/>
      <x:c r="E102" s="108"/>
      <x:c r="F102" s="132"/>
      <x:c r="G102" s="112"/>
      <x:c r="H102" s="134" t="str">
        <x:f>IF(OR(F102="",G102=""),"",F102*G102)</x:f>
      </x:c>
      <x:c r="I102" s="124"/>
      <x:c r="J102" s="124"/>
      <x:c r="K102" s="108"/>
      <x:c r="L102" s="108"/>
      <x:c r="M102" s="108"/>
      <x:c r="N102" s="161"/>
      <x:c r="O102" s="161"/>
      <x:c r="P102" s="161"/>
      <x:c r="Q102" s="161"/>
      <x:c r="R102" s="161"/>
      <x:c r="S102" s="161"/>
      <x:c r="T102" s="161"/>
      <x:c r="U102" s="161"/>
      <x:c r="V102" s="161"/>
      <x:c r="W102" s="161"/>
      <x:c r="X102" s="161"/>
      <x:c r="Y102" s="161"/>
      <x:c r="Z102" s="161"/>
    </x:row>
    <x:row r="103">
      <x:c r="A103" s="129" t="str">
        <x:f>IF(D103&lt;&gt;"","OPP-"&amp;TEXT(ROW()-5,"000"),"")</x:f>
      </x:c>
      <x:c r="B103" s="108"/>
      <x:c r="C103" s="129" t="str">
        <x:f>IFERROR(VLOOKUP(B103,'03 Clientes'!$A$6:$N$200,2,FALSE),"")</x:f>
      </x:c>
      <x:c r="D103" s="108"/>
      <x:c r="E103" s="108"/>
      <x:c r="F103" s="132"/>
      <x:c r="G103" s="112"/>
      <x:c r="H103" s="134" t="str">
        <x:f>IF(OR(F103="",G103=""),"",F103*G103)</x:f>
      </x:c>
      <x:c r="I103" s="124"/>
      <x:c r="J103" s="124"/>
      <x:c r="K103" s="108"/>
      <x:c r="L103" s="108"/>
      <x:c r="M103" s="108"/>
      <x:c r="N103" s="161"/>
      <x:c r="O103" s="161"/>
      <x:c r="P103" s="161"/>
      <x:c r="Q103" s="161"/>
      <x:c r="R103" s="161"/>
      <x:c r="S103" s="161"/>
      <x:c r="T103" s="161"/>
      <x:c r="U103" s="161"/>
      <x:c r="V103" s="161"/>
      <x:c r="W103" s="161"/>
      <x:c r="X103" s="161"/>
      <x:c r="Y103" s="161"/>
      <x:c r="Z103" s="161"/>
    </x:row>
    <x:row r="104">
      <x:c r="A104" s="129" t="str">
        <x:f>IF(D104&lt;&gt;"","OPP-"&amp;TEXT(ROW()-5,"000"),"")</x:f>
      </x:c>
      <x:c r="B104" s="108"/>
      <x:c r="C104" s="129" t="str">
        <x:f>IFERROR(VLOOKUP(B104,'03 Clientes'!$A$6:$N$200,2,FALSE),"")</x:f>
      </x:c>
      <x:c r="D104" s="108"/>
      <x:c r="E104" s="108"/>
      <x:c r="F104" s="132"/>
      <x:c r="G104" s="112"/>
      <x:c r="H104" s="134" t="str">
        <x:f>IF(OR(F104="",G104=""),"",F104*G104)</x:f>
      </x:c>
      <x:c r="I104" s="124"/>
      <x:c r="J104" s="124"/>
      <x:c r="K104" s="108"/>
      <x:c r="L104" s="108"/>
      <x:c r="M104" s="108"/>
      <x:c r="N104" s="161"/>
      <x:c r="O104" s="161"/>
      <x:c r="P104" s="161"/>
      <x:c r="Q104" s="161"/>
      <x:c r="R104" s="161"/>
      <x:c r="S104" s="161"/>
      <x:c r="T104" s="161"/>
      <x:c r="U104" s="161"/>
      <x:c r="V104" s="161"/>
      <x:c r="W104" s="161"/>
      <x:c r="X104" s="161"/>
      <x:c r="Y104" s="161"/>
      <x:c r="Z104" s="161"/>
    </x:row>
    <x:row r="105">
      <x:c r="A105" s="129" t="str">
        <x:f>IF(D105&lt;&gt;"","OPP-"&amp;TEXT(ROW()-5,"000"),"")</x:f>
      </x:c>
      <x:c r="B105" s="108"/>
      <x:c r="C105" s="129" t="str">
        <x:f>IFERROR(VLOOKUP(B105,'03 Clientes'!$A$6:$N$200,2,FALSE),"")</x:f>
      </x:c>
      <x:c r="D105" s="108"/>
      <x:c r="E105" s="108"/>
      <x:c r="F105" s="132"/>
      <x:c r="G105" s="112"/>
      <x:c r="H105" s="134" t="str">
        <x:f>IF(OR(F105="",G105=""),"",F105*G105)</x:f>
      </x:c>
      <x:c r="I105" s="124"/>
      <x:c r="J105" s="124"/>
      <x:c r="K105" s="108"/>
      <x:c r="L105" s="108"/>
      <x:c r="M105" s="108"/>
      <x:c r="N105" s="161"/>
      <x:c r="O105" s="161"/>
      <x:c r="P105" s="161"/>
      <x:c r="Q105" s="161"/>
      <x:c r="R105" s="161"/>
      <x:c r="S105" s="161"/>
      <x:c r="T105" s="161"/>
      <x:c r="U105" s="161"/>
      <x:c r="V105" s="161"/>
      <x:c r="W105" s="161"/>
      <x:c r="X105" s="161"/>
      <x:c r="Y105" s="161"/>
      <x:c r="Z105" s="161"/>
    </x:row>
    <x:row r="106">
      <x:c r="A106" s="129" t="str">
        <x:f>IF(D106&lt;&gt;"","OPP-"&amp;TEXT(ROW()-5,"000"),"")</x:f>
      </x:c>
      <x:c r="B106" s="108"/>
      <x:c r="C106" s="129" t="str">
        <x:f>IFERROR(VLOOKUP(B106,'03 Clientes'!$A$6:$N$200,2,FALSE),"")</x:f>
      </x:c>
      <x:c r="D106" s="108"/>
      <x:c r="E106" s="108"/>
      <x:c r="F106" s="132"/>
      <x:c r="G106" s="112"/>
      <x:c r="H106" s="134" t="str">
        <x:f>IF(OR(F106="",G106=""),"",F106*G106)</x:f>
      </x:c>
      <x:c r="I106" s="124"/>
      <x:c r="J106" s="124"/>
      <x:c r="K106" s="108"/>
      <x:c r="L106" s="108"/>
      <x:c r="M106" s="108"/>
      <x:c r="N106" s="161"/>
      <x:c r="O106" s="161"/>
      <x:c r="P106" s="161"/>
      <x:c r="Q106" s="161"/>
      <x:c r="R106" s="161"/>
      <x:c r="S106" s="161"/>
      <x:c r="T106" s="161"/>
      <x:c r="U106" s="161"/>
      <x:c r="V106" s="161"/>
      <x:c r="W106" s="161"/>
      <x:c r="X106" s="161"/>
      <x:c r="Y106" s="161"/>
      <x:c r="Z106" s="161"/>
    </x:row>
    <x:row r="107">
      <x:c r="A107" s="129" t="str">
        <x:f>IF(D107&lt;&gt;"","OPP-"&amp;TEXT(ROW()-5,"000"),"")</x:f>
      </x:c>
      <x:c r="B107" s="108"/>
      <x:c r="C107" s="129" t="str">
        <x:f>IFERROR(VLOOKUP(B107,'03 Clientes'!$A$6:$N$200,2,FALSE),"")</x:f>
      </x:c>
      <x:c r="D107" s="108"/>
      <x:c r="E107" s="108"/>
      <x:c r="F107" s="132"/>
      <x:c r="G107" s="112"/>
      <x:c r="H107" s="134" t="str">
        <x:f>IF(OR(F107="",G107=""),"",F107*G107)</x:f>
      </x:c>
      <x:c r="I107" s="124"/>
      <x:c r="J107" s="124"/>
      <x:c r="K107" s="108"/>
      <x:c r="L107" s="108"/>
      <x:c r="M107" s="108"/>
      <x:c r="N107" s="161"/>
      <x:c r="O107" s="161"/>
      <x:c r="P107" s="161"/>
      <x:c r="Q107" s="161"/>
      <x:c r="R107" s="161"/>
      <x:c r="S107" s="161"/>
      <x:c r="T107" s="161"/>
      <x:c r="U107" s="161"/>
      <x:c r="V107" s="161"/>
      <x:c r="W107" s="161"/>
      <x:c r="X107" s="161"/>
      <x:c r="Y107" s="161"/>
      <x:c r="Z107" s="161"/>
    </x:row>
    <x:row r="108">
      <x:c r="A108" s="129" t="str">
        <x:f>IF(D108&lt;&gt;"","OPP-"&amp;TEXT(ROW()-5,"000"),"")</x:f>
      </x:c>
      <x:c r="B108" s="108"/>
      <x:c r="C108" s="129" t="str">
        <x:f>IFERROR(VLOOKUP(B108,'03 Clientes'!$A$6:$N$200,2,FALSE),"")</x:f>
      </x:c>
      <x:c r="D108" s="108"/>
      <x:c r="E108" s="108"/>
      <x:c r="F108" s="132"/>
      <x:c r="G108" s="112"/>
      <x:c r="H108" s="134" t="str">
        <x:f>IF(OR(F108="",G108=""),"",F108*G108)</x:f>
      </x:c>
      <x:c r="I108" s="124"/>
      <x:c r="J108" s="124"/>
      <x:c r="K108" s="108"/>
      <x:c r="L108" s="108"/>
      <x:c r="M108" s="108"/>
      <x:c r="N108" s="161"/>
      <x:c r="O108" s="161"/>
      <x:c r="P108" s="161"/>
      <x:c r="Q108" s="161"/>
      <x:c r="R108" s="161"/>
      <x:c r="S108" s="161"/>
      <x:c r="T108" s="161"/>
      <x:c r="U108" s="161"/>
      <x:c r="V108" s="161"/>
      <x:c r="W108" s="161"/>
      <x:c r="X108" s="161"/>
      <x:c r="Y108" s="161"/>
      <x:c r="Z108" s="161"/>
    </x:row>
    <x:row r="109">
      <x:c r="A109" s="129" t="str">
        <x:f>IF(D109&lt;&gt;"","OPP-"&amp;TEXT(ROW()-5,"000"),"")</x:f>
      </x:c>
      <x:c r="B109" s="108"/>
      <x:c r="C109" s="129" t="str">
        <x:f>IFERROR(VLOOKUP(B109,'03 Clientes'!$A$6:$N$200,2,FALSE),"")</x:f>
      </x:c>
      <x:c r="D109" s="108"/>
      <x:c r="E109" s="108"/>
      <x:c r="F109" s="132"/>
      <x:c r="G109" s="112"/>
      <x:c r="H109" s="134" t="str">
        <x:f>IF(OR(F109="",G109=""),"",F109*G109)</x:f>
      </x:c>
      <x:c r="I109" s="124"/>
      <x:c r="J109" s="124"/>
      <x:c r="K109" s="108"/>
      <x:c r="L109" s="108"/>
      <x:c r="M109" s="108"/>
      <x:c r="N109" s="161"/>
      <x:c r="O109" s="161"/>
      <x:c r="P109" s="161"/>
      <x:c r="Q109" s="161"/>
      <x:c r="R109" s="161"/>
      <x:c r="S109" s="161"/>
      <x:c r="T109" s="161"/>
      <x:c r="U109" s="161"/>
      <x:c r="V109" s="161"/>
      <x:c r="W109" s="161"/>
      <x:c r="X109" s="161"/>
      <x:c r="Y109" s="161"/>
      <x:c r="Z109" s="161"/>
    </x:row>
    <x:row r="110">
      <x:c r="A110" s="129" t="str">
        <x:f>IF(D110&lt;&gt;"","OPP-"&amp;TEXT(ROW()-5,"000"),"")</x:f>
      </x:c>
      <x:c r="B110" s="108"/>
      <x:c r="C110" s="129" t="str">
        <x:f>IFERROR(VLOOKUP(B110,'03 Clientes'!$A$6:$N$200,2,FALSE),"")</x:f>
      </x:c>
      <x:c r="D110" s="108"/>
      <x:c r="E110" s="108"/>
      <x:c r="F110" s="132"/>
      <x:c r="G110" s="112"/>
      <x:c r="H110" s="134" t="str">
        <x:f>IF(OR(F110="",G110=""),"",F110*G110)</x:f>
      </x:c>
      <x:c r="I110" s="124"/>
      <x:c r="J110" s="124"/>
      <x:c r="K110" s="108"/>
      <x:c r="L110" s="108"/>
      <x:c r="M110" s="108"/>
      <x:c r="N110" s="161"/>
      <x:c r="O110" s="161"/>
      <x:c r="P110" s="161"/>
      <x:c r="Q110" s="161"/>
      <x:c r="R110" s="161"/>
      <x:c r="S110" s="161"/>
      <x:c r="T110" s="161"/>
      <x:c r="U110" s="161"/>
      <x:c r="V110" s="161"/>
      <x:c r="W110" s="161"/>
      <x:c r="X110" s="161"/>
      <x:c r="Y110" s="161"/>
      <x:c r="Z110" s="161"/>
    </x:row>
    <x:row r="111">
      <x:c r="A111" s="129" t="str">
        <x:f>IF(D111&lt;&gt;"","OPP-"&amp;TEXT(ROW()-5,"000"),"")</x:f>
      </x:c>
      <x:c r="B111" s="108"/>
      <x:c r="C111" s="129" t="str">
        <x:f>IFERROR(VLOOKUP(B111,'03 Clientes'!$A$6:$N$200,2,FALSE),"")</x:f>
      </x:c>
      <x:c r="D111" s="108"/>
      <x:c r="E111" s="108"/>
      <x:c r="F111" s="132"/>
      <x:c r="G111" s="112"/>
      <x:c r="H111" s="134" t="str">
        <x:f>IF(OR(F111="",G111=""),"",F111*G111)</x:f>
      </x:c>
      <x:c r="I111" s="124"/>
      <x:c r="J111" s="124"/>
      <x:c r="K111" s="108"/>
      <x:c r="L111" s="108"/>
      <x:c r="M111" s="108"/>
      <x:c r="N111" s="161"/>
      <x:c r="O111" s="161"/>
      <x:c r="P111" s="161"/>
      <x:c r="Q111" s="161"/>
      <x:c r="R111" s="161"/>
      <x:c r="S111" s="161"/>
      <x:c r="T111" s="161"/>
      <x:c r="U111" s="161"/>
      <x:c r="V111" s="161"/>
      <x:c r="W111" s="161"/>
      <x:c r="X111" s="161"/>
      <x:c r="Y111" s="161"/>
      <x:c r="Z111" s="161"/>
    </x:row>
    <x:row r="112">
      <x:c r="A112" s="129" t="str">
        <x:f>IF(D112&lt;&gt;"","OPP-"&amp;TEXT(ROW()-5,"000"),"")</x:f>
      </x:c>
      <x:c r="B112" s="108"/>
      <x:c r="C112" s="129" t="str">
        <x:f>IFERROR(VLOOKUP(B112,'03 Clientes'!$A$6:$N$200,2,FALSE),"")</x:f>
      </x:c>
      <x:c r="D112" s="108"/>
      <x:c r="E112" s="108"/>
      <x:c r="F112" s="132"/>
      <x:c r="G112" s="112"/>
      <x:c r="H112" s="134" t="str">
        <x:f>IF(OR(F112="",G112=""),"",F112*G112)</x:f>
      </x:c>
      <x:c r="I112" s="124"/>
      <x:c r="J112" s="124"/>
      <x:c r="K112" s="108"/>
      <x:c r="L112" s="108"/>
      <x:c r="M112" s="108"/>
      <x:c r="N112" s="161"/>
      <x:c r="O112" s="161"/>
      <x:c r="P112" s="161"/>
      <x:c r="Q112" s="161"/>
      <x:c r="R112" s="161"/>
      <x:c r="S112" s="161"/>
      <x:c r="T112" s="161"/>
      <x:c r="U112" s="161"/>
      <x:c r="V112" s="161"/>
      <x:c r="W112" s="161"/>
      <x:c r="X112" s="161"/>
      <x:c r="Y112" s="161"/>
      <x:c r="Z112" s="161"/>
    </x:row>
    <x:row r="113">
      <x:c r="A113" s="129" t="str">
        <x:f>IF(D113&lt;&gt;"","OPP-"&amp;TEXT(ROW()-5,"000"),"")</x:f>
      </x:c>
      <x:c r="B113" s="108"/>
      <x:c r="C113" s="129" t="str">
        <x:f>IFERROR(VLOOKUP(B113,'03 Clientes'!$A$6:$N$200,2,FALSE),"")</x:f>
      </x:c>
      <x:c r="D113" s="108"/>
      <x:c r="E113" s="108"/>
      <x:c r="F113" s="132"/>
      <x:c r="G113" s="112"/>
      <x:c r="H113" s="134" t="str">
        <x:f>IF(OR(F113="",G113=""),"",F113*G113)</x:f>
      </x:c>
      <x:c r="I113" s="124"/>
      <x:c r="J113" s="124"/>
      <x:c r="K113" s="108"/>
      <x:c r="L113" s="108"/>
      <x:c r="M113" s="108"/>
      <x:c r="N113" s="161"/>
      <x:c r="O113" s="161"/>
      <x:c r="P113" s="161"/>
      <x:c r="Q113" s="161"/>
      <x:c r="R113" s="161"/>
      <x:c r="S113" s="161"/>
      <x:c r="T113" s="161"/>
      <x:c r="U113" s="161"/>
      <x:c r="V113" s="161"/>
      <x:c r="W113" s="161"/>
      <x:c r="X113" s="161"/>
      <x:c r="Y113" s="161"/>
      <x:c r="Z113" s="161"/>
    </x:row>
    <x:row r="114">
      <x:c r="A114" s="129" t="str">
        <x:f>IF(D114&lt;&gt;"","OPP-"&amp;TEXT(ROW()-5,"000"),"")</x:f>
      </x:c>
      <x:c r="B114" s="108"/>
      <x:c r="C114" s="129" t="str">
        <x:f>IFERROR(VLOOKUP(B114,'03 Clientes'!$A$6:$N$200,2,FALSE),"")</x:f>
      </x:c>
      <x:c r="D114" s="108"/>
      <x:c r="E114" s="108"/>
      <x:c r="F114" s="132"/>
      <x:c r="G114" s="112"/>
      <x:c r="H114" s="134" t="str">
        <x:f>IF(OR(F114="",G114=""),"",F114*G114)</x:f>
      </x:c>
      <x:c r="I114" s="124"/>
      <x:c r="J114" s="124"/>
      <x:c r="K114" s="108"/>
      <x:c r="L114" s="108"/>
      <x:c r="M114" s="108"/>
      <x:c r="N114" s="161"/>
      <x:c r="O114" s="161"/>
      <x:c r="P114" s="161"/>
      <x:c r="Q114" s="161"/>
      <x:c r="R114" s="161"/>
      <x:c r="S114" s="161"/>
      <x:c r="T114" s="161"/>
      <x:c r="U114" s="161"/>
      <x:c r="V114" s="161"/>
      <x:c r="W114" s="161"/>
      <x:c r="X114" s="161"/>
      <x:c r="Y114" s="161"/>
      <x:c r="Z114" s="161"/>
    </x:row>
    <x:row r="115">
      <x:c r="A115" s="129" t="str">
        <x:f>IF(D115&lt;&gt;"","OPP-"&amp;TEXT(ROW()-5,"000"),"")</x:f>
      </x:c>
      <x:c r="B115" s="108"/>
      <x:c r="C115" s="129" t="str">
        <x:f>IFERROR(VLOOKUP(B115,'03 Clientes'!$A$6:$N$200,2,FALSE),"")</x:f>
      </x:c>
      <x:c r="D115" s="108"/>
      <x:c r="E115" s="108"/>
      <x:c r="F115" s="132"/>
      <x:c r="G115" s="112"/>
      <x:c r="H115" s="134" t="str">
        <x:f>IF(OR(F115="",G115=""),"",F115*G115)</x:f>
      </x:c>
      <x:c r="I115" s="124"/>
      <x:c r="J115" s="124"/>
      <x:c r="K115" s="108"/>
      <x:c r="L115" s="108"/>
      <x:c r="M115" s="108"/>
      <x:c r="N115" s="161"/>
      <x:c r="O115" s="161"/>
      <x:c r="P115" s="161"/>
      <x:c r="Q115" s="161"/>
      <x:c r="R115" s="161"/>
      <x:c r="S115" s="161"/>
      <x:c r="T115" s="161"/>
      <x:c r="U115" s="161"/>
      <x:c r="V115" s="161"/>
      <x:c r="W115" s="161"/>
      <x:c r="X115" s="161"/>
      <x:c r="Y115" s="161"/>
      <x:c r="Z115" s="161"/>
    </x:row>
    <x:row r="116">
      <x:c r="A116" s="129" t="str">
        <x:f>IF(D116&lt;&gt;"","OPP-"&amp;TEXT(ROW()-5,"000"),"")</x:f>
      </x:c>
      <x:c r="B116" s="108"/>
      <x:c r="C116" s="129" t="str">
        <x:f>IFERROR(VLOOKUP(B116,'03 Clientes'!$A$6:$N$200,2,FALSE),"")</x:f>
      </x:c>
      <x:c r="D116" s="108"/>
      <x:c r="E116" s="108"/>
      <x:c r="F116" s="132"/>
      <x:c r="G116" s="112"/>
      <x:c r="H116" s="134" t="str">
        <x:f>IF(OR(F116="",G116=""),"",F116*G116)</x:f>
      </x:c>
      <x:c r="I116" s="124"/>
      <x:c r="J116" s="124"/>
      <x:c r="K116" s="108"/>
      <x:c r="L116" s="108"/>
      <x:c r="M116" s="108"/>
      <x:c r="N116" s="161"/>
      <x:c r="O116" s="161"/>
      <x:c r="P116" s="161"/>
      <x:c r="Q116" s="161"/>
      <x:c r="R116" s="161"/>
      <x:c r="S116" s="161"/>
      <x:c r="T116" s="161"/>
      <x:c r="U116" s="161"/>
      <x:c r="V116" s="161"/>
      <x:c r="W116" s="161"/>
      <x:c r="X116" s="161"/>
      <x:c r="Y116" s="161"/>
      <x:c r="Z116" s="161"/>
    </x:row>
    <x:row r="117">
      <x:c r="A117" s="129" t="str">
        <x:f>IF(D117&lt;&gt;"","OPP-"&amp;TEXT(ROW()-5,"000"),"")</x:f>
      </x:c>
      <x:c r="B117" s="108"/>
      <x:c r="C117" s="129" t="str">
        <x:f>IFERROR(VLOOKUP(B117,'03 Clientes'!$A$6:$N$200,2,FALSE),"")</x:f>
      </x:c>
      <x:c r="D117" s="108"/>
      <x:c r="E117" s="108"/>
      <x:c r="F117" s="132"/>
      <x:c r="G117" s="112"/>
      <x:c r="H117" s="134" t="str">
        <x:f>IF(OR(F117="",G117=""),"",F117*G117)</x:f>
      </x:c>
      <x:c r="I117" s="124"/>
      <x:c r="J117" s="124"/>
      <x:c r="K117" s="108"/>
      <x:c r="L117" s="108"/>
      <x:c r="M117" s="108"/>
      <x:c r="N117" s="161"/>
      <x:c r="O117" s="161"/>
      <x:c r="P117" s="161"/>
      <x:c r="Q117" s="161"/>
      <x:c r="R117" s="161"/>
      <x:c r="S117" s="161"/>
      <x:c r="T117" s="161"/>
      <x:c r="U117" s="161"/>
      <x:c r="V117" s="161"/>
      <x:c r="W117" s="161"/>
      <x:c r="X117" s="161"/>
      <x:c r="Y117" s="161"/>
      <x:c r="Z117" s="161"/>
    </x:row>
    <x:row r="118">
      <x:c r="A118" s="129" t="str">
        <x:f>IF(D118&lt;&gt;"","OPP-"&amp;TEXT(ROW()-5,"000"),"")</x:f>
      </x:c>
      <x:c r="B118" s="108"/>
      <x:c r="C118" s="129" t="str">
        <x:f>IFERROR(VLOOKUP(B118,'03 Clientes'!$A$6:$N$200,2,FALSE),"")</x:f>
      </x:c>
      <x:c r="D118" s="108"/>
      <x:c r="E118" s="108"/>
      <x:c r="F118" s="132"/>
      <x:c r="G118" s="112"/>
      <x:c r="H118" s="134" t="str">
        <x:f>IF(OR(F118="",G118=""),"",F118*G118)</x:f>
      </x:c>
      <x:c r="I118" s="124"/>
      <x:c r="J118" s="124"/>
      <x:c r="K118" s="108"/>
      <x:c r="L118" s="108"/>
      <x:c r="M118" s="108"/>
      <x:c r="N118" s="161"/>
      <x:c r="O118" s="161"/>
      <x:c r="P118" s="161"/>
      <x:c r="Q118" s="161"/>
      <x:c r="R118" s="161"/>
      <x:c r="S118" s="161"/>
      <x:c r="T118" s="161"/>
      <x:c r="U118" s="161"/>
      <x:c r="V118" s="161"/>
      <x:c r="W118" s="161"/>
      <x:c r="X118" s="161"/>
      <x:c r="Y118" s="161"/>
      <x:c r="Z118" s="161"/>
    </x:row>
    <x:row r="119">
      <x:c r="A119" s="129" t="str">
        <x:f>IF(D119&lt;&gt;"","OPP-"&amp;TEXT(ROW()-5,"000"),"")</x:f>
      </x:c>
      <x:c r="B119" s="108"/>
      <x:c r="C119" s="129" t="str">
        <x:f>IFERROR(VLOOKUP(B119,'03 Clientes'!$A$6:$N$200,2,FALSE),"")</x:f>
      </x:c>
      <x:c r="D119" s="108"/>
      <x:c r="E119" s="108"/>
      <x:c r="F119" s="132"/>
      <x:c r="G119" s="112"/>
      <x:c r="H119" s="134" t="str">
        <x:f>IF(OR(F119="",G119=""),"",F119*G119)</x:f>
      </x:c>
      <x:c r="I119" s="124"/>
      <x:c r="J119" s="124"/>
      <x:c r="K119" s="108"/>
      <x:c r="L119" s="108"/>
      <x:c r="M119" s="108"/>
      <x:c r="N119" s="161"/>
      <x:c r="O119" s="161"/>
      <x:c r="P119" s="161"/>
      <x:c r="Q119" s="161"/>
      <x:c r="R119" s="161"/>
      <x:c r="S119" s="161"/>
      <x:c r="T119" s="161"/>
      <x:c r="U119" s="161"/>
      <x:c r="V119" s="161"/>
      <x:c r="W119" s="161"/>
      <x:c r="X119" s="161"/>
      <x:c r="Y119" s="161"/>
      <x:c r="Z119" s="161"/>
    </x:row>
    <x:row r="120">
      <x:c r="A120" s="129" t="str">
        <x:f>IF(D120&lt;&gt;"","OPP-"&amp;TEXT(ROW()-5,"000"),"")</x:f>
      </x:c>
      <x:c r="B120" s="108"/>
      <x:c r="C120" s="129" t="str">
        <x:f>IFERROR(VLOOKUP(B120,'03 Clientes'!$A$6:$N$200,2,FALSE),"")</x:f>
      </x:c>
      <x:c r="D120" s="108"/>
      <x:c r="E120" s="108"/>
      <x:c r="F120" s="132"/>
      <x:c r="G120" s="112"/>
      <x:c r="H120" s="134" t="str">
        <x:f>IF(OR(F120="",G120=""),"",F120*G120)</x:f>
      </x:c>
      <x:c r="I120" s="124"/>
      <x:c r="J120" s="124"/>
      <x:c r="K120" s="108"/>
      <x:c r="L120" s="108"/>
      <x:c r="M120" s="108"/>
      <x:c r="N120" s="161"/>
      <x:c r="O120" s="161"/>
      <x:c r="P120" s="161"/>
      <x:c r="Q120" s="161"/>
      <x:c r="R120" s="161"/>
      <x:c r="S120" s="161"/>
      <x:c r="T120" s="161"/>
      <x:c r="U120" s="161"/>
      <x:c r="V120" s="161"/>
      <x:c r="W120" s="161"/>
      <x:c r="X120" s="161"/>
      <x:c r="Y120" s="161"/>
      <x:c r="Z120" s="161"/>
    </x:row>
    <x:row r="121">
      <x:c r="A121" s="129" t="str">
        <x:f>IF(D121&lt;&gt;"","OPP-"&amp;TEXT(ROW()-5,"000"),"")</x:f>
      </x:c>
      <x:c r="B121" s="108"/>
      <x:c r="C121" s="129" t="str">
        <x:f>IFERROR(VLOOKUP(B121,'03 Clientes'!$A$6:$N$200,2,FALSE),"")</x:f>
      </x:c>
      <x:c r="D121" s="108"/>
      <x:c r="E121" s="108"/>
      <x:c r="F121" s="132"/>
      <x:c r="G121" s="112"/>
      <x:c r="H121" s="134" t="str">
        <x:f>IF(OR(F121="",G121=""),"",F121*G121)</x:f>
      </x:c>
      <x:c r="I121" s="124"/>
      <x:c r="J121" s="124"/>
      <x:c r="K121" s="108"/>
      <x:c r="L121" s="108"/>
      <x:c r="M121" s="108"/>
      <x:c r="N121" s="161"/>
      <x:c r="O121" s="161"/>
      <x:c r="P121" s="161"/>
      <x:c r="Q121" s="161"/>
      <x:c r="R121" s="161"/>
      <x:c r="S121" s="161"/>
      <x:c r="T121" s="161"/>
      <x:c r="U121" s="161"/>
      <x:c r="V121" s="161"/>
      <x:c r="W121" s="161"/>
      <x:c r="X121" s="161"/>
      <x:c r="Y121" s="161"/>
      <x:c r="Z121" s="161"/>
    </x:row>
    <x:row r="122">
      <x:c r="A122" s="129" t="str">
        <x:f>IF(D122&lt;&gt;"","OPP-"&amp;TEXT(ROW()-5,"000"),"")</x:f>
      </x:c>
      <x:c r="B122" s="108"/>
      <x:c r="C122" s="129" t="str">
        <x:f>IFERROR(VLOOKUP(B122,'03 Clientes'!$A$6:$N$200,2,FALSE),"")</x:f>
      </x:c>
      <x:c r="D122" s="108"/>
      <x:c r="E122" s="108"/>
      <x:c r="F122" s="132"/>
      <x:c r="G122" s="112"/>
      <x:c r="H122" s="134" t="str">
        <x:f>IF(OR(F122="",G122=""),"",F122*G122)</x:f>
      </x:c>
      <x:c r="I122" s="124"/>
      <x:c r="J122" s="124"/>
      <x:c r="K122" s="108"/>
      <x:c r="L122" s="108"/>
      <x:c r="M122" s="108"/>
      <x:c r="N122" s="161"/>
      <x:c r="O122" s="161"/>
      <x:c r="P122" s="161"/>
      <x:c r="Q122" s="161"/>
      <x:c r="R122" s="161"/>
      <x:c r="S122" s="161"/>
      <x:c r="T122" s="161"/>
      <x:c r="U122" s="161"/>
      <x:c r="V122" s="161"/>
      <x:c r="W122" s="161"/>
      <x:c r="X122" s="161"/>
      <x:c r="Y122" s="161"/>
      <x:c r="Z122" s="161"/>
    </x:row>
    <x:row r="123">
      <x:c r="A123" s="129" t="str">
        <x:f>IF(D123&lt;&gt;"","OPP-"&amp;TEXT(ROW()-5,"000"),"")</x:f>
      </x:c>
      <x:c r="B123" s="108"/>
      <x:c r="C123" s="129" t="str">
        <x:f>IFERROR(VLOOKUP(B123,'03 Clientes'!$A$6:$N$200,2,FALSE),"")</x:f>
      </x:c>
      <x:c r="D123" s="108"/>
      <x:c r="E123" s="108"/>
      <x:c r="F123" s="132"/>
      <x:c r="G123" s="112"/>
      <x:c r="H123" s="134" t="str">
        <x:f>IF(OR(F123="",G123=""),"",F123*G123)</x:f>
      </x:c>
      <x:c r="I123" s="124"/>
      <x:c r="J123" s="124"/>
      <x:c r="K123" s="108"/>
      <x:c r="L123" s="108"/>
      <x:c r="M123" s="108"/>
      <x:c r="N123" s="161"/>
      <x:c r="O123" s="161"/>
      <x:c r="P123" s="161"/>
      <x:c r="Q123" s="161"/>
      <x:c r="R123" s="161"/>
      <x:c r="S123" s="161"/>
      <x:c r="T123" s="161"/>
      <x:c r="U123" s="161"/>
      <x:c r="V123" s="161"/>
      <x:c r="W123" s="161"/>
      <x:c r="X123" s="161"/>
      <x:c r="Y123" s="161"/>
      <x:c r="Z123" s="161"/>
    </x:row>
    <x:row r="124">
      <x:c r="A124" s="129" t="str">
        <x:f>IF(D124&lt;&gt;"","OPP-"&amp;TEXT(ROW()-5,"000"),"")</x:f>
      </x:c>
      <x:c r="B124" s="108"/>
      <x:c r="C124" s="129" t="str">
        <x:f>IFERROR(VLOOKUP(B124,'03 Clientes'!$A$6:$N$200,2,FALSE),"")</x:f>
      </x:c>
      <x:c r="D124" s="108"/>
      <x:c r="E124" s="108"/>
      <x:c r="F124" s="132"/>
      <x:c r="G124" s="112"/>
      <x:c r="H124" s="134" t="str">
        <x:f>IF(OR(F124="",G124=""),"",F124*G124)</x:f>
      </x:c>
      <x:c r="I124" s="124"/>
      <x:c r="J124" s="124"/>
      <x:c r="K124" s="108"/>
      <x:c r="L124" s="108"/>
      <x:c r="M124" s="108"/>
      <x:c r="N124" s="161"/>
      <x:c r="O124" s="161"/>
      <x:c r="P124" s="161"/>
      <x:c r="Q124" s="161"/>
      <x:c r="R124" s="161"/>
      <x:c r="S124" s="161"/>
      <x:c r="T124" s="161"/>
      <x:c r="U124" s="161"/>
      <x:c r="V124" s="161"/>
      <x:c r="W124" s="161"/>
      <x:c r="X124" s="161"/>
      <x:c r="Y124" s="161"/>
      <x:c r="Z124" s="161"/>
    </x:row>
    <x:row r="125">
      <x:c r="A125" s="129" t="str">
        <x:f>IF(D125&lt;&gt;"","OPP-"&amp;TEXT(ROW()-5,"000"),"")</x:f>
      </x:c>
      <x:c r="B125" s="108"/>
      <x:c r="C125" s="129" t="str">
        <x:f>IFERROR(VLOOKUP(B125,'03 Clientes'!$A$6:$N$200,2,FALSE),"")</x:f>
      </x:c>
      <x:c r="D125" s="108"/>
      <x:c r="E125" s="108"/>
      <x:c r="F125" s="132"/>
      <x:c r="G125" s="112"/>
      <x:c r="H125" s="134" t="str">
        <x:f>IF(OR(F125="",G125=""),"",F125*G125)</x:f>
      </x:c>
      <x:c r="I125" s="124"/>
      <x:c r="J125" s="124"/>
      <x:c r="K125" s="108"/>
      <x:c r="L125" s="108"/>
      <x:c r="M125" s="108"/>
      <x:c r="N125" s="161"/>
      <x:c r="O125" s="161"/>
      <x:c r="P125" s="161"/>
      <x:c r="Q125" s="161"/>
      <x:c r="R125" s="161"/>
      <x:c r="S125" s="161"/>
      <x:c r="T125" s="161"/>
      <x:c r="U125" s="161"/>
      <x:c r="V125" s="161"/>
      <x:c r="W125" s="161"/>
      <x:c r="X125" s="161"/>
      <x:c r="Y125" s="161"/>
      <x:c r="Z125" s="161"/>
    </x:row>
    <x:row r="126">
      <x:c r="A126" s="129" t="str">
        <x:f>IF(D126&lt;&gt;"","OPP-"&amp;TEXT(ROW()-5,"000"),"")</x:f>
      </x:c>
      <x:c r="B126" s="108"/>
      <x:c r="C126" s="129" t="str">
        <x:f>IFERROR(VLOOKUP(B126,'03 Clientes'!$A$6:$N$200,2,FALSE),"")</x:f>
      </x:c>
      <x:c r="D126" s="108"/>
      <x:c r="E126" s="108"/>
      <x:c r="F126" s="132"/>
      <x:c r="G126" s="112"/>
      <x:c r="H126" s="134" t="str">
        <x:f>IF(OR(F126="",G126=""),"",F126*G126)</x:f>
      </x:c>
      <x:c r="I126" s="124"/>
      <x:c r="J126" s="124"/>
      <x:c r="K126" s="108"/>
      <x:c r="L126" s="108"/>
      <x:c r="M126" s="108"/>
      <x:c r="N126" s="161"/>
      <x:c r="O126" s="161"/>
      <x:c r="P126" s="161"/>
      <x:c r="Q126" s="161"/>
      <x:c r="R126" s="161"/>
      <x:c r="S126" s="161"/>
      <x:c r="T126" s="161"/>
      <x:c r="U126" s="161"/>
      <x:c r="V126" s="161"/>
      <x:c r="W126" s="161"/>
      <x:c r="X126" s="161"/>
      <x:c r="Y126" s="161"/>
      <x:c r="Z126" s="161"/>
    </x:row>
    <x:row r="127">
      <x:c r="A127" s="129" t="str">
        <x:f>IF(D127&lt;&gt;"","OPP-"&amp;TEXT(ROW()-5,"000"),"")</x:f>
      </x:c>
      <x:c r="B127" s="108"/>
      <x:c r="C127" s="129" t="str">
        <x:f>IFERROR(VLOOKUP(B127,'03 Clientes'!$A$6:$N$200,2,FALSE),"")</x:f>
      </x:c>
      <x:c r="D127" s="108"/>
      <x:c r="E127" s="108"/>
      <x:c r="F127" s="132"/>
      <x:c r="G127" s="112"/>
      <x:c r="H127" s="134" t="str">
        <x:f>IF(OR(F127="",G127=""),"",F127*G127)</x:f>
      </x:c>
      <x:c r="I127" s="124"/>
      <x:c r="J127" s="124"/>
      <x:c r="K127" s="108"/>
      <x:c r="L127" s="108"/>
      <x:c r="M127" s="108"/>
      <x:c r="N127" s="161"/>
      <x:c r="O127" s="161"/>
      <x:c r="P127" s="161"/>
      <x:c r="Q127" s="161"/>
      <x:c r="R127" s="161"/>
      <x:c r="S127" s="161"/>
      <x:c r="T127" s="161"/>
      <x:c r="U127" s="161"/>
      <x:c r="V127" s="161"/>
      <x:c r="W127" s="161"/>
      <x:c r="X127" s="161"/>
      <x:c r="Y127" s="161"/>
      <x:c r="Z127" s="161"/>
    </x:row>
    <x:row r="128">
      <x:c r="A128" s="129" t="str">
        <x:f>IF(D128&lt;&gt;"","OPP-"&amp;TEXT(ROW()-5,"000"),"")</x:f>
      </x:c>
      <x:c r="B128" s="108"/>
      <x:c r="C128" s="129" t="str">
        <x:f>IFERROR(VLOOKUP(B128,'03 Clientes'!$A$6:$N$200,2,FALSE),"")</x:f>
      </x:c>
      <x:c r="D128" s="108"/>
      <x:c r="E128" s="108"/>
      <x:c r="F128" s="132"/>
      <x:c r="G128" s="112"/>
      <x:c r="H128" s="134" t="str">
        <x:f>IF(OR(F128="",G128=""),"",F128*G128)</x:f>
      </x:c>
      <x:c r="I128" s="124"/>
      <x:c r="J128" s="124"/>
      <x:c r="K128" s="108"/>
      <x:c r="L128" s="108"/>
      <x:c r="M128" s="108"/>
      <x:c r="N128" s="161"/>
      <x:c r="O128" s="161"/>
      <x:c r="P128" s="161"/>
      <x:c r="Q128" s="161"/>
      <x:c r="R128" s="161"/>
      <x:c r="S128" s="161"/>
      <x:c r="T128" s="161"/>
      <x:c r="U128" s="161"/>
      <x:c r="V128" s="161"/>
      <x:c r="W128" s="161"/>
      <x:c r="X128" s="161"/>
      <x:c r="Y128" s="161"/>
      <x:c r="Z128" s="161"/>
    </x:row>
    <x:row r="129">
      <x:c r="A129" s="129" t="str">
        <x:f>IF(D129&lt;&gt;"","OPP-"&amp;TEXT(ROW()-5,"000"),"")</x:f>
      </x:c>
      <x:c r="B129" s="108"/>
      <x:c r="C129" s="129" t="str">
        <x:f>IFERROR(VLOOKUP(B129,'03 Clientes'!$A$6:$N$200,2,FALSE),"")</x:f>
      </x:c>
      <x:c r="D129" s="108"/>
      <x:c r="E129" s="108"/>
      <x:c r="F129" s="132"/>
      <x:c r="G129" s="112"/>
      <x:c r="H129" s="134" t="str">
        <x:f>IF(OR(F129="",G129=""),"",F129*G129)</x:f>
      </x:c>
      <x:c r="I129" s="124"/>
      <x:c r="J129" s="124"/>
      <x:c r="K129" s="108"/>
      <x:c r="L129" s="108"/>
      <x:c r="M129" s="108"/>
      <x:c r="N129" s="161"/>
      <x:c r="O129" s="161"/>
      <x:c r="P129" s="161"/>
      <x:c r="Q129" s="161"/>
      <x:c r="R129" s="161"/>
      <x:c r="S129" s="161"/>
      <x:c r="T129" s="161"/>
      <x:c r="U129" s="161"/>
      <x:c r="V129" s="161"/>
      <x:c r="W129" s="161"/>
      <x:c r="X129" s="161"/>
      <x:c r="Y129" s="161"/>
      <x:c r="Z129" s="161"/>
    </x:row>
    <x:row r="130">
      <x:c r="A130" s="129" t="str">
        <x:f>IF(D130&lt;&gt;"","OPP-"&amp;TEXT(ROW()-5,"000"),"")</x:f>
      </x:c>
      <x:c r="B130" s="108"/>
      <x:c r="C130" s="129" t="str">
        <x:f>IFERROR(VLOOKUP(B130,'03 Clientes'!$A$6:$N$200,2,FALSE),"")</x:f>
      </x:c>
      <x:c r="D130" s="108"/>
      <x:c r="E130" s="108"/>
      <x:c r="F130" s="132"/>
      <x:c r="G130" s="112"/>
      <x:c r="H130" s="134" t="str">
        <x:f>IF(OR(F130="",G130=""),"",F130*G130)</x:f>
      </x:c>
      <x:c r="I130" s="124"/>
      <x:c r="J130" s="124"/>
      <x:c r="K130" s="108"/>
      <x:c r="L130" s="108"/>
      <x:c r="M130" s="108"/>
      <x:c r="N130" s="161"/>
      <x:c r="O130" s="161"/>
      <x:c r="P130" s="161"/>
      <x:c r="Q130" s="161"/>
      <x:c r="R130" s="161"/>
      <x:c r="S130" s="161"/>
      <x:c r="T130" s="161"/>
      <x:c r="U130" s="161"/>
      <x:c r="V130" s="161"/>
      <x:c r="W130" s="161"/>
      <x:c r="X130" s="161"/>
      <x:c r="Y130" s="161"/>
      <x:c r="Z130" s="161"/>
    </x:row>
    <x:row r="131">
      <x:c r="A131" s="129" t="str">
        <x:f>IF(D131&lt;&gt;"","OPP-"&amp;TEXT(ROW()-5,"000"),"")</x:f>
      </x:c>
      <x:c r="B131" s="108"/>
      <x:c r="C131" s="129" t="str">
        <x:f>IFERROR(VLOOKUP(B131,'03 Clientes'!$A$6:$N$200,2,FALSE),"")</x:f>
      </x:c>
      <x:c r="D131" s="108"/>
      <x:c r="E131" s="108"/>
      <x:c r="F131" s="132"/>
      <x:c r="G131" s="112"/>
      <x:c r="H131" s="134" t="str">
        <x:f>IF(OR(F131="",G131=""),"",F131*G131)</x:f>
      </x:c>
      <x:c r="I131" s="124"/>
      <x:c r="J131" s="124"/>
      <x:c r="K131" s="108"/>
      <x:c r="L131" s="108"/>
      <x:c r="M131" s="108"/>
      <x:c r="N131" s="161"/>
      <x:c r="O131" s="161"/>
      <x:c r="P131" s="161"/>
      <x:c r="Q131" s="161"/>
      <x:c r="R131" s="161"/>
      <x:c r="S131" s="161"/>
      <x:c r="T131" s="161"/>
      <x:c r="U131" s="161"/>
      <x:c r="V131" s="161"/>
      <x:c r="W131" s="161"/>
      <x:c r="X131" s="161"/>
      <x:c r="Y131" s="161"/>
      <x:c r="Z131" s="161"/>
    </x:row>
    <x:row r="132">
      <x:c r="A132" s="129" t="str">
        <x:f>IF(D132&lt;&gt;"","OPP-"&amp;TEXT(ROW()-5,"000"),"")</x:f>
      </x:c>
      <x:c r="B132" s="108"/>
      <x:c r="C132" s="129" t="str">
        <x:f>IFERROR(VLOOKUP(B132,'03 Clientes'!$A$6:$N$200,2,FALSE),"")</x:f>
      </x:c>
      <x:c r="D132" s="108"/>
      <x:c r="E132" s="108"/>
      <x:c r="F132" s="132"/>
      <x:c r="G132" s="112"/>
      <x:c r="H132" s="134" t="str">
        <x:f>IF(OR(F132="",G132=""),"",F132*G132)</x:f>
      </x:c>
      <x:c r="I132" s="124"/>
      <x:c r="J132" s="124"/>
      <x:c r="K132" s="108"/>
      <x:c r="L132" s="108"/>
      <x:c r="M132" s="108"/>
      <x:c r="N132" s="161"/>
      <x:c r="O132" s="161"/>
      <x:c r="P132" s="161"/>
      <x:c r="Q132" s="161"/>
      <x:c r="R132" s="161"/>
      <x:c r="S132" s="161"/>
      <x:c r="T132" s="161"/>
      <x:c r="U132" s="161"/>
      <x:c r="V132" s="161"/>
      <x:c r="W132" s="161"/>
      <x:c r="X132" s="161"/>
      <x:c r="Y132" s="161"/>
      <x:c r="Z132" s="161"/>
    </x:row>
    <x:row r="133">
      <x:c r="A133" s="129" t="str">
        <x:f>IF(D133&lt;&gt;"","OPP-"&amp;TEXT(ROW()-5,"000"),"")</x:f>
      </x:c>
      <x:c r="B133" s="108"/>
      <x:c r="C133" s="129" t="str">
        <x:f>IFERROR(VLOOKUP(B133,'03 Clientes'!$A$6:$N$200,2,FALSE),"")</x:f>
      </x:c>
      <x:c r="D133" s="108"/>
      <x:c r="E133" s="108"/>
      <x:c r="F133" s="132"/>
      <x:c r="G133" s="112"/>
      <x:c r="H133" s="134" t="str">
        <x:f>IF(OR(F133="",G133=""),"",F133*G133)</x:f>
      </x:c>
      <x:c r="I133" s="124"/>
      <x:c r="J133" s="124"/>
      <x:c r="K133" s="108"/>
      <x:c r="L133" s="108"/>
      <x:c r="M133" s="108"/>
      <x:c r="N133" s="161"/>
      <x:c r="O133" s="161"/>
      <x:c r="P133" s="161"/>
      <x:c r="Q133" s="161"/>
      <x:c r="R133" s="161"/>
      <x:c r="S133" s="161"/>
      <x:c r="T133" s="161"/>
      <x:c r="U133" s="161"/>
      <x:c r="V133" s="161"/>
      <x:c r="W133" s="161"/>
      <x:c r="X133" s="161"/>
      <x:c r="Y133" s="161"/>
      <x:c r="Z133" s="161"/>
    </x:row>
    <x:row r="134">
      <x:c r="A134" s="129" t="str">
        <x:f>IF(D134&lt;&gt;"","OPP-"&amp;TEXT(ROW()-5,"000"),"")</x:f>
      </x:c>
      <x:c r="B134" s="108"/>
      <x:c r="C134" s="129" t="str">
        <x:f>IFERROR(VLOOKUP(B134,'03 Clientes'!$A$6:$N$200,2,FALSE),"")</x:f>
      </x:c>
      <x:c r="D134" s="108"/>
      <x:c r="E134" s="108"/>
      <x:c r="F134" s="132"/>
      <x:c r="G134" s="112"/>
      <x:c r="H134" s="134" t="str">
        <x:f>IF(OR(F134="",G134=""),"",F134*G134)</x:f>
      </x:c>
      <x:c r="I134" s="124"/>
      <x:c r="J134" s="124"/>
      <x:c r="K134" s="108"/>
      <x:c r="L134" s="108"/>
      <x:c r="M134" s="108"/>
      <x:c r="N134" s="161"/>
      <x:c r="O134" s="161"/>
      <x:c r="P134" s="161"/>
      <x:c r="Q134" s="161"/>
      <x:c r="R134" s="161"/>
      <x:c r="S134" s="161"/>
      <x:c r="T134" s="161"/>
      <x:c r="U134" s="161"/>
      <x:c r="V134" s="161"/>
      <x:c r="W134" s="161"/>
      <x:c r="X134" s="161"/>
      <x:c r="Y134" s="161"/>
      <x:c r="Z134" s="161"/>
    </x:row>
    <x:row r="135">
      <x:c r="A135" s="129" t="str">
        <x:f>IF(D135&lt;&gt;"","OPP-"&amp;TEXT(ROW()-5,"000"),"")</x:f>
      </x:c>
      <x:c r="B135" s="108"/>
      <x:c r="C135" s="129" t="str">
        <x:f>IFERROR(VLOOKUP(B135,'03 Clientes'!$A$6:$N$200,2,FALSE),"")</x:f>
      </x:c>
      <x:c r="D135" s="108"/>
      <x:c r="E135" s="108"/>
      <x:c r="F135" s="132"/>
      <x:c r="G135" s="112"/>
      <x:c r="H135" s="134" t="str">
        <x:f>IF(OR(F135="",G135=""),"",F135*G135)</x:f>
      </x:c>
      <x:c r="I135" s="124"/>
      <x:c r="J135" s="124"/>
      <x:c r="K135" s="108"/>
      <x:c r="L135" s="108"/>
      <x:c r="M135" s="108"/>
      <x:c r="N135" s="161"/>
      <x:c r="O135" s="161"/>
      <x:c r="P135" s="161"/>
      <x:c r="Q135" s="161"/>
      <x:c r="R135" s="161"/>
      <x:c r="S135" s="161"/>
      <x:c r="T135" s="161"/>
      <x:c r="U135" s="161"/>
      <x:c r="V135" s="161"/>
      <x:c r="W135" s="161"/>
      <x:c r="X135" s="161"/>
      <x:c r="Y135" s="161"/>
      <x:c r="Z135" s="161"/>
    </x:row>
    <x:row r="136">
      <x:c r="A136" s="129" t="str">
        <x:f>IF(D136&lt;&gt;"","OPP-"&amp;TEXT(ROW()-5,"000"),"")</x:f>
      </x:c>
      <x:c r="B136" s="108"/>
      <x:c r="C136" s="129" t="str">
        <x:f>IFERROR(VLOOKUP(B136,'03 Clientes'!$A$6:$N$200,2,FALSE),"")</x:f>
      </x:c>
      <x:c r="D136" s="108"/>
      <x:c r="E136" s="108"/>
      <x:c r="F136" s="132"/>
      <x:c r="G136" s="112"/>
      <x:c r="H136" s="134" t="str">
        <x:f>IF(OR(F136="",G136=""),"",F136*G136)</x:f>
      </x:c>
      <x:c r="I136" s="124"/>
      <x:c r="J136" s="124"/>
      <x:c r="K136" s="108"/>
      <x:c r="L136" s="108"/>
      <x:c r="M136" s="108"/>
      <x:c r="N136" s="161"/>
      <x:c r="O136" s="161"/>
      <x:c r="P136" s="161"/>
      <x:c r="Q136" s="161"/>
      <x:c r="R136" s="161"/>
      <x:c r="S136" s="161"/>
      <x:c r="T136" s="161"/>
      <x:c r="U136" s="161"/>
      <x:c r="V136" s="161"/>
      <x:c r="W136" s="161"/>
      <x:c r="X136" s="161"/>
      <x:c r="Y136" s="161"/>
      <x:c r="Z136" s="161"/>
    </x:row>
    <x:row r="137">
      <x:c r="A137" s="129" t="str">
        <x:f>IF(D137&lt;&gt;"","OPP-"&amp;TEXT(ROW()-5,"000"),"")</x:f>
      </x:c>
      <x:c r="B137" s="108"/>
      <x:c r="C137" s="129" t="str">
        <x:f>IFERROR(VLOOKUP(B137,'03 Clientes'!$A$6:$N$200,2,FALSE),"")</x:f>
      </x:c>
      <x:c r="D137" s="108"/>
      <x:c r="E137" s="108"/>
      <x:c r="F137" s="132"/>
      <x:c r="G137" s="112"/>
      <x:c r="H137" s="134" t="str">
        <x:f>IF(OR(F137="",G137=""),"",F137*G137)</x:f>
      </x:c>
      <x:c r="I137" s="124"/>
      <x:c r="J137" s="124"/>
      <x:c r="K137" s="108"/>
      <x:c r="L137" s="108"/>
      <x:c r="M137" s="108"/>
      <x:c r="N137" s="161"/>
      <x:c r="O137" s="161"/>
      <x:c r="P137" s="161"/>
      <x:c r="Q137" s="161"/>
      <x:c r="R137" s="161"/>
      <x:c r="S137" s="161"/>
      <x:c r="T137" s="161"/>
      <x:c r="U137" s="161"/>
      <x:c r="V137" s="161"/>
      <x:c r="W137" s="161"/>
      <x:c r="X137" s="161"/>
      <x:c r="Y137" s="161"/>
      <x:c r="Z137" s="161"/>
    </x:row>
    <x:row r="138">
      <x:c r="A138" s="129" t="str">
        <x:f>IF(D138&lt;&gt;"","OPP-"&amp;TEXT(ROW()-5,"000"),"")</x:f>
      </x:c>
      <x:c r="B138" s="108"/>
      <x:c r="C138" s="129" t="str">
        <x:f>IFERROR(VLOOKUP(B138,'03 Clientes'!$A$6:$N$200,2,FALSE),"")</x:f>
      </x:c>
      <x:c r="D138" s="108"/>
      <x:c r="E138" s="108"/>
      <x:c r="F138" s="132"/>
      <x:c r="G138" s="112"/>
      <x:c r="H138" s="134" t="str">
        <x:f>IF(OR(F138="",G138=""),"",F138*G138)</x:f>
      </x:c>
      <x:c r="I138" s="124"/>
      <x:c r="J138" s="124"/>
      <x:c r="K138" s="108"/>
      <x:c r="L138" s="108"/>
      <x:c r="M138" s="108"/>
      <x:c r="N138" s="161"/>
      <x:c r="O138" s="161"/>
      <x:c r="P138" s="161"/>
      <x:c r="Q138" s="161"/>
      <x:c r="R138" s="161"/>
      <x:c r="S138" s="161"/>
      <x:c r="T138" s="161"/>
      <x:c r="U138" s="161"/>
      <x:c r="V138" s="161"/>
      <x:c r="W138" s="161"/>
      <x:c r="X138" s="161"/>
      <x:c r="Y138" s="161"/>
      <x:c r="Z138" s="161"/>
    </x:row>
    <x:row r="139">
      <x:c r="A139" s="129" t="str">
        <x:f>IF(D139&lt;&gt;"","OPP-"&amp;TEXT(ROW()-5,"000"),"")</x:f>
      </x:c>
      <x:c r="B139" s="108"/>
      <x:c r="C139" s="129" t="str">
        <x:f>IFERROR(VLOOKUP(B139,'03 Clientes'!$A$6:$N$200,2,FALSE),"")</x:f>
      </x:c>
      <x:c r="D139" s="108"/>
      <x:c r="E139" s="108"/>
      <x:c r="F139" s="132"/>
      <x:c r="G139" s="112"/>
      <x:c r="H139" s="134" t="str">
        <x:f>IF(OR(F139="",G139=""),"",F139*G139)</x:f>
      </x:c>
      <x:c r="I139" s="124"/>
      <x:c r="J139" s="124"/>
      <x:c r="K139" s="108"/>
      <x:c r="L139" s="108"/>
      <x:c r="M139" s="108"/>
      <x:c r="N139" s="161"/>
      <x:c r="O139" s="161"/>
      <x:c r="P139" s="161"/>
      <x:c r="Q139" s="161"/>
      <x:c r="R139" s="161"/>
      <x:c r="S139" s="161"/>
      <x:c r="T139" s="161"/>
      <x:c r="U139" s="161"/>
      <x:c r="V139" s="161"/>
      <x:c r="W139" s="161"/>
      <x:c r="X139" s="161"/>
      <x:c r="Y139" s="161"/>
      <x:c r="Z139" s="161"/>
    </x:row>
    <x:row r="140">
      <x:c r="A140" s="129" t="str">
        <x:f>IF(D140&lt;&gt;"","OPP-"&amp;TEXT(ROW()-5,"000"),"")</x:f>
      </x:c>
      <x:c r="B140" s="108"/>
      <x:c r="C140" s="129" t="str">
        <x:f>IFERROR(VLOOKUP(B140,'03 Clientes'!$A$6:$N$200,2,FALSE),"")</x:f>
      </x:c>
      <x:c r="D140" s="108"/>
      <x:c r="E140" s="108"/>
      <x:c r="F140" s="132"/>
      <x:c r="G140" s="112"/>
      <x:c r="H140" s="134" t="str">
        <x:f>IF(OR(F140="",G140=""),"",F140*G140)</x:f>
      </x:c>
      <x:c r="I140" s="124"/>
      <x:c r="J140" s="124"/>
      <x:c r="K140" s="108"/>
      <x:c r="L140" s="108"/>
      <x:c r="M140" s="108"/>
      <x:c r="N140" s="161"/>
      <x:c r="O140" s="161"/>
      <x:c r="P140" s="161"/>
      <x:c r="Q140" s="161"/>
      <x:c r="R140" s="161"/>
      <x:c r="S140" s="161"/>
      <x:c r="T140" s="161"/>
      <x:c r="U140" s="161"/>
      <x:c r="V140" s="161"/>
      <x:c r="W140" s="161"/>
      <x:c r="X140" s="161"/>
      <x:c r="Y140" s="161"/>
      <x:c r="Z140" s="161"/>
    </x:row>
    <x:row r="141">
      <x:c r="A141" s="129" t="str">
        <x:f>IF(D141&lt;&gt;"","OPP-"&amp;TEXT(ROW()-5,"000"),"")</x:f>
      </x:c>
      <x:c r="B141" s="108"/>
      <x:c r="C141" s="129" t="str">
        <x:f>IFERROR(VLOOKUP(B141,'03 Clientes'!$A$6:$N$200,2,FALSE),"")</x:f>
      </x:c>
      <x:c r="D141" s="108"/>
      <x:c r="E141" s="108"/>
      <x:c r="F141" s="132"/>
      <x:c r="G141" s="112"/>
      <x:c r="H141" s="134" t="str">
        <x:f>IF(OR(F141="",G141=""),"",F141*G141)</x:f>
      </x:c>
      <x:c r="I141" s="124"/>
      <x:c r="J141" s="124"/>
      <x:c r="K141" s="108"/>
      <x:c r="L141" s="108"/>
      <x:c r="M141" s="108"/>
      <x:c r="N141" s="161"/>
      <x:c r="O141" s="161"/>
      <x:c r="P141" s="161"/>
      <x:c r="Q141" s="161"/>
      <x:c r="R141" s="161"/>
      <x:c r="S141" s="161"/>
      <x:c r="T141" s="161"/>
      <x:c r="U141" s="161"/>
      <x:c r="V141" s="161"/>
      <x:c r="W141" s="161"/>
      <x:c r="X141" s="161"/>
      <x:c r="Y141" s="161"/>
      <x:c r="Z141" s="161"/>
    </x:row>
    <x:row r="142">
      <x:c r="A142" s="129" t="str">
        <x:f>IF(D142&lt;&gt;"","OPP-"&amp;TEXT(ROW()-5,"000"),"")</x:f>
      </x:c>
      <x:c r="B142" s="108"/>
      <x:c r="C142" s="129" t="str">
        <x:f>IFERROR(VLOOKUP(B142,'03 Clientes'!$A$6:$N$200,2,FALSE),"")</x:f>
      </x:c>
      <x:c r="D142" s="108"/>
      <x:c r="E142" s="108"/>
      <x:c r="F142" s="132"/>
      <x:c r="G142" s="112"/>
      <x:c r="H142" s="134" t="str">
        <x:f>IF(OR(F142="",G142=""),"",F142*G142)</x:f>
      </x:c>
      <x:c r="I142" s="124"/>
      <x:c r="J142" s="124"/>
      <x:c r="K142" s="108"/>
      <x:c r="L142" s="108"/>
      <x:c r="M142" s="108"/>
      <x:c r="N142" s="161"/>
      <x:c r="O142" s="161"/>
      <x:c r="P142" s="161"/>
      <x:c r="Q142" s="161"/>
      <x:c r="R142" s="161"/>
      <x:c r="S142" s="161"/>
      <x:c r="T142" s="161"/>
      <x:c r="U142" s="161"/>
      <x:c r="V142" s="161"/>
      <x:c r="W142" s="161"/>
      <x:c r="X142" s="161"/>
      <x:c r="Y142" s="161"/>
      <x:c r="Z142" s="161"/>
    </x:row>
    <x:row r="143">
      <x:c r="A143" s="129" t="str">
        <x:f>IF(D143&lt;&gt;"","OPP-"&amp;TEXT(ROW()-5,"000"),"")</x:f>
      </x:c>
      <x:c r="B143" s="108"/>
      <x:c r="C143" s="129" t="str">
        <x:f>IFERROR(VLOOKUP(B143,'03 Clientes'!$A$6:$N$200,2,FALSE),"")</x:f>
      </x:c>
      <x:c r="D143" s="108"/>
      <x:c r="E143" s="108"/>
      <x:c r="F143" s="132"/>
      <x:c r="G143" s="112"/>
      <x:c r="H143" s="134" t="str">
        <x:f>IF(OR(F143="",G143=""),"",F143*G143)</x:f>
      </x:c>
      <x:c r="I143" s="124"/>
      <x:c r="J143" s="124"/>
      <x:c r="K143" s="108"/>
      <x:c r="L143" s="108"/>
      <x:c r="M143" s="108"/>
      <x:c r="N143" s="161"/>
      <x:c r="O143" s="161"/>
      <x:c r="P143" s="161"/>
      <x:c r="Q143" s="161"/>
      <x:c r="R143" s="161"/>
      <x:c r="S143" s="161"/>
      <x:c r="T143" s="161"/>
      <x:c r="U143" s="161"/>
      <x:c r="V143" s="161"/>
      <x:c r="W143" s="161"/>
      <x:c r="X143" s="161"/>
      <x:c r="Y143" s="161"/>
      <x:c r="Z143" s="161"/>
    </x:row>
    <x:row r="144">
      <x:c r="A144" s="129" t="str">
        <x:f>IF(D144&lt;&gt;"","OPP-"&amp;TEXT(ROW()-5,"000"),"")</x:f>
      </x:c>
      <x:c r="B144" s="108"/>
      <x:c r="C144" s="129" t="str">
        <x:f>IFERROR(VLOOKUP(B144,'03 Clientes'!$A$6:$N$200,2,FALSE),"")</x:f>
      </x:c>
      <x:c r="D144" s="108"/>
      <x:c r="E144" s="108"/>
      <x:c r="F144" s="132"/>
      <x:c r="G144" s="112"/>
      <x:c r="H144" s="134" t="str">
        <x:f>IF(OR(F144="",G144=""),"",F144*G144)</x:f>
      </x:c>
      <x:c r="I144" s="124"/>
      <x:c r="J144" s="124"/>
      <x:c r="K144" s="108"/>
      <x:c r="L144" s="108"/>
      <x:c r="M144" s="108"/>
      <x:c r="N144" s="161"/>
      <x:c r="O144" s="161"/>
      <x:c r="P144" s="161"/>
      <x:c r="Q144" s="161"/>
      <x:c r="R144" s="161"/>
      <x:c r="S144" s="161"/>
      <x:c r="T144" s="161"/>
      <x:c r="U144" s="161"/>
      <x:c r="V144" s="161"/>
      <x:c r="W144" s="161"/>
      <x:c r="X144" s="161"/>
      <x:c r="Y144" s="161"/>
      <x:c r="Z144" s="161"/>
    </x:row>
    <x:row r="145">
      <x:c r="A145" s="129" t="str">
        <x:f>IF(D145&lt;&gt;"","OPP-"&amp;TEXT(ROW()-5,"000"),"")</x:f>
      </x:c>
      <x:c r="B145" s="108"/>
      <x:c r="C145" s="129" t="str">
        <x:f>IFERROR(VLOOKUP(B145,'03 Clientes'!$A$6:$N$200,2,FALSE),"")</x:f>
      </x:c>
      <x:c r="D145" s="108"/>
      <x:c r="E145" s="108"/>
      <x:c r="F145" s="132"/>
      <x:c r="G145" s="112"/>
      <x:c r="H145" s="134" t="str">
        <x:f>IF(OR(F145="",G145=""),"",F145*G145)</x:f>
      </x:c>
      <x:c r="I145" s="124"/>
      <x:c r="J145" s="124"/>
      <x:c r="K145" s="108"/>
      <x:c r="L145" s="108"/>
      <x:c r="M145" s="108"/>
      <x:c r="N145" s="161"/>
      <x:c r="O145" s="161"/>
      <x:c r="P145" s="161"/>
      <x:c r="Q145" s="161"/>
      <x:c r="R145" s="161"/>
      <x:c r="S145" s="161"/>
      <x:c r="T145" s="161"/>
      <x:c r="U145" s="161"/>
      <x:c r="V145" s="161"/>
      <x:c r="W145" s="161"/>
      <x:c r="X145" s="161"/>
      <x:c r="Y145" s="161"/>
      <x:c r="Z145" s="161"/>
    </x:row>
    <x:row r="146">
      <x:c r="A146" s="129" t="str">
        <x:f>IF(D146&lt;&gt;"","OPP-"&amp;TEXT(ROW()-5,"000"),"")</x:f>
      </x:c>
      <x:c r="B146" s="108"/>
      <x:c r="C146" s="129" t="str">
        <x:f>IFERROR(VLOOKUP(B146,'03 Clientes'!$A$6:$N$200,2,FALSE),"")</x:f>
      </x:c>
      <x:c r="D146" s="108"/>
      <x:c r="E146" s="108"/>
      <x:c r="F146" s="132"/>
      <x:c r="G146" s="112"/>
      <x:c r="H146" s="134" t="str">
        <x:f>IF(OR(F146="",G146=""),"",F146*G146)</x:f>
      </x:c>
      <x:c r="I146" s="124"/>
      <x:c r="J146" s="124"/>
      <x:c r="K146" s="108"/>
      <x:c r="L146" s="108"/>
      <x:c r="M146" s="108"/>
      <x:c r="N146" s="161"/>
      <x:c r="O146" s="161"/>
      <x:c r="P146" s="161"/>
      <x:c r="Q146" s="161"/>
      <x:c r="R146" s="161"/>
      <x:c r="S146" s="161"/>
      <x:c r="T146" s="161"/>
      <x:c r="U146" s="161"/>
      <x:c r="V146" s="161"/>
      <x:c r="W146" s="161"/>
      <x:c r="X146" s="161"/>
      <x:c r="Y146" s="161"/>
      <x:c r="Z146" s="161"/>
    </x:row>
    <x:row r="147">
      <x:c r="A147" s="129" t="str">
        <x:f>IF(D147&lt;&gt;"","OPP-"&amp;TEXT(ROW()-5,"000"),"")</x:f>
      </x:c>
      <x:c r="B147" s="108"/>
      <x:c r="C147" s="129" t="str">
        <x:f>IFERROR(VLOOKUP(B147,'03 Clientes'!$A$6:$N$200,2,FALSE),"")</x:f>
      </x:c>
      <x:c r="D147" s="108"/>
      <x:c r="E147" s="108"/>
      <x:c r="F147" s="132"/>
      <x:c r="G147" s="112"/>
      <x:c r="H147" s="134" t="str">
        <x:f>IF(OR(F147="",G147=""),"",F147*G147)</x:f>
      </x:c>
      <x:c r="I147" s="124"/>
      <x:c r="J147" s="124"/>
      <x:c r="K147" s="108"/>
      <x:c r="L147" s="108"/>
      <x:c r="M147" s="108"/>
      <x:c r="N147" s="161"/>
      <x:c r="O147" s="161"/>
      <x:c r="P147" s="161"/>
      <x:c r="Q147" s="161"/>
      <x:c r="R147" s="161"/>
      <x:c r="S147" s="161"/>
      <x:c r="T147" s="161"/>
      <x:c r="U147" s="161"/>
      <x:c r="V147" s="161"/>
      <x:c r="W147" s="161"/>
      <x:c r="X147" s="161"/>
      <x:c r="Y147" s="161"/>
      <x:c r="Z147" s="161"/>
    </x:row>
    <x:row r="148">
      <x:c r="A148" s="129" t="str">
        <x:f>IF(D148&lt;&gt;"","OPP-"&amp;TEXT(ROW()-5,"000"),"")</x:f>
      </x:c>
      <x:c r="B148" s="108"/>
      <x:c r="C148" s="129" t="str">
        <x:f>IFERROR(VLOOKUP(B148,'03 Clientes'!$A$6:$N$200,2,FALSE),"")</x:f>
      </x:c>
      <x:c r="D148" s="108"/>
      <x:c r="E148" s="108"/>
      <x:c r="F148" s="132"/>
      <x:c r="G148" s="112"/>
      <x:c r="H148" s="134" t="str">
        <x:f>IF(OR(F148="",G148=""),"",F148*G148)</x:f>
      </x:c>
      <x:c r="I148" s="124"/>
      <x:c r="J148" s="124"/>
      <x:c r="K148" s="108"/>
      <x:c r="L148" s="108"/>
      <x:c r="M148" s="108"/>
      <x:c r="N148" s="161"/>
      <x:c r="O148" s="161"/>
      <x:c r="P148" s="161"/>
      <x:c r="Q148" s="161"/>
      <x:c r="R148" s="161"/>
      <x:c r="S148" s="161"/>
      <x:c r="T148" s="161"/>
      <x:c r="U148" s="161"/>
      <x:c r="V148" s="161"/>
      <x:c r="W148" s="161"/>
      <x:c r="X148" s="161"/>
      <x:c r="Y148" s="161"/>
      <x:c r="Z148" s="161"/>
    </x:row>
    <x:row r="149">
      <x:c r="A149" s="129" t="str">
        <x:f>IF(D149&lt;&gt;"","OPP-"&amp;TEXT(ROW()-5,"000"),"")</x:f>
      </x:c>
      <x:c r="B149" s="108"/>
      <x:c r="C149" s="129" t="str">
        <x:f>IFERROR(VLOOKUP(B149,'03 Clientes'!$A$6:$N$200,2,FALSE),"")</x:f>
      </x:c>
      <x:c r="D149" s="108"/>
      <x:c r="E149" s="108"/>
      <x:c r="F149" s="132"/>
      <x:c r="G149" s="112"/>
      <x:c r="H149" s="134" t="str">
        <x:f>IF(OR(F149="",G149=""),"",F149*G149)</x:f>
      </x:c>
      <x:c r="I149" s="124"/>
      <x:c r="J149" s="124"/>
      <x:c r="K149" s="108"/>
      <x:c r="L149" s="108"/>
      <x:c r="M149" s="108"/>
      <x:c r="N149" s="161"/>
      <x:c r="O149" s="161"/>
      <x:c r="P149" s="161"/>
      <x:c r="Q149" s="161"/>
      <x:c r="R149" s="161"/>
      <x:c r="S149" s="161"/>
      <x:c r="T149" s="161"/>
      <x:c r="U149" s="161"/>
      <x:c r="V149" s="161"/>
      <x:c r="W149" s="161"/>
      <x:c r="X149" s="161"/>
      <x:c r="Y149" s="161"/>
      <x:c r="Z149" s="161"/>
    </x:row>
    <x:row r="150">
      <x:c r="A150" s="129" t="str">
        <x:f>IF(D150&lt;&gt;"","OPP-"&amp;TEXT(ROW()-5,"000"),"")</x:f>
      </x:c>
      <x:c r="B150" s="108"/>
      <x:c r="C150" s="129" t="str">
        <x:f>IFERROR(VLOOKUP(B150,'03 Clientes'!$A$6:$N$200,2,FALSE),"")</x:f>
      </x:c>
      <x:c r="D150" s="108"/>
      <x:c r="E150" s="108"/>
      <x:c r="F150" s="132"/>
      <x:c r="G150" s="112"/>
      <x:c r="H150" s="134" t="str">
        <x:f>IF(OR(F150="",G150=""),"",F150*G150)</x:f>
      </x:c>
      <x:c r="I150" s="124"/>
      <x:c r="J150" s="124"/>
      <x:c r="K150" s="108"/>
      <x:c r="L150" s="108"/>
      <x:c r="M150" s="108"/>
      <x:c r="N150" s="161"/>
      <x:c r="O150" s="161"/>
      <x:c r="P150" s="161"/>
      <x:c r="Q150" s="161"/>
      <x:c r="R150" s="161"/>
      <x:c r="S150" s="161"/>
      <x:c r="T150" s="161"/>
      <x:c r="U150" s="161"/>
      <x:c r="V150" s="161"/>
      <x:c r="W150" s="161"/>
      <x:c r="X150" s="161"/>
      <x:c r="Y150" s="161"/>
      <x:c r="Z150" s="161"/>
    </x:row>
    <x:row r="151">
      <x:c r="A151" s="129" t="str">
        <x:f>IF(D151&lt;&gt;"","OPP-"&amp;TEXT(ROW()-5,"000"),"")</x:f>
      </x:c>
      <x:c r="B151" s="108"/>
      <x:c r="C151" s="129" t="str">
        <x:f>IFERROR(VLOOKUP(B151,'03 Clientes'!$A$6:$N$200,2,FALSE),"")</x:f>
      </x:c>
      <x:c r="D151" s="108"/>
      <x:c r="E151" s="108"/>
      <x:c r="F151" s="132"/>
      <x:c r="G151" s="112"/>
      <x:c r="H151" s="134" t="str">
        <x:f>IF(OR(F151="",G151=""),"",F151*G151)</x:f>
      </x:c>
      <x:c r="I151" s="124"/>
      <x:c r="J151" s="124"/>
      <x:c r="K151" s="108"/>
      <x:c r="L151" s="108"/>
      <x:c r="M151" s="108"/>
      <x:c r="N151" s="161"/>
      <x:c r="O151" s="161"/>
      <x:c r="P151" s="161"/>
      <x:c r="Q151" s="161"/>
      <x:c r="R151" s="161"/>
      <x:c r="S151" s="161"/>
      <x:c r="T151" s="161"/>
      <x:c r="U151" s="161"/>
      <x:c r="V151" s="161"/>
      <x:c r="W151" s="161"/>
      <x:c r="X151" s="161"/>
      <x:c r="Y151" s="161"/>
      <x:c r="Z151" s="161"/>
    </x:row>
    <x:row r="152">
      <x:c r="A152" s="129" t="str">
        <x:f>IF(D152&lt;&gt;"","OPP-"&amp;TEXT(ROW()-5,"000"),"")</x:f>
      </x:c>
      <x:c r="B152" s="108"/>
      <x:c r="C152" s="129" t="str">
        <x:f>IFERROR(VLOOKUP(B152,'03 Clientes'!$A$6:$N$200,2,FALSE),"")</x:f>
      </x:c>
      <x:c r="D152" s="108"/>
      <x:c r="E152" s="108"/>
      <x:c r="F152" s="132"/>
      <x:c r="G152" s="112"/>
      <x:c r="H152" s="134" t="str">
        <x:f>IF(OR(F152="",G152=""),"",F152*G152)</x:f>
      </x:c>
      <x:c r="I152" s="124"/>
      <x:c r="J152" s="124"/>
      <x:c r="K152" s="108"/>
      <x:c r="L152" s="108"/>
      <x:c r="M152" s="108"/>
      <x:c r="N152" s="161"/>
      <x:c r="O152" s="161"/>
      <x:c r="P152" s="161"/>
      <x:c r="Q152" s="161"/>
      <x:c r="R152" s="161"/>
      <x:c r="S152" s="161"/>
      <x:c r="T152" s="161"/>
      <x:c r="U152" s="161"/>
      <x:c r="V152" s="161"/>
      <x:c r="W152" s="161"/>
      <x:c r="X152" s="161"/>
      <x:c r="Y152" s="161"/>
      <x:c r="Z152" s="161"/>
    </x:row>
    <x:row r="153">
      <x:c r="A153" s="129" t="str">
        <x:f>IF(D153&lt;&gt;"","OPP-"&amp;TEXT(ROW()-5,"000"),"")</x:f>
      </x:c>
      <x:c r="B153" s="108"/>
      <x:c r="C153" s="129" t="str">
        <x:f>IFERROR(VLOOKUP(B153,'03 Clientes'!$A$6:$N$200,2,FALSE),"")</x:f>
      </x:c>
      <x:c r="D153" s="108"/>
      <x:c r="E153" s="108"/>
      <x:c r="F153" s="132"/>
      <x:c r="G153" s="112"/>
      <x:c r="H153" s="134" t="str">
        <x:f>IF(OR(F153="",G153=""),"",F153*G153)</x:f>
      </x:c>
      <x:c r="I153" s="124"/>
      <x:c r="J153" s="124"/>
      <x:c r="K153" s="108"/>
      <x:c r="L153" s="108"/>
      <x:c r="M153" s="108"/>
      <x:c r="N153" s="161"/>
      <x:c r="O153" s="161"/>
      <x:c r="P153" s="161"/>
      <x:c r="Q153" s="161"/>
      <x:c r="R153" s="161"/>
      <x:c r="S153" s="161"/>
      <x:c r="T153" s="161"/>
      <x:c r="U153" s="161"/>
      <x:c r="V153" s="161"/>
      <x:c r="W153" s="161"/>
      <x:c r="X153" s="161"/>
      <x:c r="Y153" s="161"/>
      <x:c r="Z153" s="161"/>
    </x:row>
    <x:row r="154">
      <x:c r="A154" s="129" t="str">
        <x:f>IF(D154&lt;&gt;"","OPP-"&amp;TEXT(ROW()-5,"000"),"")</x:f>
      </x:c>
      <x:c r="B154" s="108"/>
      <x:c r="C154" s="129" t="str">
        <x:f>IFERROR(VLOOKUP(B154,'03 Clientes'!$A$6:$N$200,2,FALSE),"")</x:f>
      </x:c>
      <x:c r="D154" s="108"/>
      <x:c r="E154" s="108"/>
      <x:c r="F154" s="132"/>
      <x:c r="G154" s="112"/>
      <x:c r="H154" s="134" t="str">
        <x:f>IF(OR(F154="",G154=""),"",F154*G154)</x:f>
      </x:c>
      <x:c r="I154" s="124"/>
      <x:c r="J154" s="124"/>
      <x:c r="K154" s="108"/>
      <x:c r="L154" s="108"/>
      <x:c r="M154" s="108"/>
      <x:c r="N154" s="161"/>
      <x:c r="O154" s="161"/>
      <x:c r="P154" s="161"/>
      <x:c r="Q154" s="161"/>
      <x:c r="R154" s="161"/>
      <x:c r="S154" s="161"/>
      <x:c r="T154" s="161"/>
      <x:c r="U154" s="161"/>
      <x:c r="V154" s="161"/>
      <x:c r="W154" s="161"/>
      <x:c r="X154" s="161"/>
      <x:c r="Y154" s="161"/>
      <x:c r="Z154" s="161"/>
    </x:row>
    <x:row r="155">
      <x:c r="A155" s="129" t="str">
        <x:f>IF(D155&lt;&gt;"","OPP-"&amp;TEXT(ROW()-5,"000"),"")</x:f>
      </x:c>
      <x:c r="B155" s="108"/>
      <x:c r="C155" s="129" t="str">
        <x:f>IFERROR(VLOOKUP(B155,'03 Clientes'!$A$6:$N$200,2,FALSE),"")</x:f>
      </x:c>
      <x:c r="D155" s="108"/>
      <x:c r="E155" s="108"/>
      <x:c r="F155" s="132"/>
      <x:c r="G155" s="112"/>
      <x:c r="H155" s="134" t="str">
        <x:f>IF(OR(F155="",G155=""),"",F155*G155)</x:f>
      </x:c>
      <x:c r="I155" s="124"/>
      <x:c r="J155" s="124"/>
      <x:c r="K155" s="108"/>
      <x:c r="L155" s="108"/>
      <x:c r="M155" s="108"/>
      <x:c r="N155" s="161"/>
      <x:c r="O155" s="161"/>
      <x:c r="P155" s="161"/>
      <x:c r="Q155" s="161"/>
      <x:c r="R155" s="161"/>
      <x:c r="S155" s="161"/>
      <x:c r="T155" s="161"/>
      <x:c r="U155" s="161"/>
      <x:c r="V155" s="161"/>
      <x:c r="W155" s="161"/>
      <x:c r="X155" s="161"/>
      <x:c r="Y155" s="161"/>
      <x:c r="Z155" s="161"/>
    </x:row>
    <x:row r="156">
      <x:c r="A156" s="129" t="str">
        <x:f>IF(D156&lt;&gt;"","OPP-"&amp;TEXT(ROW()-5,"000"),"")</x:f>
      </x:c>
      <x:c r="B156" s="108"/>
      <x:c r="C156" s="129" t="str">
        <x:f>IFERROR(VLOOKUP(B156,'03 Clientes'!$A$6:$N$200,2,FALSE),"")</x:f>
      </x:c>
      <x:c r="D156" s="108"/>
      <x:c r="E156" s="108"/>
      <x:c r="F156" s="132"/>
      <x:c r="G156" s="112"/>
      <x:c r="H156" s="134" t="str">
        <x:f>IF(OR(F156="",G156=""),"",F156*G156)</x:f>
      </x:c>
      <x:c r="I156" s="124"/>
      <x:c r="J156" s="124"/>
      <x:c r="K156" s="108"/>
      <x:c r="L156" s="108"/>
      <x:c r="M156" s="108"/>
      <x:c r="N156" s="161"/>
      <x:c r="O156" s="161"/>
      <x:c r="P156" s="161"/>
      <x:c r="Q156" s="161"/>
      <x:c r="R156" s="161"/>
      <x:c r="S156" s="161"/>
      <x:c r="T156" s="161"/>
      <x:c r="U156" s="161"/>
      <x:c r="V156" s="161"/>
      <x:c r="W156" s="161"/>
      <x:c r="X156" s="161"/>
      <x:c r="Y156" s="161"/>
      <x:c r="Z156" s="161"/>
    </x:row>
    <x:row r="157">
      <x:c r="A157" s="129" t="str">
        <x:f>IF(D157&lt;&gt;"","OPP-"&amp;TEXT(ROW()-5,"000"),"")</x:f>
      </x:c>
      <x:c r="B157" s="108"/>
      <x:c r="C157" s="129" t="str">
        <x:f>IFERROR(VLOOKUP(B157,'03 Clientes'!$A$6:$N$200,2,FALSE),"")</x:f>
      </x:c>
      <x:c r="D157" s="108"/>
      <x:c r="E157" s="108"/>
      <x:c r="F157" s="132"/>
      <x:c r="G157" s="112"/>
      <x:c r="H157" s="134" t="str">
        <x:f>IF(OR(F157="",G157=""),"",F157*G157)</x:f>
      </x:c>
      <x:c r="I157" s="124"/>
      <x:c r="J157" s="124"/>
      <x:c r="K157" s="108"/>
      <x:c r="L157" s="108"/>
      <x:c r="M157" s="108"/>
      <x:c r="N157" s="161"/>
      <x:c r="O157" s="161"/>
      <x:c r="P157" s="161"/>
      <x:c r="Q157" s="161"/>
      <x:c r="R157" s="161"/>
      <x:c r="S157" s="161"/>
      <x:c r="T157" s="161"/>
      <x:c r="U157" s="161"/>
      <x:c r="V157" s="161"/>
      <x:c r="W157" s="161"/>
      <x:c r="X157" s="161"/>
      <x:c r="Y157" s="161"/>
      <x:c r="Z157" s="161"/>
    </x:row>
    <x:row r="158">
      <x:c r="A158" s="129" t="str">
        <x:f>IF(D158&lt;&gt;"","OPP-"&amp;TEXT(ROW()-5,"000"),"")</x:f>
      </x:c>
      <x:c r="B158" s="108"/>
      <x:c r="C158" s="129" t="str">
        <x:f>IFERROR(VLOOKUP(B158,'03 Clientes'!$A$6:$N$200,2,FALSE),"")</x:f>
      </x:c>
      <x:c r="D158" s="108"/>
      <x:c r="E158" s="108"/>
      <x:c r="F158" s="132"/>
      <x:c r="G158" s="112"/>
      <x:c r="H158" s="134" t="str">
        <x:f>IF(OR(F158="",G158=""),"",F158*G158)</x:f>
      </x:c>
      <x:c r="I158" s="124"/>
      <x:c r="J158" s="124"/>
      <x:c r="K158" s="108"/>
      <x:c r="L158" s="108"/>
      <x:c r="M158" s="108"/>
      <x:c r="N158" s="161"/>
      <x:c r="O158" s="161"/>
      <x:c r="P158" s="161"/>
      <x:c r="Q158" s="161"/>
      <x:c r="R158" s="161"/>
      <x:c r="S158" s="161"/>
      <x:c r="T158" s="161"/>
      <x:c r="U158" s="161"/>
      <x:c r="V158" s="161"/>
      <x:c r="W158" s="161"/>
      <x:c r="X158" s="161"/>
      <x:c r="Y158" s="161"/>
      <x:c r="Z158" s="161"/>
    </x:row>
    <x:row r="159">
      <x:c r="A159" s="129" t="str">
        <x:f>IF(D159&lt;&gt;"","OPP-"&amp;TEXT(ROW()-5,"000"),"")</x:f>
      </x:c>
      <x:c r="B159" s="108"/>
      <x:c r="C159" s="129" t="str">
        <x:f>IFERROR(VLOOKUP(B159,'03 Clientes'!$A$6:$N$200,2,FALSE),"")</x:f>
      </x:c>
      <x:c r="D159" s="108"/>
      <x:c r="E159" s="108"/>
      <x:c r="F159" s="132"/>
      <x:c r="G159" s="112"/>
      <x:c r="H159" s="134" t="str">
        <x:f>IF(OR(F159="",G159=""),"",F159*G159)</x:f>
      </x:c>
      <x:c r="I159" s="124"/>
      <x:c r="J159" s="124"/>
      <x:c r="K159" s="108"/>
      <x:c r="L159" s="108"/>
      <x:c r="M159" s="108"/>
      <x:c r="N159" s="161"/>
      <x:c r="O159" s="161"/>
      <x:c r="P159" s="161"/>
      <x:c r="Q159" s="161"/>
      <x:c r="R159" s="161"/>
      <x:c r="S159" s="161"/>
      <x:c r="T159" s="161"/>
      <x:c r="U159" s="161"/>
      <x:c r="V159" s="161"/>
      <x:c r="W159" s="161"/>
      <x:c r="X159" s="161"/>
      <x:c r="Y159" s="161"/>
      <x:c r="Z159" s="161"/>
    </x:row>
    <x:row r="160">
      <x:c r="A160" s="129" t="str">
        <x:f>IF(D160&lt;&gt;"","OPP-"&amp;TEXT(ROW()-5,"000"),"")</x:f>
      </x:c>
      <x:c r="B160" s="108"/>
      <x:c r="C160" s="129" t="str">
        <x:f>IFERROR(VLOOKUP(B160,'03 Clientes'!$A$6:$N$200,2,FALSE),"")</x:f>
      </x:c>
      <x:c r="D160" s="108"/>
      <x:c r="E160" s="108"/>
      <x:c r="F160" s="132"/>
      <x:c r="G160" s="112"/>
      <x:c r="H160" s="134" t="str">
        <x:f>IF(OR(F160="",G160=""),"",F160*G160)</x:f>
      </x:c>
      <x:c r="I160" s="124"/>
      <x:c r="J160" s="124"/>
      <x:c r="K160" s="108"/>
      <x:c r="L160" s="108"/>
      <x:c r="M160" s="108"/>
      <x:c r="N160" s="161"/>
      <x:c r="O160" s="161"/>
      <x:c r="P160" s="161"/>
      <x:c r="Q160" s="161"/>
      <x:c r="R160" s="161"/>
      <x:c r="S160" s="161"/>
      <x:c r="T160" s="161"/>
      <x:c r="U160" s="161"/>
      <x:c r="V160" s="161"/>
      <x:c r="W160" s="161"/>
      <x:c r="X160" s="161"/>
      <x:c r="Y160" s="161"/>
      <x:c r="Z160" s="161"/>
    </x:row>
    <x:row r="161">
      <x:c r="A161" s="129" t="str">
        <x:f>IF(D161&lt;&gt;"","OPP-"&amp;TEXT(ROW()-5,"000"),"")</x:f>
      </x:c>
      <x:c r="B161" s="108"/>
      <x:c r="C161" s="129" t="str">
        <x:f>IFERROR(VLOOKUP(B161,'03 Clientes'!$A$6:$N$200,2,FALSE),"")</x:f>
      </x:c>
      <x:c r="D161" s="108"/>
      <x:c r="E161" s="108"/>
      <x:c r="F161" s="132"/>
      <x:c r="G161" s="112"/>
      <x:c r="H161" s="134" t="str">
        <x:f>IF(OR(F161="",G161=""),"",F161*G161)</x:f>
      </x:c>
      <x:c r="I161" s="124"/>
      <x:c r="J161" s="124"/>
      <x:c r="K161" s="108"/>
      <x:c r="L161" s="108"/>
      <x:c r="M161" s="108"/>
      <x:c r="N161" s="161"/>
      <x:c r="O161" s="161"/>
      <x:c r="P161" s="161"/>
      <x:c r="Q161" s="161"/>
      <x:c r="R161" s="161"/>
      <x:c r="S161" s="161"/>
      <x:c r="T161" s="161"/>
      <x:c r="U161" s="161"/>
      <x:c r="V161" s="161"/>
      <x:c r="W161" s="161"/>
      <x:c r="X161" s="161"/>
      <x:c r="Y161" s="161"/>
      <x:c r="Z161" s="161"/>
    </x:row>
    <x:row r="162">
      <x:c r="A162" s="129" t="str">
        <x:f>IF(D162&lt;&gt;"","OPP-"&amp;TEXT(ROW()-5,"000"),"")</x:f>
      </x:c>
      <x:c r="B162" s="108"/>
      <x:c r="C162" s="129" t="str">
        <x:f>IFERROR(VLOOKUP(B162,'03 Clientes'!$A$6:$N$200,2,FALSE),"")</x:f>
      </x:c>
      <x:c r="D162" s="108"/>
      <x:c r="E162" s="108"/>
      <x:c r="F162" s="132"/>
      <x:c r="G162" s="112"/>
      <x:c r="H162" s="134" t="str">
        <x:f>IF(OR(F162="",G162=""),"",F162*G162)</x:f>
      </x:c>
      <x:c r="I162" s="124"/>
      <x:c r="J162" s="124"/>
      <x:c r="K162" s="108"/>
      <x:c r="L162" s="108"/>
      <x:c r="M162" s="108"/>
      <x:c r="N162" s="161"/>
      <x:c r="O162" s="161"/>
      <x:c r="P162" s="161"/>
      <x:c r="Q162" s="161"/>
      <x:c r="R162" s="161"/>
      <x:c r="S162" s="161"/>
      <x:c r="T162" s="161"/>
      <x:c r="U162" s="161"/>
      <x:c r="V162" s="161"/>
      <x:c r="W162" s="161"/>
      <x:c r="X162" s="161"/>
      <x:c r="Y162" s="161"/>
      <x:c r="Z162" s="161"/>
    </x:row>
    <x:row r="163">
      <x:c r="A163" s="129" t="str">
        <x:f>IF(D163&lt;&gt;"","OPP-"&amp;TEXT(ROW()-5,"000"),"")</x:f>
      </x:c>
      <x:c r="B163" s="108"/>
      <x:c r="C163" s="129" t="str">
        <x:f>IFERROR(VLOOKUP(B163,'03 Clientes'!$A$6:$N$200,2,FALSE),"")</x:f>
      </x:c>
      <x:c r="D163" s="108"/>
      <x:c r="E163" s="108"/>
      <x:c r="F163" s="132"/>
      <x:c r="G163" s="112"/>
      <x:c r="H163" s="134" t="str">
        <x:f>IF(OR(F163="",G163=""),"",F163*G163)</x:f>
      </x:c>
      <x:c r="I163" s="124"/>
      <x:c r="J163" s="124"/>
      <x:c r="K163" s="108"/>
      <x:c r="L163" s="108"/>
      <x:c r="M163" s="108"/>
      <x:c r="N163" s="161"/>
      <x:c r="O163" s="161"/>
      <x:c r="P163" s="161"/>
      <x:c r="Q163" s="161"/>
      <x:c r="R163" s="161"/>
      <x:c r="S163" s="161"/>
      <x:c r="T163" s="161"/>
      <x:c r="U163" s="161"/>
      <x:c r="V163" s="161"/>
      <x:c r="W163" s="161"/>
      <x:c r="X163" s="161"/>
      <x:c r="Y163" s="161"/>
      <x:c r="Z163" s="161"/>
    </x:row>
    <x:row r="164">
      <x:c r="A164" s="129" t="str">
        <x:f>IF(D164&lt;&gt;"","OPP-"&amp;TEXT(ROW()-5,"000"),"")</x:f>
      </x:c>
      <x:c r="B164" s="108"/>
      <x:c r="C164" s="129" t="str">
        <x:f>IFERROR(VLOOKUP(B164,'03 Clientes'!$A$6:$N$200,2,FALSE),"")</x:f>
      </x:c>
      <x:c r="D164" s="108"/>
      <x:c r="E164" s="108"/>
      <x:c r="F164" s="132"/>
      <x:c r="G164" s="112"/>
      <x:c r="H164" s="134" t="str">
        <x:f>IF(OR(F164="",G164=""),"",F164*G164)</x:f>
      </x:c>
      <x:c r="I164" s="124"/>
      <x:c r="J164" s="124"/>
      <x:c r="K164" s="108"/>
      <x:c r="L164" s="108"/>
      <x:c r="M164" s="108"/>
      <x:c r="N164" s="161"/>
      <x:c r="O164" s="161"/>
      <x:c r="P164" s="161"/>
      <x:c r="Q164" s="161"/>
      <x:c r="R164" s="161"/>
      <x:c r="S164" s="161"/>
      <x:c r="T164" s="161"/>
      <x:c r="U164" s="161"/>
      <x:c r="V164" s="161"/>
      <x:c r="W164" s="161"/>
      <x:c r="X164" s="161"/>
      <x:c r="Y164" s="161"/>
      <x:c r="Z164" s="161"/>
    </x:row>
    <x:row r="165">
      <x:c r="A165" s="129" t="str">
        <x:f>IF(D165&lt;&gt;"","OPP-"&amp;TEXT(ROW()-5,"000"),"")</x:f>
      </x:c>
      <x:c r="B165" s="108"/>
      <x:c r="C165" s="129" t="str">
        <x:f>IFERROR(VLOOKUP(B165,'03 Clientes'!$A$6:$N$200,2,FALSE),"")</x:f>
      </x:c>
      <x:c r="D165" s="108"/>
      <x:c r="E165" s="108"/>
      <x:c r="F165" s="132"/>
      <x:c r="G165" s="112"/>
      <x:c r="H165" s="134" t="str">
        <x:f>IF(OR(F165="",G165=""),"",F165*G165)</x:f>
      </x:c>
      <x:c r="I165" s="124"/>
      <x:c r="J165" s="124"/>
      <x:c r="K165" s="108"/>
      <x:c r="L165" s="108"/>
      <x:c r="M165" s="108"/>
      <x:c r="N165" s="161"/>
      <x:c r="O165" s="161"/>
      <x:c r="P165" s="161"/>
      <x:c r="Q165" s="161"/>
      <x:c r="R165" s="161"/>
      <x:c r="S165" s="161"/>
      <x:c r="T165" s="161"/>
      <x:c r="U165" s="161"/>
      <x:c r="V165" s="161"/>
      <x:c r="W165" s="161"/>
      <x:c r="X165" s="161"/>
      <x:c r="Y165" s="161"/>
      <x:c r="Z165" s="161"/>
    </x:row>
    <x:row r="166">
      <x:c r="A166" s="129" t="str">
        <x:f>IF(D166&lt;&gt;"","OPP-"&amp;TEXT(ROW()-5,"000"),"")</x:f>
      </x:c>
      <x:c r="B166" s="108"/>
      <x:c r="C166" s="129" t="str">
        <x:f>IFERROR(VLOOKUP(B166,'03 Clientes'!$A$6:$N$200,2,FALSE),"")</x:f>
      </x:c>
      <x:c r="D166" s="108"/>
      <x:c r="E166" s="108"/>
      <x:c r="F166" s="132"/>
      <x:c r="G166" s="112"/>
      <x:c r="H166" s="134" t="str">
        <x:f>IF(OR(F166="",G166=""),"",F166*G166)</x:f>
      </x:c>
      <x:c r="I166" s="124"/>
      <x:c r="J166" s="124"/>
      <x:c r="K166" s="108"/>
      <x:c r="L166" s="108"/>
      <x:c r="M166" s="108"/>
      <x:c r="N166" s="161"/>
      <x:c r="O166" s="161"/>
      <x:c r="P166" s="161"/>
      <x:c r="Q166" s="161"/>
      <x:c r="R166" s="161"/>
      <x:c r="S166" s="161"/>
      <x:c r="T166" s="161"/>
      <x:c r="U166" s="161"/>
      <x:c r="V166" s="161"/>
      <x:c r="W166" s="161"/>
      <x:c r="X166" s="161"/>
      <x:c r="Y166" s="161"/>
      <x:c r="Z166" s="161"/>
    </x:row>
    <x:row r="167">
      <x:c r="A167" s="129" t="str">
        <x:f>IF(D167&lt;&gt;"","OPP-"&amp;TEXT(ROW()-5,"000"),"")</x:f>
      </x:c>
      <x:c r="B167" s="108"/>
      <x:c r="C167" s="129" t="str">
        <x:f>IFERROR(VLOOKUP(B167,'03 Clientes'!$A$6:$N$200,2,FALSE),"")</x:f>
      </x:c>
      <x:c r="D167" s="108"/>
      <x:c r="E167" s="108"/>
      <x:c r="F167" s="132"/>
      <x:c r="G167" s="112"/>
      <x:c r="H167" s="134" t="str">
        <x:f>IF(OR(F167="",G167=""),"",F167*G167)</x:f>
      </x:c>
      <x:c r="I167" s="124"/>
      <x:c r="J167" s="124"/>
      <x:c r="K167" s="108"/>
      <x:c r="L167" s="108"/>
      <x:c r="M167" s="108"/>
      <x:c r="N167" s="161"/>
      <x:c r="O167" s="161"/>
      <x:c r="P167" s="161"/>
      <x:c r="Q167" s="161"/>
      <x:c r="R167" s="161"/>
      <x:c r="S167" s="161"/>
      <x:c r="T167" s="161"/>
      <x:c r="U167" s="161"/>
      <x:c r="V167" s="161"/>
      <x:c r="W167" s="161"/>
      <x:c r="X167" s="161"/>
      <x:c r="Y167" s="161"/>
      <x:c r="Z167" s="161"/>
    </x:row>
    <x:row r="168">
      <x:c r="A168" s="129" t="str">
        <x:f>IF(D168&lt;&gt;"","OPP-"&amp;TEXT(ROW()-5,"000"),"")</x:f>
      </x:c>
      <x:c r="B168" s="108"/>
      <x:c r="C168" s="129" t="str">
        <x:f>IFERROR(VLOOKUP(B168,'03 Clientes'!$A$6:$N$200,2,FALSE),"")</x:f>
      </x:c>
      <x:c r="D168" s="108"/>
      <x:c r="E168" s="108"/>
      <x:c r="F168" s="132"/>
      <x:c r="G168" s="112"/>
      <x:c r="H168" s="134" t="str">
        <x:f>IF(OR(F168="",G168=""),"",F168*G168)</x:f>
      </x:c>
      <x:c r="I168" s="124"/>
      <x:c r="J168" s="124"/>
      <x:c r="K168" s="108"/>
      <x:c r="L168" s="108"/>
      <x:c r="M168" s="108"/>
      <x:c r="N168" s="161"/>
      <x:c r="O168" s="161"/>
      <x:c r="P168" s="161"/>
      <x:c r="Q168" s="161"/>
      <x:c r="R168" s="161"/>
      <x:c r="S168" s="161"/>
      <x:c r="T168" s="161"/>
      <x:c r="U168" s="161"/>
      <x:c r="V168" s="161"/>
      <x:c r="W168" s="161"/>
      <x:c r="X168" s="161"/>
      <x:c r="Y168" s="161"/>
      <x:c r="Z168" s="161"/>
    </x:row>
    <x:row r="169">
      <x:c r="A169" s="129" t="str">
        <x:f>IF(D169&lt;&gt;"","OPP-"&amp;TEXT(ROW()-5,"000"),"")</x:f>
      </x:c>
      <x:c r="B169" s="108"/>
      <x:c r="C169" s="129" t="str">
        <x:f>IFERROR(VLOOKUP(B169,'03 Clientes'!$A$6:$N$200,2,FALSE),"")</x:f>
      </x:c>
      <x:c r="D169" s="108"/>
      <x:c r="E169" s="108"/>
      <x:c r="F169" s="132"/>
      <x:c r="G169" s="112"/>
      <x:c r="H169" s="134" t="str">
        <x:f>IF(OR(F169="",G169=""),"",F169*G169)</x:f>
      </x:c>
      <x:c r="I169" s="124"/>
      <x:c r="J169" s="124"/>
      <x:c r="K169" s="108"/>
      <x:c r="L169" s="108"/>
      <x:c r="M169" s="108"/>
      <x:c r="N169" s="161"/>
      <x:c r="O169" s="161"/>
      <x:c r="P169" s="161"/>
      <x:c r="Q169" s="161"/>
      <x:c r="R169" s="161"/>
      <x:c r="S169" s="161"/>
      <x:c r="T169" s="161"/>
      <x:c r="U169" s="161"/>
      <x:c r="V169" s="161"/>
      <x:c r="W169" s="161"/>
      <x:c r="X169" s="161"/>
      <x:c r="Y169" s="161"/>
      <x:c r="Z169" s="161"/>
    </x:row>
    <x:row r="170">
      <x:c r="A170" s="129" t="str">
        <x:f>IF(D170&lt;&gt;"","OPP-"&amp;TEXT(ROW()-5,"000"),"")</x:f>
      </x:c>
      <x:c r="B170" s="108"/>
      <x:c r="C170" s="129" t="str">
        <x:f>IFERROR(VLOOKUP(B170,'03 Clientes'!$A$6:$N$200,2,FALSE),"")</x:f>
      </x:c>
      <x:c r="D170" s="108"/>
      <x:c r="E170" s="108"/>
      <x:c r="F170" s="132"/>
      <x:c r="G170" s="112"/>
      <x:c r="H170" s="134" t="str">
        <x:f>IF(OR(F170="",G170=""),"",F170*G170)</x:f>
      </x:c>
      <x:c r="I170" s="124"/>
      <x:c r="J170" s="124"/>
      <x:c r="K170" s="108"/>
      <x:c r="L170" s="108"/>
      <x:c r="M170" s="108"/>
      <x:c r="N170" s="161"/>
      <x:c r="O170" s="161"/>
      <x:c r="P170" s="161"/>
      <x:c r="Q170" s="161"/>
      <x:c r="R170" s="161"/>
      <x:c r="S170" s="161"/>
      <x:c r="T170" s="161"/>
      <x:c r="U170" s="161"/>
      <x:c r="V170" s="161"/>
      <x:c r="W170" s="161"/>
      <x:c r="X170" s="161"/>
      <x:c r="Y170" s="161"/>
      <x:c r="Z170" s="161"/>
    </x:row>
    <x:row r="171">
      <x:c r="A171" s="129" t="str">
        <x:f>IF(D171&lt;&gt;"","OPP-"&amp;TEXT(ROW()-5,"000"),"")</x:f>
      </x:c>
      <x:c r="B171" s="108"/>
      <x:c r="C171" s="129" t="str">
        <x:f>IFERROR(VLOOKUP(B171,'03 Clientes'!$A$6:$N$200,2,FALSE),"")</x:f>
      </x:c>
      <x:c r="D171" s="108"/>
      <x:c r="E171" s="108"/>
      <x:c r="F171" s="132"/>
      <x:c r="G171" s="112"/>
      <x:c r="H171" s="134" t="str">
        <x:f>IF(OR(F171="",G171=""),"",F171*G171)</x:f>
      </x:c>
      <x:c r="I171" s="124"/>
      <x:c r="J171" s="124"/>
      <x:c r="K171" s="108"/>
      <x:c r="L171" s="108"/>
      <x:c r="M171" s="108"/>
      <x:c r="N171" s="161"/>
      <x:c r="O171" s="161"/>
      <x:c r="P171" s="161"/>
      <x:c r="Q171" s="161"/>
      <x:c r="R171" s="161"/>
      <x:c r="S171" s="161"/>
      <x:c r="T171" s="161"/>
      <x:c r="U171" s="161"/>
      <x:c r="V171" s="161"/>
      <x:c r="W171" s="161"/>
      <x:c r="X171" s="161"/>
      <x:c r="Y171" s="161"/>
      <x:c r="Z171" s="161"/>
    </x:row>
    <x:row r="172">
      <x:c r="A172" s="129" t="str">
        <x:f>IF(D172&lt;&gt;"","OPP-"&amp;TEXT(ROW()-5,"000"),"")</x:f>
      </x:c>
      <x:c r="B172" s="108"/>
      <x:c r="C172" s="129" t="str">
        <x:f>IFERROR(VLOOKUP(B172,'03 Clientes'!$A$6:$N$200,2,FALSE),"")</x:f>
      </x:c>
      <x:c r="D172" s="108"/>
      <x:c r="E172" s="108"/>
      <x:c r="F172" s="132"/>
      <x:c r="G172" s="112"/>
      <x:c r="H172" s="134" t="str">
        <x:f>IF(OR(F172="",G172=""),"",F172*G172)</x:f>
      </x:c>
      <x:c r="I172" s="124"/>
      <x:c r="J172" s="124"/>
      <x:c r="K172" s="108"/>
      <x:c r="L172" s="108"/>
      <x:c r="M172" s="108"/>
      <x:c r="N172" s="161"/>
      <x:c r="O172" s="161"/>
      <x:c r="P172" s="161"/>
      <x:c r="Q172" s="161"/>
      <x:c r="R172" s="161"/>
      <x:c r="S172" s="161"/>
      <x:c r="T172" s="161"/>
      <x:c r="U172" s="161"/>
      <x:c r="V172" s="161"/>
      <x:c r="W172" s="161"/>
      <x:c r="X172" s="161"/>
      <x:c r="Y172" s="161"/>
      <x:c r="Z172" s="161"/>
    </x:row>
    <x:row r="173">
      <x:c r="A173" s="129" t="str">
        <x:f>IF(D173&lt;&gt;"","OPP-"&amp;TEXT(ROW()-5,"000"),"")</x:f>
      </x:c>
      <x:c r="B173" s="108"/>
      <x:c r="C173" s="129" t="str">
        <x:f>IFERROR(VLOOKUP(B173,'03 Clientes'!$A$6:$N$200,2,FALSE),"")</x:f>
      </x:c>
      <x:c r="D173" s="108"/>
      <x:c r="E173" s="108"/>
      <x:c r="F173" s="132"/>
      <x:c r="G173" s="112"/>
      <x:c r="H173" s="134" t="str">
        <x:f>IF(OR(F173="",G173=""),"",F173*G173)</x:f>
      </x:c>
      <x:c r="I173" s="124"/>
      <x:c r="J173" s="124"/>
      <x:c r="K173" s="108"/>
      <x:c r="L173" s="108"/>
      <x:c r="M173" s="108"/>
      <x:c r="N173" s="161"/>
      <x:c r="O173" s="161"/>
      <x:c r="P173" s="161"/>
      <x:c r="Q173" s="161"/>
      <x:c r="R173" s="161"/>
      <x:c r="S173" s="161"/>
      <x:c r="T173" s="161"/>
      <x:c r="U173" s="161"/>
      <x:c r="V173" s="161"/>
      <x:c r="W173" s="161"/>
      <x:c r="X173" s="161"/>
      <x:c r="Y173" s="161"/>
      <x:c r="Z173" s="161"/>
    </x:row>
    <x:row r="174">
      <x:c r="A174" s="129" t="str">
        <x:f>IF(D174&lt;&gt;"","OPP-"&amp;TEXT(ROW()-5,"000"),"")</x:f>
      </x:c>
      <x:c r="B174" s="108"/>
      <x:c r="C174" s="129" t="str">
        <x:f>IFERROR(VLOOKUP(B174,'03 Clientes'!$A$6:$N$200,2,FALSE),"")</x:f>
      </x:c>
      <x:c r="D174" s="108"/>
      <x:c r="E174" s="108"/>
      <x:c r="F174" s="132"/>
      <x:c r="G174" s="112"/>
      <x:c r="H174" s="134" t="str">
        <x:f>IF(OR(F174="",G174=""),"",F174*G174)</x:f>
      </x:c>
      <x:c r="I174" s="124"/>
      <x:c r="J174" s="124"/>
      <x:c r="K174" s="108"/>
      <x:c r="L174" s="108"/>
      <x:c r="M174" s="108"/>
      <x:c r="N174" s="161"/>
      <x:c r="O174" s="161"/>
      <x:c r="P174" s="161"/>
      <x:c r="Q174" s="161"/>
      <x:c r="R174" s="161"/>
      <x:c r="S174" s="161"/>
      <x:c r="T174" s="161"/>
      <x:c r="U174" s="161"/>
      <x:c r="V174" s="161"/>
      <x:c r="W174" s="161"/>
      <x:c r="X174" s="161"/>
      <x:c r="Y174" s="161"/>
      <x:c r="Z174" s="161"/>
    </x:row>
    <x:row r="175">
      <x:c r="A175" s="129" t="str">
        <x:f>IF(D175&lt;&gt;"","OPP-"&amp;TEXT(ROW()-5,"000"),"")</x:f>
      </x:c>
      <x:c r="B175" s="108"/>
      <x:c r="C175" s="129" t="str">
        <x:f>IFERROR(VLOOKUP(B175,'03 Clientes'!$A$6:$N$200,2,FALSE),"")</x:f>
      </x:c>
      <x:c r="D175" s="108"/>
      <x:c r="E175" s="108"/>
      <x:c r="F175" s="132"/>
      <x:c r="G175" s="112"/>
      <x:c r="H175" s="134" t="str">
        <x:f>IF(OR(F175="",G175=""),"",F175*G175)</x:f>
      </x:c>
      <x:c r="I175" s="124"/>
      <x:c r="J175" s="124"/>
      <x:c r="K175" s="108"/>
      <x:c r="L175" s="108"/>
      <x:c r="M175" s="108"/>
      <x:c r="N175" s="161"/>
      <x:c r="O175" s="161"/>
      <x:c r="P175" s="161"/>
      <x:c r="Q175" s="161"/>
      <x:c r="R175" s="161"/>
      <x:c r="S175" s="161"/>
      <x:c r="T175" s="161"/>
      <x:c r="U175" s="161"/>
      <x:c r="V175" s="161"/>
      <x:c r="W175" s="161"/>
      <x:c r="X175" s="161"/>
      <x:c r="Y175" s="161"/>
      <x:c r="Z175" s="161"/>
    </x:row>
    <x:row r="176">
      <x:c r="A176" s="129" t="str">
        <x:f>IF(D176&lt;&gt;"","OPP-"&amp;TEXT(ROW()-5,"000"),"")</x:f>
      </x:c>
      <x:c r="B176" s="108"/>
      <x:c r="C176" s="129" t="str">
        <x:f>IFERROR(VLOOKUP(B176,'03 Clientes'!$A$6:$N$200,2,FALSE),"")</x:f>
      </x:c>
      <x:c r="D176" s="108"/>
      <x:c r="E176" s="108"/>
      <x:c r="F176" s="132"/>
      <x:c r="G176" s="112"/>
      <x:c r="H176" s="134" t="str">
        <x:f>IF(OR(F176="",G176=""),"",F176*G176)</x:f>
      </x:c>
      <x:c r="I176" s="124"/>
      <x:c r="J176" s="124"/>
      <x:c r="K176" s="108"/>
      <x:c r="L176" s="108"/>
      <x:c r="M176" s="108"/>
      <x:c r="N176" s="161"/>
      <x:c r="O176" s="161"/>
      <x:c r="P176" s="161"/>
      <x:c r="Q176" s="161"/>
      <x:c r="R176" s="161"/>
      <x:c r="S176" s="161"/>
      <x:c r="T176" s="161"/>
      <x:c r="U176" s="161"/>
      <x:c r="V176" s="161"/>
      <x:c r="W176" s="161"/>
      <x:c r="X176" s="161"/>
      <x:c r="Y176" s="161"/>
      <x:c r="Z176" s="161"/>
    </x:row>
    <x:row r="177">
      <x:c r="A177" s="129" t="str">
        <x:f>IF(D177&lt;&gt;"","OPP-"&amp;TEXT(ROW()-5,"000"),"")</x:f>
      </x:c>
      <x:c r="B177" s="108"/>
      <x:c r="C177" s="129" t="str">
        <x:f>IFERROR(VLOOKUP(B177,'03 Clientes'!$A$6:$N$200,2,FALSE),"")</x:f>
      </x:c>
      <x:c r="D177" s="108"/>
      <x:c r="E177" s="108"/>
      <x:c r="F177" s="132"/>
      <x:c r="G177" s="112"/>
      <x:c r="H177" s="134" t="str">
        <x:f>IF(OR(F177="",G177=""),"",F177*G177)</x:f>
      </x:c>
      <x:c r="I177" s="124"/>
      <x:c r="J177" s="124"/>
      <x:c r="K177" s="108"/>
      <x:c r="L177" s="108"/>
      <x:c r="M177" s="108"/>
      <x:c r="N177" s="161"/>
      <x:c r="O177" s="161"/>
      <x:c r="P177" s="161"/>
      <x:c r="Q177" s="161"/>
      <x:c r="R177" s="161"/>
      <x:c r="S177" s="161"/>
      <x:c r="T177" s="161"/>
      <x:c r="U177" s="161"/>
      <x:c r="V177" s="161"/>
      <x:c r="W177" s="161"/>
      <x:c r="X177" s="161"/>
      <x:c r="Y177" s="161"/>
      <x:c r="Z177" s="161"/>
    </x:row>
    <x:row r="178">
      <x:c r="A178" s="129" t="str">
        <x:f>IF(D178&lt;&gt;"","OPP-"&amp;TEXT(ROW()-5,"000"),"")</x:f>
      </x:c>
      <x:c r="B178" s="108"/>
      <x:c r="C178" s="129" t="str">
        <x:f>IFERROR(VLOOKUP(B178,'03 Clientes'!$A$6:$N$200,2,FALSE),"")</x:f>
      </x:c>
      <x:c r="D178" s="108"/>
      <x:c r="E178" s="108"/>
      <x:c r="F178" s="132"/>
      <x:c r="G178" s="112"/>
      <x:c r="H178" s="134" t="str">
        <x:f>IF(OR(F178="",G178=""),"",F178*G178)</x:f>
      </x:c>
      <x:c r="I178" s="124"/>
      <x:c r="J178" s="124"/>
      <x:c r="K178" s="108"/>
      <x:c r="L178" s="108"/>
      <x:c r="M178" s="108"/>
      <x:c r="N178" s="161"/>
      <x:c r="O178" s="161"/>
      <x:c r="P178" s="161"/>
      <x:c r="Q178" s="161"/>
      <x:c r="R178" s="161"/>
      <x:c r="S178" s="161"/>
      <x:c r="T178" s="161"/>
      <x:c r="U178" s="161"/>
      <x:c r="V178" s="161"/>
      <x:c r="W178" s="161"/>
      <x:c r="X178" s="161"/>
      <x:c r="Y178" s="161"/>
      <x:c r="Z178" s="161"/>
    </x:row>
    <x:row r="179">
      <x:c r="A179" s="129" t="str">
        <x:f>IF(D179&lt;&gt;"","OPP-"&amp;TEXT(ROW()-5,"000"),"")</x:f>
      </x:c>
      <x:c r="B179" s="108"/>
      <x:c r="C179" s="129" t="str">
        <x:f>IFERROR(VLOOKUP(B179,'03 Clientes'!$A$6:$N$200,2,FALSE),"")</x:f>
      </x:c>
      <x:c r="D179" s="108"/>
      <x:c r="E179" s="108"/>
      <x:c r="F179" s="132"/>
      <x:c r="G179" s="112"/>
      <x:c r="H179" s="134" t="str">
        <x:f>IF(OR(F179="",G179=""),"",F179*G179)</x:f>
      </x:c>
      <x:c r="I179" s="124"/>
      <x:c r="J179" s="124"/>
      <x:c r="K179" s="108"/>
      <x:c r="L179" s="108"/>
      <x:c r="M179" s="108"/>
      <x:c r="N179" s="161"/>
      <x:c r="O179" s="161"/>
      <x:c r="P179" s="161"/>
      <x:c r="Q179" s="161"/>
      <x:c r="R179" s="161"/>
      <x:c r="S179" s="161"/>
      <x:c r="T179" s="161"/>
      <x:c r="U179" s="161"/>
      <x:c r="V179" s="161"/>
      <x:c r="W179" s="161"/>
      <x:c r="X179" s="161"/>
      <x:c r="Y179" s="161"/>
      <x:c r="Z179" s="161"/>
    </x:row>
    <x:row r="180">
      <x:c r="A180" s="129" t="str">
        <x:f>IF(D180&lt;&gt;"","OPP-"&amp;TEXT(ROW()-5,"000"),"")</x:f>
      </x:c>
      <x:c r="B180" s="108"/>
      <x:c r="C180" s="129" t="str">
        <x:f>IFERROR(VLOOKUP(B180,'03 Clientes'!$A$6:$N$200,2,FALSE),"")</x:f>
      </x:c>
      <x:c r="D180" s="108"/>
      <x:c r="E180" s="108"/>
      <x:c r="F180" s="132"/>
      <x:c r="G180" s="112"/>
      <x:c r="H180" s="134" t="str">
        <x:f>IF(OR(F180="",G180=""),"",F180*G180)</x:f>
      </x:c>
      <x:c r="I180" s="124"/>
      <x:c r="J180" s="124"/>
      <x:c r="K180" s="108"/>
      <x:c r="L180" s="108"/>
      <x:c r="M180" s="108"/>
      <x:c r="N180" s="161"/>
      <x:c r="O180" s="161"/>
      <x:c r="P180" s="161"/>
      <x:c r="Q180" s="161"/>
      <x:c r="R180" s="161"/>
      <x:c r="S180" s="161"/>
      <x:c r="T180" s="161"/>
      <x:c r="U180" s="161"/>
      <x:c r="V180" s="161"/>
      <x:c r="W180" s="161"/>
      <x:c r="X180" s="161"/>
      <x:c r="Y180" s="161"/>
      <x:c r="Z180" s="161"/>
    </x:row>
    <x:row r="181">
      <x:c r="A181" s="129" t="str">
        <x:f>IF(D181&lt;&gt;"","OPP-"&amp;TEXT(ROW()-5,"000"),"")</x:f>
      </x:c>
      <x:c r="B181" s="108"/>
      <x:c r="C181" s="129" t="str">
        <x:f>IFERROR(VLOOKUP(B181,'03 Clientes'!$A$6:$N$200,2,FALSE),"")</x:f>
      </x:c>
      <x:c r="D181" s="108"/>
      <x:c r="E181" s="108"/>
      <x:c r="F181" s="132"/>
      <x:c r="G181" s="112"/>
      <x:c r="H181" s="134" t="str">
        <x:f>IF(OR(F181="",G181=""),"",F181*G181)</x:f>
      </x:c>
      <x:c r="I181" s="124"/>
      <x:c r="J181" s="124"/>
      <x:c r="K181" s="108"/>
      <x:c r="L181" s="108"/>
      <x:c r="M181" s="108"/>
      <x:c r="N181" s="161"/>
      <x:c r="O181" s="161"/>
      <x:c r="P181" s="161"/>
      <x:c r="Q181" s="161"/>
      <x:c r="R181" s="161"/>
      <x:c r="S181" s="161"/>
      <x:c r="T181" s="161"/>
      <x:c r="U181" s="161"/>
      <x:c r="V181" s="161"/>
      <x:c r="W181" s="161"/>
      <x:c r="X181" s="161"/>
      <x:c r="Y181" s="161"/>
      <x:c r="Z181" s="161"/>
    </x:row>
    <x:row r="182">
      <x:c r="A182" s="129" t="str">
        <x:f>IF(D182&lt;&gt;"","OPP-"&amp;TEXT(ROW()-5,"000"),"")</x:f>
      </x:c>
      <x:c r="B182" s="108"/>
      <x:c r="C182" s="129" t="str">
        <x:f>IFERROR(VLOOKUP(B182,'03 Clientes'!$A$6:$N$200,2,FALSE),"")</x:f>
      </x:c>
      <x:c r="D182" s="108"/>
      <x:c r="E182" s="108"/>
      <x:c r="F182" s="132"/>
      <x:c r="G182" s="112"/>
      <x:c r="H182" s="134" t="str">
        <x:f>IF(OR(F182="",G182=""),"",F182*G182)</x:f>
      </x:c>
      <x:c r="I182" s="124"/>
      <x:c r="J182" s="124"/>
      <x:c r="K182" s="108"/>
      <x:c r="L182" s="108"/>
      <x:c r="M182" s="108"/>
      <x:c r="N182" s="161"/>
      <x:c r="O182" s="161"/>
      <x:c r="P182" s="161"/>
      <x:c r="Q182" s="161"/>
      <x:c r="R182" s="161"/>
      <x:c r="S182" s="161"/>
      <x:c r="T182" s="161"/>
      <x:c r="U182" s="161"/>
      <x:c r="V182" s="161"/>
      <x:c r="W182" s="161"/>
      <x:c r="X182" s="161"/>
      <x:c r="Y182" s="161"/>
      <x:c r="Z182" s="161"/>
    </x:row>
    <x:row r="183">
      <x:c r="A183" s="129" t="str">
        <x:f>IF(D183&lt;&gt;"","OPP-"&amp;TEXT(ROW()-5,"000"),"")</x:f>
      </x:c>
      <x:c r="B183" s="108"/>
      <x:c r="C183" s="129" t="str">
        <x:f>IFERROR(VLOOKUP(B183,'03 Clientes'!$A$6:$N$200,2,FALSE),"")</x:f>
      </x:c>
      <x:c r="D183" s="108"/>
      <x:c r="E183" s="108"/>
      <x:c r="F183" s="132"/>
      <x:c r="G183" s="112"/>
      <x:c r="H183" s="134" t="str">
        <x:f>IF(OR(F183="",G183=""),"",F183*G183)</x:f>
      </x:c>
      <x:c r="I183" s="124"/>
      <x:c r="J183" s="124"/>
      <x:c r="K183" s="108"/>
      <x:c r="L183" s="108"/>
      <x:c r="M183" s="108"/>
      <x:c r="N183" s="161"/>
      <x:c r="O183" s="161"/>
      <x:c r="P183" s="161"/>
      <x:c r="Q183" s="161"/>
      <x:c r="R183" s="161"/>
      <x:c r="S183" s="161"/>
      <x:c r="T183" s="161"/>
      <x:c r="U183" s="161"/>
      <x:c r="V183" s="161"/>
      <x:c r="W183" s="161"/>
      <x:c r="X183" s="161"/>
      <x:c r="Y183" s="161"/>
      <x:c r="Z183" s="161"/>
    </x:row>
    <x:row r="184">
      <x:c r="A184" s="129" t="str">
        <x:f>IF(D184&lt;&gt;"","OPP-"&amp;TEXT(ROW()-5,"000"),"")</x:f>
      </x:c>
      <x:c r="B184" s="108"/>
      <x:c r="C184" s="129" t="str">
        <x:f>IFERROR(VLOOKUP(B184,'03 Clientes'!$A$6:$N$200,2,FALSE),"")</x:f>
      </x:c>
      <x:c r="D184" s="108"/>
      <x:c r="E184" s="108"/>
      <x:c r="F184" s="132"/>
      <x:c r="G184" s="112"/>
      <x:c r="H184" s="134" t="str">
        <x:f>IF(OR(F184="",G184=""),"",F184*G184)</x:f>
      </x:c>
      <x:c r="I184" s="124"/>
      <x:c r="J184" s="124"/>
      <x:c r="K184" s="108"/>
      <x:c r="L184" s="108"/>
      <x:c r="M184" s="108"/>
      <x:c r="N184" s="161"/>
      <x:c r="O184" s="161"/>
      <x:c r="P184" s="161"/>
      <x:c r="Q184" s="161"/>
      <x:c r="R184" s="161"/>
      <x:c r="S184" s="161"/>
      <x:c r="T184" s="161"/>
      <x:c r="U184" s="161"/>
      <x:c r="V184" s="161"/>
      <x:c r="W184" s="161"/>
      <x:c r="X184" s="161"/>
      <x:c r="Y184" s="161"/>
      <x:c r="Z184" s="161"/>
    </x:row>
    <x:row r="185">
      <x:c r="A185" s="129" t="str">
        <x:f>IF(D185&lt;&gt;"","OPP-"&amp;TEXT(ROW()-5,"000"),"")</x:f>
      </x:c>
      <x:c r="B185" s="108"/>
      <x:c r="C185" s="129" t="str">
        <x:f>IFERROR(VLOOKUP(B185,'03 Clientes'!$A$6:$N$200,2,FALSE),"")</x:f>
      </x:c>
      <x:c r="D185" s="108"/>
      <x:c r="E185" s="108"/>
      <x:c r="F185" s="132"/>
      <x:c r="G185" s="112"/>
      <x:c r="H185" s="134" t="str">
        <x:f>IF(OR(F185="",G185=""),"",F185*G185)</x:f>
      </x:c>
      <x:c r="I185" s="124"/>
      <x:c r="J185" s="124"/>
      <x:c r="K185" s="108"/>
      <x:c r="L185" s="108"/>
      <x:c r="M185" s="108"/>
      <x:c r="N185" s="161"/>
      <x:c r="O185" s="161"/>
      <x:c r="P185" s="161"/>
      <x:c r="Q185" s="161"/>
      <x:c r="R185" s="161"/>
      <x:c r="S185" s="161"/>
      <x:c r="T185" s="161"/>
      <x:c r="U185" s="161"/>
      <x:c r="V185" s="161"/>
      <x:c r="W185" s="161"/>
      <x:c r="X185" s="161"/>
      <x:c r="Y185" s="161"/>
      <x:c r="Z185" s="161"/>
    </x:row>
    <x:row r="186">
      <x:c r="A186" s="129" t="str">
        <x:f>IF(D186&lt;&gt;"","OPP-"&amp;TEXT(ROW()-5,"000"),"")</x:f>
      </x:c>
      <x:c r="B186" s="108"/>
      <x:c r="C186" s="129" t="str">
        <x:f>IFERROR(VLOOKUP(B186,'03 Clientes'!$A$6:$N$200,2,FALSE),"")</x:f>
      </x:c>
      <x:c r="D186" s="108"/>
      <x:c r="E186" s="108"/>
      <x:c r="F186" s="132"/>
      <x:c r="G186" s="112"/>
      <x:c r="H186" s="134" t="str">
        <x:f>IF(OR(F186="",G186=""),"",F186*G186)</x:f>
      </x:c>
      <x:c r="I186" s="124"/>
      <x:c r="J186" s="124"/>
      <x:c r="K186" s="108"/>
      <x:c r="L186" s="108"/>
      <x:c r="M186" s="108"/>
      <x:c r="N186" s="161"/>
      <x:c r="O186" s="161"/>
      <x:c r="P186" s="161"/>
      <x:c r="Q186" s="161"/>
      <x:c r="R186" s="161"/>
      <x:c r="S186" s="161"/>
      <x:c r="T186" s="161"/>
      <x:c r="U186" s="161"/>
      <x:c r="V186" s="161"/>
      <x:c r="W186" s="161"/>
      <x:c r="X186" s="161"/>
      <x:c r="Y186" s="161"/>
      <x:c r="Z186" s="161"/>
    </x:row>
    <x:row r="187">
      <x:c r="A187" s="129" t="str">
        <x:f>IF(D187&lt;&gt;"","OPP-"&amp;TEXT(ROW()-5,"000"),"")</x:f>
      </x:c>
      <x:c r="B187" s="108"/>
      <x:c r="C187" s="129" t="str">
        <x:f>IFERROR(VLOOKUP(B187,'03 Clientes'!$A$6:$N$200,2,FALSE),"")</x:f>
      </x:c>
      <x:c r="D187" s="108"/>
      <x:c r="E187" s="108"/>
      <x:c r="F187" s="132"/>
      <x:c r="G187" s="112"/>
      <x:c r="H187" s="134" t="str">
        <x:f>IF(OR(F187="",G187=""),"",F187*G187)</x:f>
      </x:c>
      <x:c r="I187" s="124"/>
      <x:c r="J187" s="124"/>
      <x:c r="K187" s="108"/>
      <x:c r="L187" s="108"/>
      <x:c r="M187" s="108"/>
      <x:c r="N187" s="161"/>
      <x:c r="O187" s="161"/>
      <x:c r="P187" s="161"/>
      <x:c r="Q187" s="161"/>
      <x:c r="R187" s="161"/>
      <x:c r="S187" s="161"/>
      <x:c r="T187" s="161"/>
      <x:c r="U187" s="161"/>
      <x:c r="V187" s="161"/>
      <x:c r="W187" s="161"/>
      <x:c r="X187" s="161"/>
      <x:c r="Y187" s="161"/>
      <x:c r="Z187" s="161"/>
    </x:row>
    <x:row r="188">
      <x:c r="A188" s="129" t="str">
        <x:f>IF(D188&lt;&gt;"","OPP-"&amp;TEXT(ROW()-5,"000"),"")</x:f>
      </x:c>
      <x:c r="B188" s="108"/>
      <x:c r="C188" s="129" t="str">
        <x:f>IFERROR(VLOOKUP(B188,'03 Clientes'!$A$6:$N$200,2,FALSE),"")</x:f>
      </x:c>
      <x:c r="D188" s="108"/>
      <x:c r="E188" s="108"/>
      <x:c r="F188" s="132"/>
      <x:c r="G188" s="112"/>
      <x:c r="H188" s="134" t="str">
        <x:f>IF(OR(F188="",G188=""),"",F188*G188)</x:f>
      </x:c>
      <x:c r="I188" s="124"/>
      <x:c r="J188" s="124"/>
      <x:c r="K188" s="108"/>
      <x:c r="L188" s="108"/>
      <x:c r="M188" s="108"/>
      <x:c r="N188" s="161"/>
      <x:c r="O188" s="161"/>
      <x:c r="P188" s="161"/>
      <x:c r="Q188" s="161"/>
      <x:c r="R188" s="161"/>
      <x:c r="S188" s="161"/>
      <x:c r="T188" s="161"/>
      <x:c r="U188" s="161"/>
      <x:c r="V188" s="161"/>
      <x:c r="W188" s="161"/>
      <x:c r="X188" s="161"/>
      <x:c r="Y188" s="161"/>
      <x:c r="Z188" s="161"/>
    </x:row>
    <x:row r="189">
      <x:c r="A189" s="129" t="str">
        <x:f>IF(D189&lt;&gt;"","OPP-"&amp;TEXT(ROW()-5,"000"),"")</x:f>
      </x:c>
      <x:c r="B189" s="108"/>
      <x:c r="C189" s="129" t="str">
        <x:f>IFERROR(VLOOKUP(B189,'03 Clientes'!$A$6:$N$200,2,FALSE),"")</x:f>
      </x:c>
      <x:c r="D189" s="108"/>
      <x:c r="E189" s="108"/>
      <x:c r="F189" s="132"/>
      <x:c r="G189" s="112"/>
      <x:c r="H189" s="134" t="str">
        <x:f>IF(OR(F189="",G189=""),"",F189*G189)</x:f>
      </x:c>
      <x:c r="I189" s="124"/>
      <x:c r="J189" s="124"/>
      <x:c r="K189" s="108"/>
      <x:c r="L189" s="108"/>
      <x:c r="M189" s="108"/>
      <x:c r="N189" s="161"/>
      <x:c r="O189" s="161"/>
      <x:c r="P189" s="161"/>
      <x:c r="Q189" s="161"/>
      <x:c r="R189" s="161"/>
      <x:c r="S189" s="161"/>
      <x:c r="T189" s="161"/>
      <x:c r="U189" s="161"/>
      <x:c r="V189" s="161"/>
      <x:c r="W189" s="161"/>
      <x:c r="X189" s="161"/>
      <x:c r="Y189" s="161"/>
      <x:c r="Z189" s="161"/>
    </x:row>
    <x:row r="190">
      <x:c r="A190" s="129" t="str">
        <x:f>IF(D190&lt;&gt;"","OPP-"&amp;TEXT(ROW()-5,"000"),"")</x:f>
      </x:c>
      <x:c r="B190" s="108"/>
      <x:c r="C190" s="129" t="str">
        <x:f>IFERROR(VLOOKUP(B190,'03 Clientes'!$A$6:$N$200,2,FALSE),"")</x:f>
      </x:c>
      <x:c r="D190" s="108"/>
      <x:c r="E190" s="108"/>
      <x:c r="F190" s="132"/>
      <x:c r="G190" s="112"/>
      <x:c r="H190" s="134" t="str">
        <x:f>IF(OR(F190="",G190=""),"",F190*G190)</x:f>
      </x:c>
      <x:c r="I190" s="124"/>
      <x:c r="J190" s="124"/>
      <x:c r="K190" s="108"/>
      <x:c r="L190" s="108"/>
      <x:c r="M190" s="108"/>
      <x:c r="N190" s="161"/>
      <x:c r="O190" s="161"/>
      <x:c r="P190" s="161"/>
      <x:c r="Q190" s="161"/>
      <x:c r="R190" s="161"/>
      <x:c r="S190" s="161"/>
      <x:c r="T190" s="161"/>
      <x:c r="U190" s="161"/>
      <x:c r="V190" s="161"/>
      <x:c r="W190" s="161"/>
      <x:c r="X190" s="161"/>
      <x:c r="Y190" s="161"/>
      <x:c r="Z190" s="161"/>
    </x:row>
    <x:row r="191">
      <x:c r="A191" s="129" t="str">
        <x:f>IF(D191&lt;&gt;"","OPP-"&amp;TEXT(ROW()-5,"000"),"")</x:f>
      </x:c>
      <x:c r="B191" s="108"/>
      <x:c r="C191" s="129" t="str">
        <x:f>IFERROR(VLOOKUP(B191,'03 Clientes'!$A$6:$N$200,2,FALSE),"")</x:f>
      </x:c>
      <x:c r="D191" s="108"/>
      <x:c r="E191" s="108"/>
      <x:c r="F191" s="132"/>
      <x:c r="G191" s="112"/>
      <x:c r="H191" s="134" t="str">
        <x:f>IF(OR(F191="",G191=""),"",F191*G191)</x:f>
      </x:c>
      <x:c r="I191" s="124"/>
      <x:c r="J191" s="124"/>
      <x:c r="K191" s="108"/>
      <x:c r="L191" s="108"/>
      <x:c r="M191" s="108"/>
      <x:c r="N191" s="161"/>
      <x:c r="O191" s="161"/>
      <x:c r="P191" s="161"/>
      <x:c r="Q191" s="161"/>
      <x:c r="R191" s="161"/>
      <x:c r="S191" s="161"/>
      <x:c r="T191" s="161"/>
      <x:c r="U191" s="161"/>
      <x:c r="V191" s="161"/>
      <x:c r="W191" s="161"/>
      <x:c r="X191" s="161"/>
      <x:c r="Y191" s="161"/>
      <x:c r="Z191" s="161"/>
    </x:row>
    <x:row r="192">
      <x:c r="A192" s="129" t="str">
        <x:f>IF(D192&lt;&gt;"","OPP-"&amp;TEXT(ROW()-5,"000"),"")</x:f>
      </x:c>
      <x:c r="B192" s="108"/>
      <x:c r="C192" s="129" t="str">
        <x:f>IFERROR(VLOOKUP(B192,'03 Clientes'!$A$6:$N$200,2,FALSE),"")</x:f>
      </x:c>
      <x:c r="D192" s="108"/>
      <x:c r="E192" s="108"/>
      <x:c r="F192" s="132"/>
      <x:c r="G192" s="112"/>
      <x:c r="H192" s="134" t="str">
        <x:f>IF(OR(F192="",G192=""),"",F192*G192)</x:f>
      </x:c>
      <x:c r="I192" s="124"/>
      <x:c r="J192" s="124"/>
      <x:c r="K192" s="108"/>
      <x:c r="L192" s="108"/>
      <x:c r="M192" s="108"/>
      <x:c r="N192" s="161"/>
      <x:c r="O192" s="161"/>
      <x:c r="P192" s="161"/>
      <x:c r="Q192" s="161"/>
      <x:c r="R192" s="161"/>
      <x:c r="S192" s="161"/>
      <x:c r="T192" s="161"/>
      <x:c r="U192" s="161"/>
      <x:c r="V192" s="161"/>
      <x:c r="W192" s="161"/>
      <x:c r="X192" s="161"/>
      <x:c r="Y192" s="161"/>
      <x:c r="Z192" s="161"/>
    </x:row>
    <x:row r="193">
      <x:c r="A193" s="129" t="str">
        <x:f>IF(D193&lt;&gt;"","OPP-"&amp;TEXT(ROW()-5,"000"),"")</x:f>
      </x:c>
      <x:c r="B193" s="108"/>
      <x:c r="C193" s="129" t="str">
        <x:f>IFERROR(VLOOKUP(B193,'03 Clientes'!$A$6:$N$200,2,FALSE),"")</x:f>
      </x:c>
      <x:c r="D193" s="108"/>
      <x:c r="E193" s="108"/>
      <x:c r="F193" s="132"/>
      <x:c r="G193" s="112"/>
      <x:c r="H193" s="134" t="str">
        <x:f>IF(OR(F193="",G193=""),"",F193*G193)</x:f>
      </x:c>
      <x:c r="I193" s="124"/>
      <x:c r="J193" s="124"/>
      <x:c r="K193" s="108"/>
      <x:c r="L193" s="108"/>
      <x:c r="M193" s="108"/>
      <x:c r="N193" s="161"/>
      <x:c r="O193" s="161"/>
      <x:c r="P193" s="161"/>
      <x:c r="Q193" s="161"/>
      <x:c r="R193" s="161"/>
      <x:c r="S193" s="161"/>
      <x:c r="T193" s="161"/>
      <x:c r="U193" s="161"/>
      <x:c r="V193" s="161"/>
      <x:c r="W193" s="161"/>
      <x:c r="X193" s="161"/>
      <x:c r="Y193" s="161"/>
      <x:c r="Z193" s="161"/>
    </x:row>
    <x:row r="194">
      <x:c r="A194" s="129" t="str">
        <x:f>IF(D194&lt;&gt;"","OPP-"&amp;TEXT(ROW()-5,"000"),"")</x:f>
      </x:c>
      <x:c r="B194" s="108"/>
      <x:c r="C194" s="129" t="str">
        <x:f>IFERROR(VLOOKUP(B194,'03 Clientes'!$A$6:$N$200,2,FALSE),"")</x:f>
      </x:c>
      <x:c r="D194" s="108"/>
      <x:c r="E194" s="108"/>
      <x:c r="F194" s="132"/>
      <x:c r="G194" s="112"/>
      <x:c r="H194" s="134" t="str">
        <x:f>IF(OR(F194="",G194=""),"",F194*G194)</x:f>
      </x:c>
      <x:c r="I194" s="124"/>
      <x:c r="J194" s="124"/>
      <x:c r="K194" s="108"/>
      <x:c r="L194" s="108"/>
      <x:c r="M194" s="108"/>
      <x:c r="N194" s="161"/>
      <x:c r="O194" s="161"/>
      <x:c r="P194" s="161"/>
      <x:c r="Q194" s="161"/>
      <x:c r="R194" s="161"/>
      <x:c r="S194" s="161"/>
      <x:c r="T194" s="161"/>
      <x:c r="U194" s="161"/>
      <x:c r="V194" s="161"/>
      <x:c r="W194" s="161"/>
      <x:c r="X194" s="161"/>
      <x:c r="Y194" s="161"/>
      <x:c r="Z194" s="161"/>
    </x:row>
    <x:row r="195">
      <x:c r="A195" s="129" t="str">
        <x:f>IF(D195&lt;&gt;"","OPP-"&amp;TEXT(ROW()-5,"000"),"")</x:f>
      </x:c>
      <x:c r="B195" s="108"/>
      <x:c r="C195" s="129" t="str">
        <x:f>IFERROR(VLOOKUP(B195,'03 Clientes'!$A$6:$N$200,2,FALSE),"")</x:f>
      </x:c>
      <x:c r="D195" s="108"/>
      <x:c r="E195" s="108"/>
      <x:c r="F195" s="132"/>
      <x:c r="G195" s="112"/>
      <x:c r="H195" s="134" t="str">
        <x:f>IF(OR(F195="",G195=""),"",F195*G195)</x:f>
      </x:c>
      <x:c r="I195" s="124"/>
      <x:c r="J195" s="124"/>
      <x:c r="K195" s="108"/>
      <x:c r="L195" s="108"/>
      <x:c r="M195" s="108"/>
      <x:c r="N195" s="161"/>
      <x:c r="O195" s="161"/>
      <x:c r="P195" s="161"/>
      <x:c r="Q195" s="161"/>
      <x:c r="R195" s="161"/>
      <x:c r="S195" s="161"/>
      <x:c r="T195" s="161"/>
      <x:c r="U195" s="161"/>
      <x:c r="V195" s="161"/>
      <x:c r="W195" s="161"/>
      <x:c r="X195" s="161"/>
      <x:c r="Y195" s="161"/>
      <x:c r="Z195" s="161"/>
    </x:row>
    <x:row r="196">
      <x:c r="A196" s="129" t="str">
        <x:f>IF(D196&lt;&gt;"","OPP-"&amp;TEXT(ROW()-5,"000"),"")</x:f>
      </x:c>
      <x:c r="B196" s="108"/>
      <x:c r="C196" s="129" t="str">
        <x:f>IFERROR(VLOOKUP(B196,'03 Clientes'!$A$6:$N$200,2,FALSE),"")</x:f>
      </x:c>
      <x:c r="D196" s="108"/>
      <x:c r="E196" s="108"/>
      <x:c r="F196" s="132"/>
      <x:c r="G196" s="112"/>
      <x:c r="H196" s="134" t="str">
        <x:f>IF(OR(F196="",G196=""),"",F196*G196)</x:f>
      </x:c>
      <x:c r="I196" s="124"/>
      <x:c r="J196" s="124"/>
      <x:c r="K196" s="108"/>
      <x:c r="L196" s="108"/>
      <x:c r="M196" s="108"/>
      <x:c r="N196" s="161"/>
      <x:c r="O196" s="161"/>
      <x:c r="P196" s="161"/>
      <x:c r="Q196" s="161"/>
      <x:c r="R196" s="161"/>
      <x:c r="S196" s="161"/>
      <x:c r="T196" s="161"/>
      <x:c r="U196" s="161"/>
      <x:c r="V196" s="161"/>
      <x:c r="W196" s="161"/>
      <x:c r="X196" s="161"/>
      <x:c r="Y196" s="161"/>
      <x:c r="Z196" s="161"/>
    </x:row>
    <x:row r="197">
      <x:c r="A197" s="129" t="str">
        <x:f>IF(D197&lt;&gt;"","OPP-"&amp;TEXT(ROW()-5,"000"),"")</x:f>
      </x:c>
      <x:c r="B197" s="108"/>
      <x:c r="C197" s="129" t="str">
        <x:f>IFERROR(VLOOKUP(B197,'03 Clientes'!$A$6:$N$200,2,FALSE),"")</x:f>
      </x:c>
      <x:c r="D197" s="108"/>
      <x:c r="E197" s="108"/>
      <x:c r="F197" s="132"/>
      <x:c r="G197" s="112"/>
      <x:c r="H197" s="134" t="str">
        <x:f>IF(OR(F197="",G197=""),"",F197*G197)</x:f>
      </x:c>
      <x:c r="I197" s="124"/>
      <x:c r="J197" s="124"/>
      <x:c r="K197" s="108"/>
      <x:c r="L197" s="108"/>
      <x:c r="M197" s="108"/>
      <x:c r="N197" s="161"/>
      <x:c r="O197" s="161"/>
      <x:c r="P197" s="161"/>
      <x:c r="Q197" s="161"/>
      <x:c r="R197" s="161"/>
      <x:c r="S197" s="161"/>
      <x:c r="T197" s="161"/>
      <x:c r="U197" s="161"/>
      <x:c r="V197" s="161"/>
      <x:c r="W197" s="161"/>
      <x:c r="X197" s="161"/>
      <x:c r="Y197" s="161"/>
      <x:c r="Z197" s="161"/>
    </x:row>
    <x:row r="198">
      <x:c r="A198" s="129" t="str">
        <x:f>IF(D198&lt;&gt;"","OPP-"&amp;TEXT(ROW()-5,"000"),"")</x:f>
      </x:c>
      <x:c r="B198" s="108"/>
      <x:c r="C198" s="129" t="str">
        <x:f>IFERROR(VLOOKUP(B198,'03 Clientes'!$A$6:$N$200,2,FALSE),"")</x:f>
      </x:c>
      <x:c r="D198" s="108"/>
      <x:c r="E198" s="108"/>
      <x:c r="F198" s="132"/>
      <x:c r="G198" s="112"/>
      <x:c r="H198" s="134" t="str">
        <x:f>IF(OR(F198="",G198=""),"",F198*G198)</x:f>
      </x:c>
      <x:c r="I198" s="124"/>
      <x:c r="J198" s="124"/>
      <x:c r="K198" s="108"/>
      <x:c r="L198" s="108"/>
      <x:c r="M198" s="108"/>
      <x:c r="N198" s="161"/>
      <x:c r="O198" s="161"/>
      <x:c r="P198" s="161"/>
      <x:c r="Q198" s="161"/>
      <x:c r="R198" s="161"/>
      <x:c r="S198" s="161"/>
      <x:c r="T198" s="161"/>
      <x:c r="U198" s="161"/>
      <x:c r="V198" s="161"/>
      <x:c r="W198" s="161"/>
      <x:c r="X198" s="161"/>
      <x:c r="Y198" s="161"/>
      <x:c r="Z198" s="161"/>
    </x:row>
    <x:row r="199">
      <x:c r="A199" s="129" t="str">
        <x:f>IF(D199&lt;&gt;"","OPP-"&amp;TEXT(ROW()-5,"000"),"")</x:f>
      </x:c>
      <x:c r="B199" s="108"/>
      <x:c r="C199" s="129" t="str">
        <x:f>IFERROR(VLOOKUP(B199,'03 Clientes'!$A$6:$N$200,2,FALSE),"")</x:f>
      </x:c>
      <x:c r="D199" s="108"/>
      <x:c r="E199" s="108"/>
      <x:c r="F199" s="132"/>
      <x:c r="G199" s="112"/>
      <x:c r="H199" s="134" t="str">
        <x:f>IF(OR(F199="",G199=""),"",F199*G199)</x:f>
      </x:c>
      <x:c r="I199" s="124"/>
      <x:c r="J199" s="124"/>
      <x:c r="K199" s="108"/>
      <x:c r="L199" s="108"/>
      <x:c r="M199" s="108"/>
      <x:c r="N199" s="161"/>
      <x:c r="O199" s="161"/>
      <x:c r="P199" s="161"/>
      <x:c r="Q199" s="161"/>
      <x:c r="R199" s="161"/>
      <x:c r="S199" s="161"/>
      <x:c r="T199" s="161"/>
      <x:c r="U199" s="161"/>
      <x:c r="V199" s="161"/>
      <x:c r="W199" s="161"/>
      <x:c r="X199" s="161"/>
      <x:c r="Y199" s="161"/>
      <x:c r="Z199" s="161"/>
    </x:row>
    <x:row r="200">
      <x:c r="A200" s="129" t="str">
        <x:f>IF(D200&lt;&gt;"","OPP-"&amp;TEXT(ROW()-5,"000"),"")</x:f>
      </x:c>
      <x:c r="B200" s="108"/>
      <x:c r="C200" s="129" t="str">
        <x:f>IFERROR(VLOOKUP(B200,'03 Clientes'!$A$6:$N$200,2,FALSE),"")</x:f>
      </x:c>
      <x:c r="D200" s="108"/>
      <x:c r="E200" s="108"/>
      <x:c r="F200" s="132"/>
      <x:c r="G200" s="112"/>
      <x:c r="H200" s="134" t="str">
        <x:f>IF(OR(F200="",G200=""),"",F200*G200)</x:f>
      </x:c>
      <x:c r="I200" s="124"/>
      <x:c r="J200" s="124"/>
      <x:c r="K200" s="108"/>
      <x:c r="L200" s="108"/>
      <x:c r="M200" s="108"/>
      <x:c r="N200" s="161"/>
      <x:c r="O200" s="161"/>
      <x:c r="P200" s="161"/>
      <x:c r="Q200" s="161"/>
      <x:c r="R200" s="161"/>
      <x:c r="S200" s="161"/>
      <x:c r="T200" s="161"/>
      <x:c r="U200" s="161"/>
      <x:c r="V200" s="161"/>
      <x:c r="W200" s="161"/>
      <x:c r="X200" s="161"/>
      <x:c r="Y200" s="161"/>
      <x:c r="Z200" s="161"/>
    </x:row>
    <x:row r="201">
      <x:c r="A201" s="160"/>
      <x:c r="B201" s="160"/>
      <x:c r="C201" s="160"/>
      <x:c r="D201" s="160"/>
      <x:c r="E201" s="160"/>
      <x:c r="F201" s="160"/>
      <x:c r="G201" s="160"/>
      <x:c r="H201" s="160"/>
      <x:c r="I201" s="160"/>
      <x:c r="J201" s="160"/>
      <x:c r="K201" s="160"/>
      <x:c r="L201" s="160"/>
      <x:c r="M201" s="160"/>
      <x:c r="N201" s="161"/>
      <x:c r="O201" s="161"/>
      <x:c r="P201" s="161"/>
      <x:c r="Q201" s="161"/>
      <x:c r="R201" s="161"/>
      <x:c r="S201" s="161"/>
      <x:c r="T201" s="161"/>
      <x:c r="U201" s="161"/>
      <x:c r="V201" s="161"/>
      <x:c r="W201" s="161"/>
      <x:c r="X201" s="161"/>
      <x:c r="Y201" s="161"/>
      <x:c r="Z201" s="161"/>
    </x:row>
    <x:row r="202">
      <x:c r="A202" s="160"/>
      <x:c r="B202" s="160"/>
      <x:c r="C202" s="160"/>
      <x:c r="D202" s="160"/>
      <x:c r="E202" s="160"/>
      <x:c r="F202" s="160"/>
      <x:c r="G202" s="160"/>
      <x:c r="H202" s="160"/>
      <x:c r="I202" s="160"/>
      <x:c r="J202" s="160"/>
      <x:c r="K202" s="160"/>
      <x:c r="L202" s="160"/>
      <x:c r="M202" s="160"/>
      <x:c r="N202" s="161"/>
      <x:c r="O202" s="161"/>
      <x:c r="P202" s="161"/>
      <x:c r="Q202" s="161"/>
      <x:c r="R202" s="161"/>
      <x:c r="S202" s="161"/>
      <x:c r="T202" s="161"/>
      <x:c r="U202" s="161"/>
      <x:c r="V202" s="161"/>
      <x:c r="W202" s="161"/>
      <x:c r="X202" s="161"/>
      <x:c r="Y202" s="161"/>
      <x:c r="Z202" s="161"/>
    </x:row>
    <x:row r="203">
      <x:c r="A203" s="160"/>
      <x:c r="B203" s="160"/>
      <x:c r="C203" s="160"/>
      <x:c r="D203" s="160"/>
      <x:c r="E203" s="160"/>
      <x:c r="F203" s="160"/>
      <x:c r="G203" s="160"/>
      <x:c r="H203" s="160"/>
      <x:c r="I203" s="160"/>
      <x:c r="J203" s="160"/>
      <x:c r="K203" s="160"/>
      <x:c r="L203" s="160"/>
      <x:c r="M203" s="160"/>
      <x:c r="N203" s="161"/>
      <x:c r="O203" s="161"/>
      <x:c r="P203" s="161"/>
      <x:c r="Q203" s="161"/>
      <x:c r="R203" s="161"/>
      <x:c r="S203" s="161"/>
      <x:c r="T203" s="161"/>
      <x:c r="U203" s="161"/>
      <x:c r="V203" s="161"/>
      <x:c r="W203" s="161"/>
      <x:c r="X203" s="161"/>
      <x:c r="Y203" s="161"/>
      <x:c r="Z203" s="161"/>
    </x:row>
    <x:row r="204">
      <x:c r="A204" s="160"/>
      <x:c r="B204" s="160"/>
      <x:c r="C204" s="160"/>
      <x:c r="D204" s="160"/>
      <x:c r="E204" s="160"/>
      <x:c r="F204" s="160"/>
      <x:c r="G204" s="160"/>
      <x:c r="H204" s="160"/>
      <x:c r="I204" s="160"/>
      <x:c r="J204" s="160"/>
      <x:c r="K204" s="160"/>
      <x:c r="L204" s="160"/>
      <x:c r="M204" s="160"/>
      <x:c r="N204" s="161"/>
      <x:c r="O204" s="161"/>
      <x:c r="P204" s="161"/>
      <x:c r="Q204" s="161"/>
      <x:c r="R204" s="161"/>
      <x:c r="S204" s="161"/>
      <x:c r="T204" s="161"/>
      <x:c r="U204" s="161"/>
      <x:c r="V204" s="161"/>
      <x:c r="W204" s="161"/>
      <x:c r="X204" s="161"/>
      <x:c r="Y204" s="161"/>
      <x:c r="Z204" s="161"/>
    </x:row>
    <x:row r="205">
      <x:c r="A205" s="160"/>
      <x:c r="B205" s="160"/>
      <x:c r="C205" s="160"/>
      <x:c r="D205" s="160"/>
      <x:c r="E205" s="160"/>
      <x:c r="F205" s="160"/>
      <x:c r="G205" s="160"/>
      <x:c r="H205" s="160"/>
      <x:c r="I205" s="160"/>
      <x:c r="J205" s="160"/>
      <x:c r="K205" s="160"/>
      <x:c r="L205" s="160"/>
      <x:c r="M205" s="160"/>
      <x:c r="N205" s="161"/>
      <x:c r="O205" s="161"/>
      <x:c r="P205" s="161"/>
      <x:c r="Q205" s="161"/>
      <x:c r="R205" s="161"/>
      <x:c r="S205" s="161"/>
      <x:c r="T205" s="161"/>
      <x:c r="U205" s="161"/>
      <x:c r="V205" s="161"/>
      <x:c r="W205" s="161"/>
      <x:c r="X205" s="161"/>
      <x:c r="Y205" s="161"/>
      <x:c r="Z205" s="161"/>
    </x:row>
    <x:row r="206">
      <x:c r="A206" s="160"/>
      <x:c r="B206" s="160"/>
      <x:c r="C206" s="160"/>
      <x:c r="D206" s="160"/>
      <x:c r="E206" s="160"/>
      <x:c r="F206" s="160"/>
      <x:c r="G206" s="160"/>
      <x:c r="H206" s="160"/>
      <x:c r="I206" s="160"/>
      <x:c r="J206" s="160"/>
      <x:c r="K206" s="160"/>
      <x:c r="L206" s="160"/>
      <x:c r="M206" s="160"/>
      <x:c r="N206" s="161"/>
      <x:c r="O206" s="161"/>
      <x:c r="P206" s="161"/>
      <x:c r="Q206" s="161"/>
      <x:c r="R206" s="161"/>
      <x:c r="S206" s="161"/>
      <x:c r="T206" s="161"/>
      <x:c r="U206" s="161"/>
      <x:c r="V206" s="161"/>
      <x:c r="W206" s="161"/>
      <x:c r="X206" s="161"/>
      <x:c r="Y206" s="161"/>
      <x:c r="Z206" s="161"/>
    </x:row>
    <x:row r="207">
      <x:c r="A207" s="160"/>
      <x:c r="B207" s="160"/>
      <x:c r="C207" s="160"/>
      <x:c r="D207" s="160"/>
      <x:c r="E207" s="160"/>
      <x:c r="F207" s="160"/>
      <x:c r="G207" s="160"/>
      <x:c r="H207" s="160"/>
      <x:c r="I207" s="160"/>
      <x:c r="J207" s="160"/>
      <x:c r="K207" s="160"/>
      <x:c r="L207" s="160"/>
      <x:c r="M207" s="160"/>
      <x:c r="N207" s="161"/>
      <x:c r="O207" s="161"/>
      <x:c r="P207" s="161"/>
      <x:c r="Q207" s="161"/>
      <x:c r="R207" s="161"/>
      <x:c r="S207" s="161"/>
      <x:c r="T207" s="161"/>
      <x:c r="U207" s="161"/>
      <x:c r="V207" s="161"/>
      <x:c r="W207" s="161"/>
      <x:c r="X207" s="161"/>
      <x:c r="Y207" s="161"/>
      <x:c r="Z207" s="161"/>
    </x:row>
    <x:row r="208">
      <x:c r="A208" s="160"/>
      <x:c r="B208" s="160"/>
      <x:c r="C208" s="160"/>
      <x:c r="D208" s="160"/>
      <x:c r="E208" s="160"/>
      <x:c r="F208" s="160"/>
      <x:c r="G208" s="160"/>
      <x:c r="H208" s="160"/>
      <x:c r="I208" s="160"/>
      <x:c r="J208" s="160"/>
      <x:c r="K208" s="160"/>
      <x:c r="L208" s="160"/>
      <x:c r="M208" s="160"/>
      <x:c r="N208" s="161"/>
      <x:c r="O208" s="161"/>
      <x:c r="P208" s="161"/>
      <x:c r="Q208" s="161"/>
      <x:c r="R208" s="161"/>
      <x:c r="S208" s="161"/>
      <x:c r="T208" s="161"/>
      <x:c r="U208" s="161"/>
      <x:c r="V208" s="161"/>
      <x:c r="W208" s="161"/>
      <x:c r="X208" s="161"/>
      <x:c r="Y208" s="161"/>
      <x:c r="Z208" s="161"/>
    </x:row>
    <x:row r="209">
      <x:c r="A209" s="160"/>
      <x:c r="B209" s="160"/>
      <x:c r="C209" s="160"/>
      <x:c r="D209" s="160"/>
      <x:c r="E209" s="160"/>
      <x:c r="F209" s="160"/>
      <x:c r="G209" s="160"/>
      <x:c r="H209" s="160"/>
      <x:c r="I209" s="160"/>
      <x:c r="J209" s="160"/>
      <x:c r="K209" s="160"/>
      <x:c r="L209" s="160"/>
      <x:c r="M209" s="160"/>
      <x:c r="N209" s="161"/>
      <x:c r="O209" s="161"/>
      <x:c r="P209" s="161"/>
      <x:c r="Q209" s="161"/>
      <x:c r="R209" s="161"/>
      <x:c r="S209" s="161"/>
      <x:c r="T209" s="161"/>
      <x:c r="U209" s="161"/>
      <x:c r="V209" s="161"/>
      <x:c r="W209" s="161"/>
      <x:c r="X209" s="161"/>
      <x:c r="Y209" s="161"/>
      <x:c r="Z209" s="161"/>
    </x:row>
    <x:row r="210">
      <x:c r="A210" s="160"/>
      <x:c r="B210" s="160"/>
      <x:c r="C210" s="160"/>
      <x:c r="D210" s="160"/>
      <x:c r="E210" s="160"/>
      <x:c r="F210" s="160"/>
      <x:c r="G210" s="160"/>
      <x:c r="H210" s="160"/>
      <x:c r="I210" s="160"/>
      <x:c r="J210" s="160"/>
      <x:c r="K210" s="160"/>
      <x:c r="L210" s="160"/>
      <x:c r="M210" s="160"/>
      <x:c r="N210" s="161"/>
      <x:c r="O210" s="161"/>
      <x:c r="P210" s="161"/>
      <x:c r="Q210" s="161"/>
      <x:c r="R210" s="161"/>
      <x:c r="S210" s="161"/>
      <x:c r="T210" s="161"/>
      <x:c r="U210" s="161"/>
      <x:c r="V210" s="161"/>
      <x:c r="W210" s="161"/>
      <x:c r="X210" s="161"/>
      <x:c r="Y210" s="161"/>
      <x:c r="Z210" s="161"/>
    </x:row>
    <x:row r="211">
      <x:c r="A211" s="160"/>
      <x:c r="B211" s="160"/>
      <x:c r="C211" s="160"/>
      <x:c r="D211" s="160"/>
      <x:c r="E211" s="160"/>
      <x:c r="F211" s="160"/>
      <x:c r="G211" s="160"/>
      <x:c r="H211" s="160"/>
      <x:c r="I211" s="160"/>
      <x:c r="J211" s="160"/>
      <x:c r="K211" s="160"/>
      <x:c r="L211" s="160"/>
      <x:c r="M211" s="160"/>
      <x:c r="N211" s="161"/>
      <x:c r="O211" s="161"/>
      <x:c r="P211" s="161"/>
      <x:c r="Q211" s="161"/>
      <x:c r="R211" s="161"/>
      <x:c r="S211" s="161"/>
      <x:c r="T211" s="161"/>
      <x:c r="U211" s="161"/>
      <x:c r="V211" s="161"/>
      <x:c r="W211" s="161"/>
      <x:c r="X211" s="161"/>
      <x:c r="Y211" s="161"/>
      <x:c r="Z211" s="161"/>
    </x:row>
    <x:row r="212">
      <x:c r="A212" s="160"/>
      <x:c r="B212" s="160"/>
      <x:c r="C212" s="160"/>
      <x:c r="D212" s="160"/>
      <x:c r="E212" s="160"/>
      <x:c r="F212" s="160"/>
      <x:c r="G212" s="160"/>
      <x:c r="H212" s="160"/>
      <x:c r="I212" s="160"/>
      <x:c r="J212" s="160"/>
      <x:c r="K212" s="160"/>
      <x:c r="L212" s="160"/>
      <x:c r="M212" s="160"/>
      <x:c r="N212" s="161"/>
      <x:c r="O212" s="161"/>
      <x:c r="P212" s="161"/>
      <x:c r="Q212" s="161"/>
      <x:c r="R212" s="161"/>
      <x:c r="S212" s="161"/>
      <x:c r="T212" s="161"/>
      <x:c r="U212" s="161"/>
      <x:c r="V212" s="161"/>
      <x:c r="W212" s="161"/>
      <x:c r="X212" s="161"/>
      <x:c r="Y212" s="161"/>
      <x:c r="Z212" s="161"/>
    </x:row>
    <x:row r="213">
      <x:c r="A213" s="160"/>
      <x:c r="B213" s="160"/>
      <x:c r="C213" s="160"/>
      <x:c r="D213" s="160"/>
      <x:c r="E213" s="160"/>
      <x:c r="F213" s="160"/>
      <x:c r="G213" s="160"/>
      <x:c r="H213" s="160"/>
      <x:c r="I213" s="160"/>
      <x:c r="J213" s="160"/>
      <x:c r="K213" s="160"/>
      <x:c r="L213" s="160"/>
      <x:c r="M213" s="160"/>
      <x:c r="N213" s="161"/>
      <x:c r="O213" s="161"/>
      <x:c r="P213" s="161"/>
      <x:c r="Q213" s="161"/>
      <x:c r="R213" s="161"/>
      <x:c r="S213" s="161"/>
      <x:c r="T213" s="161"/>
      <x:c r="U213" s="161"/>
      <x:c r="V213" s="161"/>
      <x:c r="W213" s="161"/>
      <x:c r="X213" s="161"/>
      <x:c r="Y213" s="161"/>
      <x:c r="Z213" s="161"/>
    </x:row>
    <x:row r="214">
      <x:c r="A214" s="160"/>
      <x:c r="B214" s="160"/>
      <x:c r="C214" s="160"/>
      <x:c r="D214" s="160"/>
      <x:c r="E214" s="160"/>
      <x:c r="F214" s="160"/>
      <x:c r="G214" s="160"/>
      <x:c r="H214" s="160"/>
      <x:c r="I214" s="160"/>
      <x:c r="J214" s="160"/>
      <x:c r="K214" s="160"/>
      <x:c r="L214" s="160"/>
      <x:c r="M214" s="160"/>
      <x:c r="N214" s="161"/>
      <x:c r="O214" s="161"/>
      <x:c r="P214" s="161"/>
      <x:c r="Q214" s="161"/>
      <x:c r="R214" s="161"/>
      <x:c r="S214" s="161"/>
      <x:c r="T214" s="161"/>
      <x:c r="U214" s="161"/>
      <x:c r="V214" s="161"/>
      <x:c r="W214" s="161"/>
      <x:c r="X214" s="161"/>
      <x:c r="Y214" s="161"/>
      <x:c r="Z214" s="161"/>
    </x:row>
    <x:row r="215">
      <x:c r="A215" s="160"/>
      <x:c r="B215" s="160"/>
      <x:c r="C215" s="160"/>
      <x:c r="D215" s="160"/>
      <x:c r="E215" s="160"/>
      <x:c r="F215" s="160"/>
      <x:c r="G215" s="160"/>
      <x:c r="H215" s="160"/>
      <x:c r="I215" s="160"/>
      <x:c r="J215" s="160"/>
      <x:c r="K215" s="160"/>
      <x:c r="L215" s="160"/>
      <x:c r="M215" s="160"/>
      <x:c r="N215" s="161"/>
      <x:c r="O215" s="161"/>
      <x:c r="P215" s="161"/>
      <x:c r="Q215" s="161"/>
      <x:c r="R215" s="161"/>
      <x:c r="S215" s="161"/>
      <x:c r="T215" s="161"/>
      <x:c r="U215" s="161"/>
      <x:c r="V215" s="161"/>
      <x:c r="W215" s="161"/>
      <x:c r="X215" s="161"/>
      <x:c r="Y215" s="161"/>
      <x:c r="Z215" s="161"/>
    </x:row>
    <x:row r="216">
      <x:c r="A216" s="160"/>
      <x:c r="B216" s="160"/>
      <x:c r="C216" s="160"/>
      <x:c r="D216" s="160"/>
      <x:c r="E216" s="160"/>
      <x:c r="F216" s="160"/>
      <x:c r="G216" s="160"/>
      <x:c r="H216" s="160"/>
      <x:c r="I216" s="160"/>
      <x:c r="J216" s="160"/>
      <x:c r="K216" s="160"/>
      <x:c r="L216" s="160"/>
      <x:c r="M216" s="160"/>
      <x:c r="N216" s="161"/>
      <x:c r="O216" s="161"/>
      <x:c r="P216" s="161"/>
      <x:c r="Q216" s="161"/>
      <x:c r="R216" s="161"/>
      <x:c r="S216" s="161"/>
      <x:c r="T216" s="161"/>
      <x:c r="U216" s="161"/>
      <x:c r="V216" s="161"/>
      <x:c r="W216" s="161"/>
      <x:c r="X216" s="161"/>
      <x:c r="Y216" s="161"/>
      <x:c r="Z216" s="161"/>
    </x:row>
    <x:row r="217">
      <x:c r="A217" s="160"/>
      <x:c r="B217" s="160"/>
      <x:c r="C217" s="160"/>
      <x:c r="D217" s="160"/>
      <x:c r="E217" s="160"/>
      <x:c r="F217" s="160"/>
      <x:c r="G217" s="160"/>
      <x:c r="H217" s="160"/>
      <x:c r="I217" s="160"/>
      <x:c r="J217" s="160"/>
      <x:c r="K217" s="160"/>
      <x:c r="L217" s="160"/>
      <x:c r="M217" s="160"/>
      <x:c r="N217" s="161"/>
      <x:c r="O217" s="161"/>
      <x:c r="P217" s="161"/>
      <x:c r="Q217" s="161"/>
      <x:c r="R217" s="161"/>
      <x:c r="S217" s="161"/>
      <x:c r="T217" s="161"/>
      <x:c r="U217" s="161"/>
      <x:c r="V217" s="161"/>
      <x:c r="W217" s="161"/>
      <x:c r="X217" s="161"/>
      <x:c r="Y217" s="161"/>
      <x:c r="Z217" s="161"/>
    </x:row>
    <x:row r="218">
      <x:c r="A218" s="160"/>
      <x:c r="B218" s="160"/>
      <x:c r="C218" s="160"/>
      <x:c r="D218" s="160"/>
      <x:c r="E218" s="160"/>
      <x:c r="F218" s="160"/>
      <x:c r="G218" s="160"/>
      <x:c r="H218" s="160"/>
      <x:c r="I218" s="160"/>
      <x:c r="J218" s="160"/>
      <x:c r="K218" s="160"/>
      <x:c r="L218" s="160"/>
      <x:c r="M218" s="160"/>
      <x:c r="N218" s="161"/>
      <x:c r="O218" s="161"/>
      <x:c r="P218" s="161"/>
      <x:c r="Q218" s="161"/>
      <x:c r="R218" s="161"/>
      <x:c r="S218" s="161"/>
      <x:c r="T218" s="161"/>
      <x:c r="U218" s="161"/>
      <x:c r="V218" s="161"/>
      <x:c r="W218" s="161"/>
      <x:c r="X218" s="161"/>
      <x:c r="Y218" s="161"/>
      <x:c r="Z218" s="161"/>
    </x:row>
    <x:row r="219">
      <x:c r="A219" s="160"/>
      <x:c r="B219" s="160"/>
      <x:c r="C219" s="160"/>
      <x:c r="D219" s="160"/>
      <x:c r="E219" s="160"/>
      <x:c r="F219" s="160"/>
      <x:c r="G219" s="160"/>
      <x:c r="H219" s="160"/>
      <x:c r="I219" s="160"/>
      <x:c r="J219" s="160"/>
      <x:c r="K219" s="160"/>
      <x:c r="L219" s="160"/>
      <x:c r="M219" s="160"/>
      <x:c r="N219" s="161"/>
      <x:c r="O219" s="161"/>
      <x:c r="P219" s="161"/>
      <x:c r="Q219" s="161"/>
      <x:c r="R219" s="161"/>
      <x:c r="S219" s="161"/>
      <x:c r="T219" s="161"/>
      <x:c r="U219" s="161"/>
      <x:c r="V219" s="161"/>
      <x:c r="W219" s="161"/>
      <x:c r="X219" s="161"/>
      <x:c r="Y219" s="161"/>
      <x:c r="Z219" s="161"/>
    </x:row>
    <x:row r="220">
      <x:c r="A220" s="160"/>
      <x:c r="B220" s="160"/>
      <x:c r="C220" s="160"/>
      <x:c r="D220" s="160"/>
      <x:c r="E220" s="160"/>
      <x:c r="F220" s="160"/>
      <x:c r="G220" s="160"/>
      <x:c r="H220" s="160"/>
      <x:c r="I220" s="160"/>
      <x:c r="J220" s="160"/>
      <x:c r="K220" s="160"/>
      <x:c r="L220" s="160"/>
      <x:c r="M220" s="160"/>
      <x:c r="N220" s="161"/>
      <x:c r="O220" s="161"/>
      <x:c r="P220" s="161"/>
      <x:c r="Q220" s="161"/>
      <x:c r="R220" s="161"/>
      <x:c r="S220" s="161"/>
      <x:c r="T220" s="161"/>
      <x:c r="U220" s="161"/>
      <x:c r="V220" s="161"/>
      <x:c r="W220" s="161"/>
      <x:c r="X220" s="161"/>
      <x:c r="Y220" s="161"/>
      <x:c r="Z220" s="161"/>
    </x:row>
    <x:row r="221">
      <x:c r="A221" s="161"/>
      <x:c r="B221" s="161"/>
      <x:c r="C221" s="161"/>
      <x:c r="D221" s="161"/>
      <x:c r="E221" s="161"/>
      <x:c r="F221" s="161"/>
      <x:c r="G221" s="161"/>
      <x:c r="H221" s="161"/>
      <x:c r="I221" s="161"/>
      <x:c r="J221" s="161"/>
      <x:c r="K221" s="161"/>
      <x:c r="L221" s="161"/>
      <x:c r="M221" s="161"/>
      <x:c r="N221" s="161"/>
      <x:c r="O221" s="161"/>
      <x:c r="P221" s="161"/>
      <x:c r="Q221" s="161"/>
      <x:c r="R221" s="161"/>
      <x:c r="S221" s="161"/>
      <x:c r="T221" s="161"/>
      <x:c r="U221" s="161"/>
      <x:c r="V221" s="161"/>
      <x:c r="W221" s="161"/>
      <x:c r="X221" s="161"/>
      <x:c r="Y221" s="161"/>
      <x:c r="Z221" s="161"/>
    </x:row>
    <x:row r="222">
      <x:c r="A222" s="161"/>
      <x:c r="B222" s="161"/>
      <x:c r="C222" s="161"/>
      <x:c r="D222" s="161"/>
      <x:c r="E222" s="161"/>
      <x:c r="F222" s="161"/>
      <x:c r="G222" s="161"/>
      <x:c r="H222" s="161"/>
      <x:c r="I222" s="161"/>
      <x:c r="J222" s="161"/>
      <x:c r="K222" s="161"/>
      <x:c r="L222" s="161"/>
      <x:c r="M222" s="161"/>
      <x:c r="N222" s="161"/>
      <x:c r="O222" s="161"/>
      <x:c r="P222" s="161"/>
      <x:c r="Q222" s="161"/>
      <x:c r="R222" s="161"/>
      <x:c r="S222" s="161"/>
      <x:c r="T222" s="161"/>
      <x:c r="U222" s="161"/>
      <x:c r="V222" s="161"/>
      <x:c r="W222" s="161"/>
      <x:c r="X222" s="161"/>
      <x:c r="Y222" s="161"/>
      <x:c r="Z222" s="161"/>
    </x:row>
    <x:row r="223">
      <x:c r="A223" s="161"/>
      <x:c r="B223" s="161"/>
      <x:c r="C223" s="161"/>
      <x:c r="D223" s="161"/>
      <x:c r="E223" s="161"/>
      <x:c r="F223" s="161"/>
      <x:c r="G223" s="161"/>
      <x:c r="H223" s="161"/>
      <x:c r="I223" s="161"/>
      <x:c r="J223" s="161"/>
      <x:c r="K223" s="161"/>
      <x:c r="L223" s="161"/>
      <x:c r="M223" s="161"/>
      <x:c r="N223" s="161"/>
      <x:c r="O223" s="161"/>
      <x:c r="P223" s="161"/>
      <x:c r="Q223" s="161"/>
      <x:c r="R223" s="161"/>
      <x:c r="S223" s="161"/>
      <x:c r="T223" s="161"/>
      <x:c r="U223" s="161"/>
      <x:c r="V223" s="161"/>
      <x:c r="W223" s="161"/>
      <x:c r="X223" s="161"/>
      <x:c r="Y223" s="161"/>
      <x:c r="Z223" s="161"/>
    </x:row>
    <x:row r="224">
      <x:c r="A224" s="161"/>
      <x:c r="B224" s="161"/>
      <x:c r="C224" s="161"/>
      <x:c r="D224" s="161"/>
      <x:c r="E224" s="161"/>
      <x:c r="F224" s="161"/>
      <x:c r="G224" s="161"/>
      <x:c r="H224" s="161"/>
      <x:c r="I224" s="161"/>
      <x:c r="J224" s="161"/>
      <x:c r="K224" s="161"/>
      <x:c r="L224" s="161"/>
      <x:c r="M224" s="161"/>
      <x:c r="N224" s="161"/>
      <x:c r="O224" s="161"/>
      <x:c r="P224" s="161"/>
      <x:c r="Q224" s="161"/>
      <x:c r="R224" s="161"/>
      <x:c r="S224" s="161"/>
      <x:c r="T224" s="161"/>
      <x:c r="U224" s="161"/>
      <x:c r="V224" s="161"/>
      <x:c r="W224" s="161"/>
      <x:c r="X224" s="161"/>
      <x:c r="Y224" s="161"/>
      <x:c r="Z224" s="161"/>
    </x:row>
    <x:row r="225">
      <x:c r="A225" s="161"/>
      <x:c r="B225" s="161"/>
      <x:c r="C225" s="161"/>
      <x:c r="D225" s="161"/>
      <x:c r="E225" s="161"/>
      <x:c r="F225" s="161"/>
      <x:c r="G225" s="161"/>
      <x:c r="H225" s="161"/>
      <x:c r="I225" s="161"/>
      <x:c r="J225" s="161"/>
      <x:c r="K225" s="161"/>
      <x:c r="L225" s="161"/>
      <x:c r="M225" s="161"/>
      <x:c r="N225" s="161"/>
      <x:c r="O225" s="161"/>
      <x:c r="P225" s="161"/>
      <x:c r="Q225" s="161"/>
      <x:c r="R225" s="161"/>
      <x:c r="S225" s="161"/>
      <x:c r="T225" s="161"/>
      <x:c r="U225" s="161"/>
      <x:c r="V225" s="161"/>
      <x:c r="W225" s="161"/>
      <x:c r="X225" s="161"/>
      <x:c r="Y225" s="161"/>
      <x:c r="Z225" s="161"/>
    </x:row>
    <x:row r="226">
      <x:c r="A226" s="161"/>
      <x:c r="B226" s="161"/>
      <x:c r="C226" s="161"/>
      <x:c r="D226" s="161"/>
      <x:c r="E226" s="161"/>
      <x:c r="F226" s="161"/>
      <x:c r="G226" s="161"/>
      <x:c r="H226" s="161"/>
      <x:c r="I226" s="161"/>
      <x:c r="J226" s="161"/>
      <x:c r="K226" s="161"/>
      <x:c r="L226" s="161"/>
      <x:c r="M226" s="161"/>
      <x:c r="N226" s="161"/>
      <x:c r="O226" s="161"/>
      <x:c r="P226" s="161"/>
      <x:c r="Q226" s="161"/>
      <x:c r="R226" s="161"/>
      <x:c r="S226" s="161"/>
      <x:c r="T226" s="161"/>
      <x:c r="U226" s="161"/>
      <x:c r="V226" s="161"/>
      <x:c r="W226" s="161"/>
      <x:c r="X226" s="161"/>
      <x:c r="Y226" s="161"/>
      <x:c r="Z226" s="161"/>
    </x:row>
    <x:row r="227">
      <x:c r="A227" s="161"/>
      <x:c r="B227" s="161"/>
      <x:c r="C227" s="161"/>
      <x:c r="D227" s="161"/>
      <x:c r="E227" s="161"/>
      <x:c r="F227" s="161"/>
      <x:c r="G227" s="161"/>
      <x:c r="H227" s="161"/>
      <x:c r="I227" s="161"/>
      <x:c r="J227" s="161"/>
      <x:c r="K227" s="161"/>
      <x:c r="L227" s="161"/>
      <x:c r="M227" s="161"/>
      <x:c r="N227" s="161"/>
      <x:c r="O227" s="161"/>
      <x:c r="P227" s="161"/>
      <x:c r="Q227" s="161"/>
      <x:c r="R227" s="161"/>
      <x:c r="S227" s="161"/>
      <x:c r="T227" s="161"/>
      <x:c r="U227" s="161"/>
      <x:c r="V227" s="161"/>
      <x:c r="W227" s="161"/>
      <x:c r="X227" s="161"/>
      <x:c r="Y227" s="161"/>
      <x:c r="Z227" s="161"/>
    </x:row>
    <x:row r="228">
      <x:c r="A228" s="161"/>
      <x:c r="B228" s="161"/>
      <x:c r="C228" s="161"/>
      <x:c r="D228" s="161"/>
      <x:c r="E228" s="161"/>
      <x:c r="F228" s="161"/>
      <x:c r="G228" s="161"/>
      <x:c r="H228" s="161"/>
      <x:c r="I228" s="161"/>
      <x:c r="J228" s="161"/>
      <x:c r="K228" s="161"/>
      <x:c r="L228" s="161"/>
      <x:c r="M228" s="161"/>
      <x:c r="N228" s="161"/>
      <x:c r="O228" s="161"/>
      <x:c r="P228" s="161"/>
      <x:c r="Q228" s="161"/>
      <x:c r="R228" s="161"/>
      <x:c r="S228" s="161"/>
      <x:c r="T228" s="161"/>
      <x:c r="U228" s="161"/>
      <x:c r="V228" s="161"/>
      <x:c r="W228" s="161"/>
      <x:c r="X228" s="161"/>
      <x:c r="Y228" s="161"/>
      <x:c r="Z228" s="161"/>
    </x:row>
    <x:row r="229">
      <x:c r="A229" s="161"/>
      <x:c r="B229" s="161"/>
      <x:c r="C229" s="161"/>
      <x:c r="D229" s="161"/>
      <x:c r="E229" s="161"/>
      <x:c r="F229" s="161"/>
      <x:c r="G229" s="161"/>
      <x:c r="H229" s="161"/>
      <x:c r="I229" s="161"/>
      <x:c r="J229" s="161"/>
      <x:c r="K229" s="161"/>
      <x:c r="L229" s="161"/>
      <x:c r="M229" s="161"/>
      <x:c r="N229" s="161"/>
      <x:c r="O229" s="161"/>
      <x:c r="P229" s="161"/>
      <x:c r="Q229" s="161"/>
      <x:c r="R229" s="161"/>
      <x:c r="S229" s="161"/>
      <x:c r="T229" s="161"/>
      <x:c r="U229" s="161"/>
      <x:c r="V229" s="161"/>
      <x:c r="W229" s="161"/>
      <x:c r="X229" s="161"/>
      <x:c r="Y229" s="161"/>
      <x:c r="Z229" s="161"/>
    </x:row>
    <x:row r="230">
      <x:c r="A230" s="161"/>
      <x:c r="B230" s="161"/>
      <x:c r="C230" s="161"/>
      <x:c r="D230" s="161"/>
      <x:c r="E230" s="161"/>
      <x:c r="F230" s="161"/>
      <x:c r="G230" s="161"/>
      <x:c r="H230" s="161"/>
      <x:c r="I230" s="161"/>
      <x:c r="J230" s="161"/>
      <x:c r="K230" s="161"/>
      <x:c r="L230" s="161"/>
      <x:c r="M230" s="161"/>
      <x:c r="N230" s="161"/>
      <x:c r="O230" s="161"/>
      <x:c r="P230" s="161"/>
      <x:c r="Q230" s="161"/>
      <x:c r="R230" s="161"/>
      <x:c r="S230" s="161"/>
      <x:c r="T230" s="161"/>
      <x:c r="U230" s="161"/>
      <x:c r="V230" s="161"/>
      <x:c r="W230" s="161"/>
      <x:c r="X230" s="161"/>
      <x:c r="Y230" s="161"/>
      <x:c r="Z230" s="161"/>
    </x:row>
    <x:row r="231">
      <x:c r="A231" s="161"/>
      <x:c r="B231" s="161"/>
      <x:c r="C231" s="161"/>
      <x:c r="D231" s="161"/>
      <x:c r="E231" s="161"/>
      <x:c r="F231" s="161"/>
      <x:c r="G231" s="161"/>
      <x:c r="H231" s="161"/>
      <x:c r="I231" s="161"/>
      <x:c r="J231" s="161"/>
      <x:c r="K231" s="161"/>
      <x:c r="L231" s="161"/>
      <x:c r="M231" s="161"/>
      <x:c r="N231" s="161"/>
      <x:c r="O231" s="161"/>
      <x:c r="P231" s="161"/>
      <x:c r="Q231" s="161"/>
      <x:c r="R231" s="161"/>
      <x:c r="S231" s="161"/>
      <x:c r="T231" s="161"/>
      <x:c r="U231" s="161"/>
      <x:c r="V231" s="161"/>
      <x:c r="W231" s="161"/>
      <x:c r="X231" s="161"/>
      <x:c r="Y231" s="161"/>
      <x:c r="Z231" s="161"/>
    </x:row>
    <x:row r="232">
      <x:c r="A232" s="161"/>
      <x:c r="B232" s="161"/>
      <x:c r="C232" s="161"/>
      <x:c r="D232" s="161"/>
      <x:c r="E232" s="161"/>
      <x:c r="F232" s="161"/>
      <x:c r="G232" s="161"/>
      <x:c r="H232" s="161"/>
      <x:c r="I232" s="161"/>
      <x:c r="J232" s="161"/>
      <x:c r="K232" s="161"/>
      <x:c r="L232" s="161"/>
      <x:c r="M232" s="161"/>
      <x:c r="N232" s="161"/>
      <x:c r="O232" s="161"/>
      <x:c r="P232" s="161"/>
      <x:c r="Q232" s="161"/>
      <x:c r="R232" s="161"/>
      <x:c r="S232" s="161"/>
      <x:c r="T232" s="161"/>
      <x:c r="U232" s="161"/>
      <x:c r="V232" s="161"/>
      <x:c r="W232" s="161"/>
      <x:c r="X232" s="161"/>
      <x:c r="Y232" s="161"/>
      <x:c r="Z232" s="161"/>
    </x:row>
    <x:row r="233">
      <x:c r="A233" s="161"/>
      <x:c r="B233" s="161"/>
      <x:c r="C233" s="161"/>
      <x:c r="D233" s="161"/>
      <x:c r="E233" s="161"/>
      <x:c r="F233" s="161"/>
      <x:c r="G233" s="161"/>
      <x:c r="H233" s="161"/>
      <x:c r="I233" s="161"/>
      <x:c r="J233" s="161"/>
      <x:c r="K233" s="161"/>
      <x:c r="L233" s="161"/>
      <x:c r="M233" s="161"/>
      <x:c r="N233" s="161"/>
      <x:c r="O233" s="161"/>
      <x:c r="P233" s="161"/>
      <x:c r="Q233" s="161"/>
      <x:c r="R233" s="161"/>
      <x:c r="S233" s="161"/>
      <x:c r="T233" s="161"/>
      <x:c r="U233" s="161"/>
      <x:c r="V233" s="161"/>
      <x:c r="W233" s="161"/>
      <x:c r="X233" s="161"/>
      <x:c r="Y233" s="161"/>
      <x:c r="Z233" s="161"/>
    </x:row>
    <x:row r="234">
      <x:c r="A234" s="161"/>
      <x:c r="B234" s="161"/>
      <x:c r="C234" s="161"/>
      <x:c r="D234" s="161"/>
      <x:c r="E234" s="161"/>
      <x:c r="F234" s="161"/>
      <x:c r="G234" s="161"/>
      <x:c r="H234" s="161"/>
      <x:c r="I234" s="161"/>
      <x:c r="J234" s="161"/>
      <x:c r="K234" s="161"/>
      <x:c r="L234" s="161"/>
      <x:c r="M234" s="161"/>
      <x:c r="N234" s="161"/>
      <x:c r="O234" s="161"/>
      <x:c r="P234" s="161"/>
      <x:c r="Q234" s="161"/>
      <x:c r="R234" s="161"/>
      <x:c r="S234" s="161"/>
      <x:c r="T234" s="161"/>
      <x:c r="U234" s="161"/>
      <x:c r="V234" s="161"/>
      <x:c r="W234" s="161"/>
      <x:c r="X234" s="161"/>
      <x:c r="Y234" s="161"/>
      <x:c r="Z234" s="161"/>
    </x:row>
    <x:row r="235">
      <x:c r="A235" s="161"/>
      <x:c r="B235" s="161"/>
      <x:c r="C235" s="161"/>
      <x:c r="D235" s="161"/>
      <x:c r="E235" s="161"/>
      <x:c r="F235" s="161"/>
      <x:c r="G235" s="161"/>
      <x:c r="H235" s="161"/>
      <x:c r="I235" s="161"/>
      <x:c r="J235" s="161"/>
      <x:c r="K235" s="161"/>
      <x:c r="L235" s="161"/>
      <x:c r="M235" s="161"/>
      <x:c r="N235" s="161"/>
      <x:c r="O235" s="161"/>
      <x:c r="P235" s="161"/>
      <x:c r="Q235" s="161"/>
      <x:c r="R235" s="161"/>
      <x:c r="S235" s="161"/>
      <x:c r="T235" s="161"/>
      <x:c r="U235" s="161"/>
      <x:c r="V235" s="161"/>
      <x:c r="W235" s="161"/>
      <x:c r="X235" s="161"/>
      <x:c r="Y235" s="161"/>
      <x:c r="Z235" s="161"/>
    </x:row>
    <x:row r="236">
      <x:c r="A236" s="161"/>
      <x:c r="B236" s="161"/>
      <x:c r="C236" s="161"/>
      <x:c r="D236" s="161"/>
      <x:c r="E236" s="161"/>
      <x:c r="F236" s="161"/>
      <x:c r="G236" s="161"/>
      <x:c r="H236" s="161"/>
      <x:c r="I236" s="161"/>
      <x:c r="J236" s="161"/>
      <x:c r="K236" s="161"/>
      <x:c r="L236" s="161"/>
      <x:c r="M236" s="161"/>
      <x:c r="N236" s="161"/>
      <x:c r="O236" s="161"/>
      <x:c r="P236" s="161"/>
      <x:c r="Q236" s="161"/>
      <x:c r="R236" s="161"/>
      <x:c r="S236" s="161"/>
      <x:c r="T236" s="161"/>
      <x:c r="U236" s="161"/>
      <x:c r="V236" s="161"/>
      <x:c r="W236" s="161"/>
      <x:c r="X236" s="161"/>
      <x:c r="Y236" s="161"/>
      <x:c r="Z236" s="161"/>
    </x:row>
    <x:row r="237">
      <x:c r="A237" s="161"/>
      <x:c r="B237" s="161"/>
      <x:c r="C237" s="161"/>
      <x:c r="D237" s="161"/>
      <x:c r="E237" s="161"/>
      <x:c r="F237" s="161"/>
      <x:c r="G237" s="161"/>
      <x:c r="H237" s="161"/>
      <x:c r="I237" s="161"/>
      <x:c r="J237" s="161"/>
      <x:c r="K237" s="161"/>
      <x:c r="L237" s="161"/>
      <x:c r="M237" s="161"/>
      <x:c r="N237" s="161"/>
      <x:c r="O237" s="161"/>
      <x:c r="P237" s="161"/>
      <x:c r="Q237" s="161"/>
      <x:c r="R237" s="161"/>
      <x:c r="S237" s="161"/>
      <x:c r="T237" s="161"/>
      <x:c r="U237" s="161"/>
      <x:c r="V237" s="161"/>
      <x:c r="W237" s="161"/>
      <x:c r="X237" s="161"/>
      <x:c r="Y237" s="161"/>
      <x:c r="Z237" s="161"/>
    </x:row>
    <x:row r="238">
      <x:c r="A238" s="161"/>
      <x:c r="B238" s="161"/>
      <x:c r="C238" s="161"/>
      <x:c r="D238" s="161"/>
      <x:c r="E238" s="161"/>
      <x:c r="F238" s="161"/>
      <x:c r="G238" s="161"/>
      <x:c r="H238" s="161"/>
      <x:c r="I238" s="161"/>
      <x:c r="J238" s="161"/>
      <x:c r="K238" s="161"/>
      <x:c r="L238" s="161"/>
      <x:c r="M238" s="161"/>
      <x:c r="N238" s="161"/>
      <x:c r="O238" s="161"/>
      <x:c r="P238" s="161"/>
      <x:c r="Q238" s="161"/>
      <x:c r="R238" s="161"/>
      <x:c r="S238" s="161"/>
      <x:c r="T238" s="161"/>
      <x:c r="U238" s="161"/>
      <x:c r="V238" s="161"/>
      <x:c r="W238" s="161"/>
      <x:c r="X238" s="161"/>
      <x:c r="Y238" s="161"/>
      <x:c r="Z238" s="161"/>
    </x:row>
    <x:row r="239">
      <x:c r="A239" s="161"/>
      <x:c r="B239" s="161"/>
      <x:c r="C239" s="161"/>
      <x:c r="D239" s="161"/>
      <x:c r="E239" s="161"/>
      <x:c r="F239" s="161"/>
      <x:c r="G239" s="161"/>
      <x:c r="H239" s="161"/>
      <x:c r="I239" s="161"/>
      <x:c r="J239" s="161"/>
      <x:c r="K239" s="161"/>
      <x:c r="L239" s="161"/>
      <x:c r="M239" s="161"/>
      <x:c r="N239" s="161"/>
      <x:c r="O239" s="161"/>
      <x:c r="P239" s="161"/>
      <x:c r="Q239" s="161"/>
      <x:c r="R239" s="161"/>
      <x:c r="S239" s="161"/>
      <x:c r="T239" s="161"/>
      <x:c r="U239" s="161"/>
      <x:c r="V239" s="161"/>
      <x:c r="W239" s="161"/>
      <x:c r="X239" s="161"/>
      <x:c r="Y239" s="161"/>
      <x:c r="Z239" s="161"/>
    </x:row>
    <x:row r="240">
      <x:c r="A240" s="161"/>
      <x:c r="B240" s="161"/>
      <x:c r="C240" s="161"/>
      <x:c r="D240" s="161"/>
      <x:c r="E240" s="161"/>
      <x:c r="F240" s="161"/>
      <x:c r="G240" s="161"/>
      <x:c r="H240" s="161"/>
      <x:c r="I240" s="161"/>
      <x:c r="J240" s="161"/>
      <x:c r="K240" s="161"/>
      <x:c r="L240" s="161"/>
      <x:c r="M240" s="161"/>
      <x:c r="N240" s="161"/>
      <x:c r="O240" s="161"/>
      <x:c r="P240" s="161"/>
      <x:c r="Q240" s="161"/>
      <x:c r="R240" s="161"/>
      <x:c r="S240" s="161"/>
      <x:c r="T240" s="161"/>
      <x:c r="U240" s="161"/>
      <x:c r="V240" s="161"/>
      <x:c r="W240" s="161"/>
      <x:c r="X240" s="161"/>
      <x:c r="Y240" s="161"/>
      <x:c r="Z240" s="161"/>
    </x:row>
    <x:row r="241">
      <x:c r="A241" s="161"/>
      <x:c r="B241" s="161"/>
      <x:c r="C241" s="161"/>
      <x:c r="D241" s="161"/>
      <x:c r="E241" s="161"/>
      <x:c r="F241" s="161"/>
      <x:c r="G241" s="161"/>
      <x:c r="H241" s="161"/>
      <x:c r="I241" s="161"/>
      <x:c r="J241" s="161"/>
      <x:c r="K241" s="161"/>
      <x:c r="L241" s="161"/>
      <x:c r="M241" s="161"/>
      <x:c r="N241" s="161"/>
      <x:c r="O241" s="161"/>
      <x:c r="P241" s="161"/>
      <x:c r="Q241" s="161"/>
      <x:c r="R241" s="161"/>
      <x:c r="S241" s="161"/>
      <x:c r="T241" s="161"/>
      <x:c r="U241" s="161"/>
      <x:c r="V241" s="161"/>
      <x:c r="W241" s="161"/>
      <x:c r="X241" s="161"/>
      <x:c r="Y241" s="161"/>
      <x:c r="Z241" s="161"/>
    </x:row>
    <x:row r="242">
      <x:c r="A242" s="161"/>
      <x:c r="B242" s="161"/>
      <x:c r="C242" s="161"/>
      <x:c r="D242" s="161"/>
      <x:c r="E242" s="161"/>
      <x:c r="F242" s="161"/>
      <x:c r="G242" s="161"/>
      <x:c r="H242" s="161"/>
      <x:c r="I242" s="161"/>
      <x:c r="J242" s="161"/>
      <x:c r="K242" s="161"/>
      <x:c r="L242" s="161"/>
      <x:c r="M242" s="161"/>
      <x:c r="N242" s="161"/>
      <x:c r="O242" s="161"/>
      <x:c r="P242" s="161"/>
      <x:c r="Q242" s="161"/>
      <x:c r="R242" s="161"/>
      <x:c r="S242" s="161"/>
      <x:c r="T242" s="161"/>
      <x:c r="U242" s="161"/>
      <x:c r="V242" s="161"/>
      <x:c r="W242" s="161"/>
      <x:c r="X242" s="161"/>
      <x:c r="Y242" s="161"/>
      <x:c r="Z242" s="161"/>
    </x:row>
    <x:row r="243">
      <x:c r="A243" s="161"/>
      <x:c r="B243" s="161"/>
      <x:c r="C243" s="161"/>
      <x:c r="D243" s="161"/>
      <x:c r="E243" s="161"/>
      <x:c r="F243" s="161"/>
      <x:c r="G243" s="161"/>
      <x:c r="H243" s="161"/>
      <x:c r="I243" s="161"/>
      <x:c r="J243" s="161"/>
      <x:c r="K243" s="161"/>
      <x:c r="L243" s="161"/>
      <x:c r="M243" s="161"/>
      <x:c r="N243" s="161"/>
      <x:c r="O243" s="161"/>
      <x:c r="P243" s="161"/>
      <x:c r="Q243" s="161"/>
      <x:c r="R243" s="161"/>
      <x:c r="S243" s="161"/>
      <x:c r="T243" s="161"/>
      <x:c r="U243" s="161"/>
      <x:c r="V243" s="161"/>
      <x:c r="W243" s="161"/>
      <x:c r="X243" s="161"/>
      <x:c r="Y243" s="161"/>
      <x:c r="Z243" s="161"/>
    </x:row>
    <x:row r="244">
      <x:c r="A244" s="161"/>
      <x:c r="B244" s="161"/>
      <x:c r="C244" s="161"/>
      <x:c r="D244" s="161"/>
      <x:c r="E244" s="161"/>
      <x:c r="F244" s="161"/>
      <x:c r="G244" s="161"/>
      <x:c r="H244" s="161"/>
      <x:c r="I244" s="161"/>
      <x:c r="J244" s="161"/>
      <x:c r="K244" s="161"/>
      <x:c r="L244" s="161"/>
      <x:c r="M244" s="161"/>
      <x:c r="N244" s="161"/>
      <x:c r="O244" s="161"/>
      <x:c r="P244" s="161"/>
      <x:c r="Q244" s="161"/>
      <x:c r="R244" s="161"/>
      <x:c r="S244" s="161"/>
      <x:c r="T244" s="161"/>
      <x:c r="U244" s="161"/>
      <x:c r="V244" s="161"/>
      <x:c r="W244" s="161"/>
      <x:c r="X244" s="161"/>
      <x:c r="Y244" s="161"/>
      <x:c r="Z244" s="161"/>
    </x:row>
    <x:row r="245">
      <x:c r="A245" s="161"/>
      <x:c r="B245" s="161"/>
      <x:c r="C245" s="161"/>
      <x:c r="D245" s="161"/>
      <x:c r="E245" s="161"/>
      <x:c r="F245" s="161"/>
      <x:c r="G245" s="161"/>
      <x:c r="H245" s="161"/>
      <x:c r="I245" s="161"/>
      <x:c r="J245" s="161"/>
      <x:c r="K245" s="161"/>
      <x:c r="L245" s="161"/>
      <x:c r="M245" s="161"/>
      <x:c r="N245" s="161"/>
      <x:c r="O245" s="161"/>
      <x:c r="P245" s="161"/>
      <x:c r="Q245" s="161"/>
      <x:c r="R245" s="161"/>
      <x:c r="S245" s="161"/>
      <x:c r="T245" s="161"/>
      <x:c r="U245" s="161"/>
      <x:c r="V245" s="161"/>
      <x:c r="W245" s="161"/>
      <x:c r="X245" s="161"/>
      <x:c r="Y245" s="161"/>
      <x:c r="Z245" s="161"/>
    </x:row>
    <x:row r="246">
      <x:c r="A246" s="161"/>
      <x:c r="B246" s="161"/>
      <x:c r="C246" s="161"/>
      <x:c r="D246" s="161"/>
      <x:c r="E246" s="161"/>
      <x:c r="F246" s="161"/>
      <x:c r="G246" s="161"/>
      <x:c r="H246" s="161"/>
      <x:c r="I246" s="161"/>
      <x:c r="J246" s="161"/>
      <x:c r="K246" s="161"/>
      <x:c r="L246" s="161"/>
      <x:c r="M246" s="161"/>
      <x:c r="N246" s="161"/>
      <x:c r="O246" s="161"/>
      <x:c r="P246" s="161"/>
      <x:c r="Q246" s="161"/>
      <x:c r="R246" s="161"/>
      <x:c r="S246" s="161"/>
      <x:c r="T246" s="161"/>
      <x:c r="U246" s="161"/>
      <x:c r="V246" s="161"/>
      <x:c r="W246" s="161"/>
      <x:c r="X246" s="161"/>
      <x:c r="Y246" s="161"/>
      <x:c r="Z246" s="161"/>
    </x:row>
    <x:row r="247">
      <x:c r="A247" s="161"/>
      <x:c r="B247" s="161"/>
      <x:c r="C247" s="161"/>
      <x:c r="D247" s="161"/>
      <x:c r="E247" s="161"/>
      <x:c r="F247" s="161"/>
      <x:c r="G247" s="161"/>
      <x:c r="H247" s="161"/>
      <x:c r="I247" s="161"/>
      <x:c r="J247" s="161"/>
      <x:c r="K247" s="161"/>
      <x:c r="L247" s="161"/>
      <x:c r="M247" s="161"/>
      <x:c r="N247" s="161"/>
      <x:c r="O247" s="161"/>
      <x:c r="P247" s="161"/>
      <x:c r="Q247" s="161"/>
      <x:c r="R247" s="161"/>
      <x:c r="S247" s="161"/>
      <x:c r="T247" s="161"/>
      <x:c r="U247" s="161"/>
      <x:c r="V247" s="161"/>
      <x:c r="W247" s="161"/>
      <x:c r="X247" s="161"/>
      <x:c r="Y247" s="161"/>
      <x:c r="Z247" s="161"/>
    </x:row>
    <x:row r="248">
      <x:c r="A248" s="161"/>
      <x:c r="B248" s="161"/>
      <x:c r="C248" s="161"/>
      <x:c r="D248" s="161"/>
      <x:c r="E248" s="161"/>
      <x:c r="F248" s="161"/>
      <x:c r="G248" s="161"/>
      <x:c r="H248" s="161"/>
      <x:c r="I248" s="161"/>
      <x:c r="J248" s="161"/>
      <x:c r="K248" s="161"/>
      <x:c r="L248" s="161"/>
      <x:c r="M248" s="161"/>
      <x:c r="N248" s="161"/>
      <x:c r="O248" s="161"/>
      <x:c r="P248" s="161"/>
      <x:c r="Q248" s="161"/>
      <x:c r="R248" s="161"/>
      <x:c r="S248" s="161"/>
      <x:c r="T248" s="161"/>
      <x:c r="U248" s="161"/>
      <x:c r="V248" s="161"/>
      <x:c r="W248" s="161"/>
      <x:c r="X248" s="161"/>
      <x:c r="Y248" s="161"/>
      <x:c r="Z248" s="161"/>
    </x:row>
    <x:row r="249">
      <x:c r="A249" s="161"/>
      <x:c r="B249" s="161"/>
      <x:c r="C249" s="161"/>
      <x:c r="D249" s="161"/>
      <x:c r="E249" s="161"/>
      <x:c r="F249" s="161"/>
      <x:c r="G249" s="161"/>
      <x:c r="H249" s="161"/>
      <x:c r="I249" s="161"/>
      <x:c r="J249" s="161"/>
      <x:c r="K249" s="161"/>
      <x:c r="L249" s="161"/>
      <x:c r="M249" s="161"/>
      <x:c r="N249" s="161"/>
      <x:c r="O249" s="161"/>
      <x:c r="P249" s="161"/>
      <x:c r="Q249" s="161"/>
      <x:c r="R249" s="161"/>
      <x:c r="S249" s="161"/>
      <x:c r="T249" s="161"/>
      <x:c r="U249" s="161"/>
      <x:c r="V249" s="161"/>
      <x:c r="W249" s="161"/>
      <x:c r="X249" s="161"/>
      <x:c r="Y249" s="161"/>
      <x:c r="Z249" s="161"/>
    </x:row>
    <x:row r="250">
      <x:c r="A250" s="161"/>
      <x:c r="B250" s="161"/>
      <x:c r="C250" s="161"/>
      <x:c r="D250" s="161"/>
      <x:c r="E250" s="161"/>
      <x:c r="F250" s="161"/>
      <x:c r="G250" s="161"/>
      <x:c r="H250" s="161"/>
      <x:c r="I250" s="161"/>
      <x:c r="J250" s="161"/>
      <x:c r="K250" s="161"/>
      <x:c r="L250" s="161"/>
      <x:c r="M250" s="161"/>
      <x:c r="N250" s="161"/>
      <x:c r="O250" s="161"/>
      <x:c r="P250" s="161"/>
      <x:c r="Q250" s="161"/>
      <x:c r="R250" s="161"/>
      <x:c r="S250" s="161"/>
      <x:c r="T250" s="161"/>
      <x:c r="U250" s="161"/>
      <x:c r="V250" s="161"/>
      <x:c r="W250" s="161"/>
      <x:c r="X250" s="161"/>
      <x:c r="Y250" s="161"/>
      <x:c r="Z250" s="161"/>
    </x:row>
  </x:sheetData>
  <x:mergeCells>
    <x:mergeCell ref="A1:H1"/>
    <x:mergeCell ref="A2:H3"/>
    <x:mergeCell ref="I1:J1"/>
  </x:mergeCells>
  <x:dataValidations count="5">
    <x:dataValidation type="list" sqref="B6:B200">
      <x:formula1>'03 Clientes'!$A$6:$A$200</x:formula1>
    </x:dataValidation>
    <x:dataValidation type="list" sqref="E6:E200">
      <x:formula1>'02 Config'!$F$6:$F$12</x:formula1>
    </x:dataValidation>
    <x:dataValidation type="list" sqref="F6:F200">
      <x:formula1>"10%,25%,50%,75%,90%,100%"</x:formula1>
    </x:dataValidation>
    <x:dataValidation type="list" sqref="K6:K200">
      <x:formula1>'02 Config'!$D$6:$D$10</x:formula1>
    </x:dataValidation>
    <x:dataValidation type="list" sqref="L6:L200">
      <x:formula1>'02 Config'!$H$19:$H$22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41c48b910d4ad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4" hidden="0" customWidth="1"/>
    <x:col min="4" max="4" width="14" hidden="0" customWidth="1"/>
    <x:col min="5" max="5" width="16" hidden="0" customWidth="1"/>
    <x:col min="6" max="6" width="15" hidden="0" customWidth="1"/>
    <x:col min="7" max="7" width="14" hidden="0" customWidth="1"/>
    <x:col min="8" max="8" width="13" hidden="0" customWidth="1"/>
    <x:col min="9" max="9" width="18" hidden="0" customWidth="1"/>
    <x:col min="10" max="10" width="24" hidden="0" customWidth="1"/>
    <x:col min="11" max="11" width="34" hidden="0" customWidth="1"/>
  </x:cols>
  <x:sheetData>
    <x:row r="1" ht="42" customHeight="1">
      <x:c r="A1" s="45" t="str">
        <x:v>Seguimiento de propuestas</x:v>
      </x:c>
      <x:c r="B1" s="160"/>
      <x:c r="C1" s="160"/>
      <x:c r="D1" s="160"/>
      <x:c r="E1" s="160"/>
      <x:c r="F1" s="160"/>
      <x:c r="G1" s="160"/>
      <x:c r="H1" s="160"/>
      <x:c r="I1" s="58" t="str">
        <x:v>PROPUESTAS</x:v>
      </x:c>
      <x:c r="J1" s="160"/>
      <x:c r="K1" s="160"/>
      <x:c r="L1" s="161"/>
      <x:c r="M1" s="161"/>
      <x:c r="N1" s="161"/>
      <x:c r="O1" s="161"/>
      <x:c r="P1" s="161"/>
      <x:c r="Q1" s="161"/>
      <x:c r="R1" s="161"/>
      <x:c r="S1" s="161"/>
      <x:c r="T1" s="161"/>
      <x:c r="U1" s="161"/>
      <x:c r="V1" s="161"/>
      <x:c r="W1" s="161"/>
      <x:c r="X1" s="161"/>
      <x:c r="Y1" s="161"/>
      <x:c r="Z1" s="161"/>
    </x:row>
    <x:row r="2">
      <x:c r="A2" s="166" t="str">
        <x:v>Controla propuestas enviadas, vigencias, montos, estatus y fecha de cierre.</x:v>
      </x:c>
      <x:c r="B2" s="160"/>
      <x:c r="C2" s="160"/>
      <x:c r="D2" s="160"/>
      <x:c r="E2" s="160"/>
      <x:c r="F2" s="160"/>
      <x:c r="G2" s="160"/>
      <x:c r="H2" s="160"/>
      <x:c r="I2" s="160"/>
      <x:c r="J2" s="160"/>
      <x:c r="K2" s="160"/>
      <x:c r="L2" s="161"/>
      <x:c r="M2" s="161"/>
      <x:c r="N2" s="161"/>
      <x:c r="O2" s="161"/>
      <x:c r="P2" s="161"/>
      <x:c r="Q2" s="161"/>
      <x:c r="R2" s="161"/>
      <x:c r="S2" s="161"/>
      <x:c r="T2" s="161"/>
      <x:c r="U2" s="161"/>
      <x:c r="V2" s="161"/>
      <x:c r="W2" s="161"/>
      <x:c r="X2" s="161"/>
      <x:c r="Y2" s="161"/>
      <x:c r="Z2" s="161"/>
    </x:row>
    <x:row r="3">
      <x:c r="A3" s="160"/>
      <x:c r="B3" s="160"/>
      <x:c r="C3" s="160"/>
      <x:c r="D3" s="160"/>
      <x:c r="E3" s="160"/>
      <x:c r="F3" s="160"/>
      <x:c r="G3" s="160"/>
      <x:c r="H3" s="160"/>
      <x:c r="I3" s="160"/>
      <x:c r="J3" s="160"/>
      <x:c r="K3" s="160"/>
      <x:c r="L3" s="161"/>
      <x:c r="M3" s="161"/>
      <x:c r="N3" s="161"/>
      <x:c r="O3" s="161"/>
      <x:c r="P3" s="161"/>
      <x:c r="Q3" s="161"/>
      <x:c r="R3" s="161"/>
      <x:c r="S3" s="161"/>
      <x:c r="T3" s="161"/>
      <x:c r="U3" s="161"/>
      <x:c r="V3" s="161"/>
      <x:c r="W3" s="161"/>
      <x:c r="X3" s="161"/>
      <x:c r="Y3" s="161"/>
      <x:c r="Z3" s="161"/>
    </x:row>
    <x:row r="4">
      <x:c r="A4" s="160"/>
      <x:c r="B4" s="160"/>
      <x:c r="C4" s="160"/>
      <x:c r="D4" s="160"/>
      <x:c r="E4" s="160"/>
      <x:c r="F4" s="160"/>
      <x:c r="G4" s="160"/>
      <x:c r="H4" s="160"/>
      <x:c r="I4" s="160"/>
      <x:c r="J4" s="160"/>
      <x:c r="K4" s="160"/>
      <x:c r="L4" s="161"/>
      <x:c r="M4" s="161"/>
      <x:c r="N4" s="161"/>
      <x:c r="O4" s="161"/>
      <x:c r="P4" s="161"/>
      <x:c r="Q4" s="161"/>
      <x:c r="R4" s="161"/>
      <x:c r="S4" s="161"/>
      <x:c r="T4" s="161"/>
      <x:c r="U4" s="161"/>
      <x:c r="V4" s="161"/>
      <x:c r="W4" s="161"/>
      <x:c r="X4" s="161"/>
      <x:c r="Y4" s="161"/>
      <x:c r="Z4" s="161"/>
    </x:row>
    <x:row r="5">
      <x:c r="A5" s="65" t="str">
        <x:v>ID Propuesta</x:v>
      </x:c>
      <x:c r="B5" s="65" t="str">
        <x:v>ID Oportunidad</x:v>
      </x:c>
      <x:c r="C5" s="65" t="str">
        <x:v>Cliente</x:v>
      </x:c>
      <x:c r="D5" s="65" t="str">
        <x:v>Fecha envío</x:v>
      </x:c>
      <x:c r="E5" s="65" t="str">
        <x:v>Monto propuesto</x:v>
      </x:c>
      <x:c r="F5" s="65" t="str">
        <x:v>Estatus</x:v>
      </x:c>
      <x:c r="G5" s="65" t="str">
        <x:v>Vigencia hasta</x:v>
      </x:c>
      <x:c r="H5" s="65" t="str">
        <x:v>Días vigencia</x:v>
      </x:c>
      <x:c r="I5" s="65" t="str">
        <x:v>Responsable</x:v>
      </x:c>
      <x:c r="J5" s="65" t="str">
        <x:v>Link / Archivo</x:v>
      </x:c>
      <x:c r="K5" s="65" t="str">
        <x:v>Observaciones</x:v>
      </x:c>
      <x:c r="L5" s="161"/>
      <x:c r="M5" s="161"/>
      <x:c r="N5" s="161"/>
      <x:c r="O5" s="161"/>
      <x:c r="P5" s="161"/>
      <x:c r="Q5" s="161"/>
      <x:c r="R5" s="161"/>
      <x:c r="S5" s="161"/>
      <x:c r="T5" s="161"/>
      <x:c r="U5" s="161"/>
      <x:c r="V5" s="161"/>
      <x:c r="W5" s="161"/>
      <x:c r="X5" s="161"/>
      <x:c r="Y5" s="161"/>
      <x:c r="Z5" s="161"/>
    </x:row>
    <x:row r="6">
      <x:c r="A6" s="129" t="str">
        <x:v>PROP-001</x:v>
      </x:c>
      <x:c r="B6" s="108" t="str">
        <x:v>OPP-001</x:v>
      </x:c>
      <x:c r="C6" s="129" t="str">
        <x:v>Clínica Dermalysse</x:v>
      </x:c>
      <x:c r="D6" s="124" t="n">
        <x:v>46149</x:v>
      </x:c>
      <x:c r="E6" s="112" t="n">
        <x:v>85000</x:v>
      </x:c>
      <x:c r="F6" s="108" t="str">
        <x:v>En revisión</x:v>
      </x:c>
      <x:c r="G6" s="124" t="n">
        <x:v>46167</x:v>
      </x:c>
      <x:c r="H6" s="129" t="n">
        <x:f>IF(G6="","",G6-TODAY())</x:f>
        <x:v>14</x:v>
      </x:c>
      <x:c r="I6" s="108" t="str">
        <x:v>Ejecutivo 1</x:v>
      </x:c>
      <x:c r="J6" s="108" t="str"/>
      <x:c r="K6" s="108" t="str">
        <x:v>Pendiente respuesta final.</x:v>
      </x:c>
      <x:c r="L6" s="161"/>
      <x:c r="M6" s="161"/>
      <x:c r="N6" s="161"/>
      <x:c r="O6" s="161"/>
      <x:c r="P6" s="161"/>
      <x:c r="Q6" s="161"/>
      <x:c r="R6" s="161"/>
      <x:c r="S6" s="161"/>
      <x:c r="T6" s="161"/>
      <x:c r="U6" s="161"/>
      <x:c r="V6" s="161"/>
      <x:c r="W6" s="161"/>
      <x:c r="X6" s="161"/>
      <x:c r="Y6" s="161"/>
      <x:c r="Z6" s="161"/>
    </x:row>
    <x:row r="7">
      <x:c r="A7" s="129" t="str">
        <x:f>IF(B7&lt;&gt;"","PROP-"&amp;TEXT(ROW()-5,"000"),"")</x:f>
      </x:c>
      <x:c r="B7" s="108"/>
      <x:c r="C7" s="129" t="str">
        <x:f>IFERROR(VLOOKUP(B7,'06 Oportunidades'!$A$6:$M$200,3,FALSE),"")</x:f>
      </x:c>
      <x:c r="D7" s="124"/>
      <x:c r="E7" s="112"/>
      <x:c r="F7" s="108"/>
      <x:c r="G7" s="124"/>
      <x:c r="H7" s="129" t="str">
        <x:f>IF(G7="","",G7-TODAY())</x:f>
      </x:c>
      <x:c r="I7" s="108"/>
      <x:c r="J7" s="108"/>
      <x:c r="K7" s="108"/>
      <x:c r="L7" s="161"/>
      <x:c r="M7" s="161"/>
      <x:c r="N7" s="161"/>
      <x:c r="O7" s="161"/>
      <x:c r="P7" s="161"/>
      <x:c r="Q7" s="161"/>
      <x:c r="R7" s="161"/>
      <x:c r="S7" s="161"/>
      <x:c r="T7" s="161"/>
      <x:c r="U7" s="161"/>
      <x:c r="V7" s="161"/>
      <x:c r="W7" s="161"/>
      <x:c r="X7" s="161"/>
      <x:c r="Y7" s="161"/>
      <x:c r="Z7" s="161"/>
    </x:row>
    <x:row r="8">
      <x:c r="A8" s="129" t="str">
        <x:f>IF(B8&lt;&gt;"","PROP-"&amp;TEXT(ROW()-5,"000"),"")</x:f>
      </x:c>
      <x:c r="B8" s="108"/>
      <x:c r="C8" s="129" t="str">
        <x:f>IFERROR(VLOOKUP(B8,'06 Oportunidades'!$A$6:$M$200,3,FALSE),"")</x:f>
      </x:c>
      <x:c r="D8" s="124"/>
      <x:c r="E8" s="112"/>
      <x:c r="F8" s="108"/>
      <x:c r="G8" s="124"/>
      <x:c r="H8" s="129" t="str">
        <x:f>IF(G8="","",G8-TODAY())</x:f>
      </x:c>
      <x:c r="I8" s="108"/>
      <x:c r="J8" s="108"/>
      <x:c r="K8" s="108"/>
      <x:c r="L8" s="161"/>
      <x:c r="M8" s="161"/>
      <x:c r="N8" s="161"/>
      <x:c r="O8" s="161"/>
      <x:c r="P8" s="161"/>
      <x:c r="Q8" s="161"/>
      <x:c r="R8" s="161"/>
      <x:c r="S8" s="161"/>
      <x:c r="T8" s="161"/>
      <x:c r="U8" s="161"/>
      <x:c r="V8" s="161"/>
      <x:c r="W8" s="161"/>
      <x:c r="X8" s="161"/>
      <x:c r="Y8" s="161"/>
      <x:c r="Z8" s="161"/>
    </x:row>
    <x:row r="9">
      <x:c r="A9" s="129" t="str">
        <x:f>IF(B9&lt;&gt;"","PROP-"&amp;TEXT(ROW()-5,"000"),"")</x:f>
      </x:c>
      <x:c r="B9" s="108"/>
      <x:c r="C9" s="129" t="str">
        <x:f>IFERROR(VLOOKUP(B9,'06 Oportunidades'!$A$6:$M$200,3,FALSE),"")</x:f>
      </x:c>
      <x:c r="D9" s="124"/>
      <x:c r="E9" s="112"/>
      <x:c r="F9" s="108"/>
      <x:c r="G9" s="124"/>
      <x:c r="H9" s="129" t="str">
        <x:f>IF(G9="","",G9-TODAY())</x:f>
      </x:c>
      <x:c r="I9" s="108"/>
      <x:c r="J9" s="108"/>
      <x:c r="K9" s="108"/>
      <x:c r="L9" s="161"/>
      <x:c r="M9" s="161"/>
      <x:c r="N9" s="161"/>
      <x:c r="O9" s="161"/>
      <x:c r="P9" s="161"/>
      <x:c r="Q9" s="161"/>
      <x:c r="R9" s="161"/>
      <x:c r="S9" s="161"/>
      <x:c r="T9" s="161"/>
      <x:c r="U9" s="161"/>
      <x:c r="V9" s="161"/>
      <x:c r="W9" s="161"/>
      <x:c r="X9" s="161"/>
      <x:c r="Y9" s="161"/>
      <x:c r="Z9" s="161"/>
    </x:row>
    <x:row r="10">
      <x:c r="A10" s="129" t="str">
        <x:f>IF(B10&lt;&gt;"","PROP-"&amp;TEXT(ROW()-5,"000"),"")</x:f>
      </x:c>
      <x:c r="B10" s="108"/>
      <x:c r="C10" s="129" t="str">
        <x:f>IFERROR(VLOOKUP(B10,'06 Oportunidades'!$A$6:$M$200,3,FALSE),"")</x:f>
      </x:c>
      <x:c r="D10" s="124"/>
      <x:c r="E10" s="112"/>
      <x:c r="F10" s="108"/>
      <x:c r="G10" s="124"/>
      <x:c r="H10" s="129" t="str">
        <x:f>IF(G10="","",G10-TODAY())</x:f>
      </x:c>
      <x:c r="I10" s="108"/>
      <x:c r="J10" s="108"/>
      <x:c r="K10" s="108"/>
      <x:c r="L10" s="161"/>
      <x:c r="M10" s="161"/>
      <x:c r="N10" s="161"/>
      <x:c r="O10" s="161"/>
      <x:c r="P10" s="161"/>
      <x:c r="Q10" s="161"/>
      <x:c r="R10" s="161"/>
      <x:c r="S10" s="161"/>
      <x:c r="T10" s="161"/>
      <x:c r="U10" s="161"/>
      <x:c r="V10" s="161"/>
      <x:c r="W10" s="161"/>
      <x:c r="X10" s="161"/>
      <x:c r="Y10" s="161"/>
      <x:c r="Z10" s="161"/>
    </x:row>
    <x:row r="11">
      <x:c r="A11" s="129" t="str">
        <x:f>IF(B11&lt;&gt;"","PROP-"&amp;TEXT(ROW()-5,"000"),"")</x:f>
      </x:c>
      <x:c r="B11" s="108"/>
      <x:c r="C11" s="129" t="str">
        <x:f>IFERROR(VLOOKUP(B11,'06 Oportunidades'!$A$6:$M$200,3,FALSE),"")</x:f>
      </x:c>
      <x:c r="D11" s="124"/>
      <x:c r="E11" s="112"/>
      <x:c r="F11" s="108"/>
      <x:c r="G11" s="124"/>
      <x:c r="H11" s="129" t="str">
        <x:f>IF(G11="","",G11-TODAY())</x:f>
      </x:c>
      <x:c r="I11" s="108"/>
      <x:c r="J11" s="108"/>
      <x:c r="K11" s="108"/>
      <x:c r="L11" s="161"/>
      <x:c r="M11" s="161"/>
      <x:c r="N11" s="161"/>
      <x:c r="O11" s="161"/>
      <x:c r="P11" s="161"/>
      <x:c r="Q11" s="161"/>
      <x:c r="R11" s="161"/>
      <x:c r="S11" s="161"/>
      <x:c r="T11" s="161"/>
      <x:c r="U11" s="161"/>
      <x:c r="V11" s="161"/>
      <x:c r="W11" s="161"/>
      <x:c r="X11" s="161"/>
      <x:c r="Y11" s="161"/>
      <x:c r="Z11" s="161"/>
    </x:row>
    <x:row r="12">
      <x:c r="A12" s="129" t="str">
        <x:f>IF(B12&lt;&gt;"","PROP-"&amp;TEXT(ROW()-5,"000"),"")</x:f>
      </x:c>
      <x:c r="B12" s="108"/>
      <x:c r="C12" s="129" t="str">
        <x:f>IFERROR(VLOOKUP(B12,'06 Oportunidades'!$A$6:$M$200,3,FALSE),"")</x:f>
      </x:c>
      <x:c r="D12" s="124"/>
      <x:c r="E12" s="112"/>
      <x:c r="F12" s="108"/>
      <x:c r="G12" s="124"/>
      <x:c r="H12" s="129" t="str">
        <x:f>IF(G12="","",G12-TODAY())</x:f>
      </x:c>
      <x:c r="I12" s="108"/>
      <x:c r="J12" s="108"/>
      <x:c r="K12" s="108"/>
      <x:c r="L12" s="161"/>
      <x:c r="M12" s="161"/>
      <x:c r="N12" s="161"/>
      <x:c r="O12" s="161"/>
      <x:c r="P12" s="161"/>
      <x:c r="Q12" s="161"/>
      <x:c r="R12" s="161"/>
      <x:c r="S12" s="161"/>
      <x:c r="T12" s="161"/>
      <x:c r="U12" s="161"/>
      <x:c r="V12" s="161"/>
      <x:c r="W12" s="161"/>
      <x:c r="X12" s="161"/>
      <x:c r="Y12" s="161"/>
      <x:c r="Z12" s="161"/>
    </x:row>
    <x:row r="13">
      <x:c r="A13" s="129" t="str">
        <x:f>IF(B13&lt;&gt;"","PROP-"&amp;TEXT(ROW()-5,"000"),"")</x:f>
      </x:c>
      <x:c r="B13" s="108"/>
      <x:c r="C13" s="129" t="str">
        <x:f>IFERROR(VLOOKUP(B13,'06 Oportunidades'!$A$6:$M$200,3,FALSE),"")</x:f>
      </x:c>
      <x:c r="D13" s="124"/>
      <x:c r="E13" s="112"/>
      <x:c r="F13" s="108"/>
      <x:c r="G13" s="124"/>
      <x:c r="H13" s="129" t="str">
        <x:f>IF(G13="","",G13-TODAY())</x:f>
      </x:c>
      <x:c r="I13" s="108"/>
      <x:c r="J13" s="108"/>
      <x:c r="K13" s="108"/>
      <x:c r="L13" s="161"/>
      <x:c r="M13" s="161"/>
      <x:c r="N13" s="161"/>
      <x:c r="O13" s="161"/>
      <x:c r="P13" s="161"/>
      <x:c r="Q13" s="161"/>
      <x:c r="R13" s="161"/>
      <x:c r="S13" s="161"/>
      <x:c r="T13" s="161"/>
      <x:c r="U13" s="161"/>
      <x:c r="V13" s="161"/>
      <x:c r="W13" s="161"/>
      <x:c r="X13" s="161"/>
      <x:c r="Y13" s="161"/>
      <x:c r="Z13" s="161"/>
    </x:row>
    <x:row r="14">
      <x:c r="A14" s="129" t="str">
        <x:f>IF(B14&lt;&gt;"","PROP-"&amp;TEXT(ROW()-5,"000"),"")</x:f>
      </x:c>
      <x:c r="B14" s="108"/>
      <x:c r="C14" s="129" t="str">
        <x:f>IFERROR(VLOOKUP(B14,'06 Oportunidades'!$A$6:$M$200,3,FALSE),"")</x:f>
      </x:c>
      <x:c r="D14" s="124"/>
      <x:c r="E14" s="112"/>
      <x:c r="F14" s="108"/>
      <x:c r="G14" s="124"/>
      <x:c r="H14" s="129" t="str">
        <x:f>IF(G14="","",G14-TODAY())</x:f>
      </x:c>
      <x:c r="I14" s="108"/>
      <x:c r="J14" s="108"/>
      <x:c r="K14" s="108"/>
      <x:c r="L14" s="161"/>
      <x:c r="M14" s="161"/>
      <x:c r="N14" s="161"/>
      <x:c r="O14" s="161"/>
      <x:c r="P14" s="161"/>
      <x:c r="Q14" s="161"/>
      <x:c r="R14" s="161"/>
      <x:c r="S14" s="161"/>
      <x:c r="T14" s="161"/>
      <x:c r="U14" s="161"/>
      <x:c r="V14" s="161"/>
      <x:c r="W14" s="161"/>
      <x:c r="X14" s="161"/>
      <x:c r="Y14" s="161"/>
      <x:c r="Z14" s="161"/>
    </x:row>
    <x:row r="15">
      <x:c r="A15" s="129" t="str">
        <x:f>IF(B15&lt;&gt;"","PROP-"&amp;TEXT(ROW()-5,"000"),"")</x:f>
      </x:c>
      <x:c r="B15" s="108"/>
      <x:c r="C15" s="129" t="str">
        <x:f>IFERROR(VLOOKUP(B15,'06 Oportunidades'!$A$6:$M$200,3,FALSE),"")</x:f>
      </x:c>
      <x:c r="D15" s="124"/>
      <x:c r="E15" s="112"/>
      <x:c r="F15" s="108"/>
      <x:c r="G15" s="124"/>
      <x:c r="H15" s="129" t="str">
        <x:f>IF(G15="","",G15-TODAY())</x:f>
      </x:c>
      <x:c r="I15" s="108"/>
      <x:c r="J15" s="108"/>
      <x:c r="K15" s="108"/>
      <x:c r="L15" s="161"/>
      <x:c r="M15" s="161"/>
      <x:c r="N15" s="161"/>
      <x:c r="O15" s="161"/>
      <x:c r="P15" s="161"/>
      <x:c r="Q15" s="161"/>
      <x:c r="R15" s="161"/>
      <x:c r="S15" s="161"/>
      <x:c r="T15" s="161"/>
      <x:c r="U15" s="161"/>
      <x:c r="V15" s="161"/>
      <x:c r="W15" s="161"/>
      <x:c r="X15" s="161"/>
      <x:c r="Y15" s="161"/>
      <x:c r="Z15" s="161"/>
    </x:row>
    <x:row r="16">
      <x:c r="A16" s="129" t="str">
        <x:f>IF(B16&lt;&gt;"","PROP-"&amp;TEXT(ROW()-5,"000"),"")</x:f>
      </x:c>
      <x:c r="B16" s="108"/>
      <x:c r="C16" s="129" t="str">
        <x:f>IFERROR(VLOOKUP(B16,'06 Oportunidades'!$A$6:$M$200,3,FALSE),"")</x:f>
      </x:c>
      <x:c r="D16" s="124"/>
      <x:c r="E16" s="112"/>
      <x:c r="F16" s="108"/>
      <x:c r="G16" s="124"/>
      <x:c r="H16" s="129" t="str">
        <x:f>IF(G16="","",G16-TODAY())</x:f>
      </x:c>
      <x:c r="I16" s="108"/>
      <x:c r="J16" s="108"/>
      <x:c r="K16" s="108"/>
      <x:c r="L16" s="161"/>
      <x:c r="M16" s="161"/>
      <x:c r="N16" s="161"/>
      <x:c r="O16" s="161"/>
      <x:c r="P16" s="161"/>
      <x:c r="Q16" s="161"/>
      <x:c r="R16" s="161"/>
      <x:c r="S16" s="161"/>
      <x:c r="T16" s="161"/>
      <x:c r="U16" s="161"/>
      <x:c r="V16" s="161"/>
      <x:c r="W16" s="161"/>
      <x:c r="X16" s="161"/>
      <x:c r="Y16" s="161"/>
      <x:c r="Z16" s="161"/>
    </x:row>
    <x:row r="17">
      <x:c r="A17" s="129" t="str">
        <x:f>IF(B17&lt;&gt;"","PROP-"&amp;TEXT(ROW()-5,"000"),"")</x:f>
      </x:c>
      <x:c r="B17" s="108"/>
      <x:c r="C17" s="129" t="str">
        <x:f>IFERROR(VLOOKUP(B17,'06 Oportunidades'!$A$6:$M$200,3,FALSE),"")</x:f>
      </x:c>
      <x:c r="D17" s="124"/>
      <x:c r="E17" s="112"/>
      <x:c r="F17" s="108"/>
      <x:c r="G17" s="124"/>
      <x:c r="H17" s="129" t="str">
        <x:f>IF(G17="","",G17-TODAY())</x:f>
      </x:c>
      <x:c r="I17" s="108"/>
      <x:c r="J17" s="108"/>
      <x:c r="K17" s="108"/>
      <x:c r="L17" s="161"/>
      <x:c r="M17" s="161"/>
      <x:c r="N17" s="161"/>
      <x:c r="O17" s="161"/>
      <x:c r="P17" s="161"/>
      <x:c r="Q17" s="161"/>
      <x:c r="R17" s="161"/>
      <x:c r="S17" s="161"/>
      <x:c r="T17" s="161"/>
      <x:c r="U17" s="161"/>
      <x:c r="V17" s="161"/>
      <x:c r="W17" s="161"/>
      <x:c r="X17" s="161"/>
      <x:c r="Y17" s="161"/>
      <x:c r="Z17" s="161"/>
    </x:row>
    <x:row r="18">
      <x:c r="A18" s="129" t="str">
        <x:f>IF(B18&lt;&gt;"","PROP-"&amp;TEXT(ROW()-5,"000"),"")</x:f>
      </x:c>
      <x:c r="B18" s="108"/>
      <x:c r="C18" s="129" t="str">
        <x:f>IFERROR(VLOOKUP(B18,'06 Oportunidades'!$A$6:$M$200,3,FALSE),"")</x:f>
      </x:c>
      <x:c r="D18" s="124"/>
      <x:c r="E18" s="112"/>
      <x:c r="F18" s="108"/>
      <x:c r="G18" s="124"/>
      <x:c r="H18" s="129" t="str">
        <x:f>IF(G18="","",G18-TODAY())</x:f>
      </x:c>
      <x:c r="I18" s="108"/>
      <x:c r="J18" s="108"/>
      <x:c r="K18" s="108"/>
      <x:c r="L18" s="161"/>
      <x:c r="M18" s="161"/>
      <x:c r="N18" s="161"/>
      <x:c r="O18" s="161"/>
      <x:c r="P18" s="161"/>
      <x:c r="Q18" s="161"/>
      <x:c r="R18" s="161"/>
      <x:c r="S18" s="161"/>
      <x:c r="T18" s="161"/>
      <x:c r="U18" s="161"/>
      <x:c r="V18" s="161"/>
      <x:c r="W18" s="161"/>
      <x:c r="X18" s="161"/>
      <x:c r="Y18" s="161"/>
      <x:c r="Z18" s="161"/>
    </x:row>
    <x:row r="19">
      <x:c r="A19" s="129" t="str">
        <x:f>IF(B19&lt;&gt;"","PROP-"&amp;TEXT(ROW()-5,"000"),"")</x:f>
      </x:c>
      <x:c r="B19" s="108"/>
      <x:c r="C19" s="129" t="str">
        <x:f>IFERROR(VLOOKUP(B19,'06 Oportunidades'!$A$6:$M$200,3,FALSE),"")</x:f>
      </x:c>
      <x:c r="D19" s="124"/>
      <x:c r="E19" s="112"/>
      <x:c r="F19" s="108"/>
      <x:c r="G19" s="124"/>
      <x:c r="H19" s="129" t="str">
        <x:f>IF(G19="","",G19-TODAY())</x:f>
      </x:c>
      <x:c r="I19" s="108"/>
      <x:c r="J19" s="108"/>
      <x:c r="K19" s="108"/>
      <x:c r="L19" s="161"/>
      <x:c r="M19" s="161"/>
      <x:c r="N19" s="161"/>
      <x:c r="O19" s="161"/>
      <x:c r="P19" s="161"/>
      <x:c r="Q19" s="161"/>
      <x:c r="R19" s="161"/>
      <x:c r="S19" s="161"/>
      <x:c r="T19" s="161"/>
      <x:c r="U19" s="161"/>
      <x:c r="V19" s="161"/>
      <x:c r="W19" s="161"/>
      <x:c r="X19" s="161"/>
      <x:c r="Y19" s="161"/>
      <x:c r="Z19" s="161"/>
    </x:row>
    <x:row r="20">
      <x:c r="A20" s="129" t="str">
        <x:f>IF(B20&lt;&gt;"","PROP-"&amp;TEXT(ROW()-5,"000"),"")</x:f>
      </x:c>
      <x:c r="B20" s="108"/>
      <x:c r="C20" s="129" t="str">
        <x:f>IFERROR(VLOOKUP(B20,'06 Oportunidades'!$A$6:$M$200,3,FALSE),"")</x:f>
      </x:c>
      <x:c r="D20" s="124"/>
      <x:c r="E20" s="112"/>
      <x:c r="F20" s="108"/>
      <x:c r="G20" s="124"/>
      <x:c r="H20" s="129" t="str">
        <x:f>IF(G20="","",G20-TODAY())</x:f>
      </x:c>
      <x:c r="I20" s="108"/>
      <x:c r="J20" s="108"/>
      <x:c r="K20" s="108"/>
      <x:c r="L20" s="161"/>
      <x:c r="M20" s="161"/>
      <x:c r="N20" s="161"/>
      <x:c r="O20" s="161"/>
      <x:c r="P20" s="161"/>
      <x:c r="Q20" s="161"/>
      <x:c r="R20" s="161"/>
      <x:c r="S20" s="161"/>
      <x:c r="T20" s="161"/>
      <x:c r="U20" s="161"/>
      <x:c r="V20" s="161"/>
      <x:c r="W20" s="161"/>
      <x:c r="X20" s="161"/>
      <x:c r="Y20" s="161"/>
      <x:c r="Z20" s="161"/>
    </x:row>
    <x:row r="21">
      <x:c r="A21" s="129" t="str">
        <x:f>IF(B21&lt;&gt;"","PROP-"&amp;TEXT(ROW()-5,"000"),"")</x:f>
      </x:c>
      <x:c r="B21" s="108"/>
      <x:c r="C21" s="129" t="str">
        <x:f>IFERROR(VLOOKUP(B21,'06 Oportunidades'!$A$6:$M$200,3,FALSE),"")</x:f>
      </x:c>
      <x:c r="D21" s="124"/>
      <x:c r="E21" s="112"/>
      <x:c r="F21" s="108"/>
      <x:c r="G21" s="124"/>
      <x:c r="H21" s="129" t="str">
        <x:f>IF(G21="","",G21-TODAY())</x:f>
      </x:c>
      <x:c r="I21" s="108"/>
      <x:c r="J21" s="108"/>
      <x:c r="K21" s="108"/>
      <x:c r="L21" s="161"/>
      <x:c r="M21" s="161"/>
      <x:c r="N21" s="161"/>
      <x:c r="O21" s="161"/>
      <x:c r="P21" s="161"/>
      <x:c r="Q21" s="161"/>
      <x:c r="R21" s="161"/>
      <x:c r="S21" s="161"/>
      <x:c r="T21" s="161"/>
      <x:c r="U21" s="161"/>
      <x:c r="V21" s="161"/>
      <x:c r="W21" s="161"/>
      <x:c r="X21" s="161"/>
      <x:c r="Y21" s="161"/>
      <x:c r="Z21" s="161"/>
    </x:row>
    <x:row r="22">
      <x:c r="A22" s="129" t="str">
        <x:f>IF(B22&lt;&gt;"","PROP-"&amp;TEXT(ROW()-5,"000"),"")</x:f>
      </x:c>
      <x:c r="B22" s="108"/>
      <x:c r="C22" s="129" t="str">
        <x:f>IFERROR(VLOOKUP(B22,'06 Oportunidades'!$A$6:$M$200,3,FALSE),"")</x:f>
      </x:c>
      <x:c r="D22" s="124"/>
      <x:c r="E22" s="112"/>
      <x:c r="F22" s="108"/>
      <x:c r="G22" s="124"/>
      <x:c r="H22" s="129" t="str">
        <x:f>IF(G22="","",G22-TODAY())</x:f>
      </x:c>
      <x:c r="I22" s="108"/>
      <x:c r="J22" s="108"/>
      <x:c r="K22" s="108"/>
      <x:c r="L22" s="161"/>
      <x:c r="M22" s="161"/>
      <x:c r="N22" s="161"/>
      <x:c r="O22" s="161"/>
      <x:c r="P22" s="161"/>
      <x:c r="Q22" s="161"/>
      <x:c r="R22" s="161"/>
      <x:c r="S22" s="161"/>
      <x:c r="T22" s="161"/>
      <x:c r="U22" s="161"/>
      <x:c r="V22" s="161"/>
      <x:c r="W22" s="161"/>
      <x:c r="X22" s="161"/>
      <x:c r="Y22" s="161"/>
      <x:c r="Z22" s="161"/>
    </x:row>
    <x:row r="23">
      <x:c r="A23" s="129" t="str">
        <x:f>IF(B23&lt;&gt;"","PROP-"&amp;TEXT(ROW()-5,"000"),"")</x:f>
      </x:c>
      <x:c r="B23" s="108"/>
      <x:c r="C23" s="129" t="str">
        <x:f>IFERROR(VLOOKUP(B23,'06 Oportunidades'!$A$6:$M$200,3,FALSE),"")</x:f>
      </x:c>
      <x:c r="D23" s="124"/>
      <x:c r="E23" s="112"/>
      <x:c r="F23" s="108"/>
      <x:c r="G23" s="124"/>
      <x:c r="H23" s="129" t="str">
        <x:f>IF(G23="","",G23-TODAY())</x:f>
      </x:c>
      <x:c r="I23" s="108"/>
      <x:c r="J23" s="108"/>
      <x:c r="K23" s="108"/>
      <x:c r="L23" s="161"/>
      <x:c r="M23" s="161"/>
      <x:c r="N23" s="161"/>
      <x:c r="O23" s="161"/>
      <x:c r="P23" s="161"/>
      <x:c r="Q23" s="161"/>
      <x:c r="R23" s="161"/>
      <x:c r="S23" s="161"/>
      <x:c r="T23" s="161"/>
      <x:c r="U23" s="161"/>
      <x:c r="V23" s="161"/>
      <x:c r="W23" s="161"/>
      <x:c r="X23" s="161"/>
      <x:c r="Y23" s="161"/>
      <x:c r="Z23" s="161"/>
    </x:row>
    <x:row r="24">
      <x:c r="A24" s="129" t="str">
        <x:f>IF(B24&lt;&gt;"","PROP-"&amp;TEXT(ROW()-5,"000"),"")</x:f>
      </x:c>
      <x:c r="B24" s="108"/>
      <x:c r="C24" s="129" t="str">
        <x:f>IFERROR(VLOOKUP(B24,'06 Oportunidades'!$A$6:$M$200,3,FALSE),"")</x:f>
      </x:c>
      <x:c r="D24" s="124"/>
      <x:c r="E24" s="112"/>
      <x:c r="F24" s="108"/>
      <x:c r="G24" s="124"/>
      <x:c r="H24" s="129" t="str">
        <x:f>IF(G24="","",G24-TODAY())</x:f>
      </x:c>
      <x:c r="I24" s="108"/>
      <x:c r="J24" s="108"/>
      <x:c r="K24" s="108"/>
      <x:c r="L24" s="161"/>
      <x:c r="M24" s="161"/>
      <x:c r="N24" s="161"/>
      <x:c r="O24" s="161"/>
      <x:c r="P24" s="161"/>
      <x:c r="Q24" s="161"/>
      <x:c r="R24" s="161"/>
      <x:c r="S24" s="161"/>
      <x:c r="T24" s="161"/>
      <x:c r="U24" s="161"/>
      <x:c r="V24" s="161"/>
      <x:c r="W24" s="161"/>
      <x:c r="X24" s="161"/>
      <x:c r="Y24" s="161"/>
      <x:c r="Z24" s="161"/>
    </x:row>
    <x:row r="25">
      <x:c r="A25" s="129" t="str">
        <x:f>IF(B25&lt;&gt;"","PROP-"&amp;TEXT(ROW()-5,"000"),"")</x:f>
      </x:c>
      <x:c r="B25" s="108"/>
      <x:c r="C25" s="129" t="str">
        <x:f>IFERROR(VLOOKUP(B25,'06 Oportunidades'!$A$6:$M$200,3,FALSE),"")</x:f>
      </x:c>
      <x:c r="D25" s="124"/>
      <x:c r="E25" s="112"/>
      <x:c r="F25" s="108"/>
      <x:c r="G25" s="124"/>
      <x:c r="H25" s="129" t="str">
        <x:f>IF(G25="","",G25-TODAY())</x:f>
      </x:c>
      <x:c r="I25" s="108"/>
      <x:c r="J25" s="108"/>
      <x:c r="K25" s="108"/>
      <x:c r="L25" s="161"/>
      <x:c r="M25" s="161"/>
      <x:c r="N25" s="161"/>
      <x:c r="O25" s="161"/>
      <x:c r="P25" s="161"/>
      <x:c r="Q25" s="161"/>
      <x:c r="R25" s="161"/>
      <x:c r="S25" s="161"/>
      <x:c r="T25" s="161"/>
      <x:c r="U25" s="161"/>
      <x:c r="V25" s="161"/>
      <x:c r="W25" s="161"/>
      <x:c r="X25" s="161"/>
      <x:c r="Y25" s="161"/>
      <x:c r="Z25" s="161"/>
    </x:row>
    <x:row r="26">
      <x:c r="A26" s="129" t="str">
        <x:f>IF(B26&lt;&gt;"","PROP-"&amp;TEXT(ROW()-5,"000"),"")</x:f>
      </x:c>
      <x:c r="B26" s="108"/>
      <x:c r="C26" s="129" t="str">
        <x:f>IFERROR(VLOOKUP(B26,'06 Oportunidades'!$A$6:$M$200,3,FALSE),"")</x:f>
      </x:c>
      <x:c r="D26" s="124"/>
      <x:c r="E26" s="112"/>
      <x:c r="F26" s="108"/>
      <x:c r="G26" s="124"/>
      <x:c r="H26" s="129" t="str">
        <x:f>IF(G26="","",G26-TODAY())</x:f>
      </x:c>
      <x:c r="I26" s="108"/>
      <x:c r="J26" s="108"/>
      <x:c r="K26" s="108"/>
      <x:c r="L26" s="161"/>
      <x:c r="M26" s="161"/>
      <x:c r="N26" s="161"/>
      <x:c r="O26" s="161"/>
      <x:c r="P26" s="161"/>
      <x:c r="Q26" s="161"/>
      <x:c r="R26" s="161"/>
      <x:c r="S26" s="161"/>
      <x:c r="T26" s="161"/>
      <x:c r="U26" s="161"/>
      <x:c r="V26" s="161"/>
      <x:c r="W26" s="161"/>
      <x:c r="X26" s="161"/>
      <x:c r="Y26" s="161"/>
      <x:c r="Z26" s="161"/>
    </x:row>
    <x:row r="27">
      <x:c r="A27" s="129" t="str">
        <x:f>IF(B27&lt;&gt;"","PROP-"&amp;TEXT(ROW()-5,"000"),"")</x:f>
      </x:c>
      <x:c r="B27" s="108"/>
      <x:c r="C27" s="129" t="str">
        <x:f>IFERROR(VLOOKUP(B27,'06 Oportunidades'!$A$6:$M$200,3,FALSE),"")</x:f>
      </x:c>
      <x:c r="D27" s="124"/>
      <x:c r="E27" s="112"/>
      <x:c r="F27" s="108"/>
      <x:c r="G27" s="124"/>
      <x:c r="H27" s="129" t="str">
        <x:f>IF(G27="","",G27-TODAY())</x:f>
      </x:c>
      <x:c r="I27" s="108"/>
      <x:c r="J27" s="108"/>
      <x:c r="K27" s="108"/>
      <x:c r="L27" s="161"/>
      <x:c r="M27" s="161"/>
      <x:c r="N27" s="161"/>
      <x:c r="O27" s="161"/>
      <x:c r="P27" s="161"/>
      <x:c r="Q27" s="161"/>
      <x:c r="R27" s="161"/>
      <x:c r="S27" s="161"/>
      <x:c r="T27" s="161"/>
      <x:c r="U27" s="161"/>
      <x:c r="V27" s="161"/>
      <x:c r="W27" s="161"/>
      <x:c r="X27" s="161"/>
      <x:c r="Y27" s="161"/>
      <x:c r="Z27" s="161"/>
    </x:row>
    <x:row r="28">
      <x:c r="A28" s="129" t="str">
        <x:f>IF(B28&lt;&gt;"","PROP-"&amp;TEXT(ROW()-5,"000"),"")</x:f>
      </x:c>
      <x:c r="B28" s="108"/>
      <x:c r="C28" s="129" t="str">
        <x:f>IFERROR(VLOOKUP(B28,'06 Oportunidades'!$A$6:$M$200,3,FALSE),"")</x:f>
      </x:c>
      <x:c r="D28" s="124"/>
      <x:c r="E28" s="112"/>
      <x:c r="F28" s="108"/>
      <x:c r="G28" s="124"/>
      <x:c r="H28" s="129" t="str">
        <x:f>IF(G28="","",G28-TODAY())</x:f>
      </x:c>
      <x:c r="I28" s="108"/>
      <x:c r="J28" s="108"/>
      <x:c r="K28" s="108"/>
      <x:c r="L28" s="161"/>
      <x:c r="M28" s="161"/>
      <x:c r="N28" s="161"/>
      <x:c r="O28" s="161"/>
      <x:c r="P28" s="161"/>
      <x:c r="Q28" s="161"/>
      <x:c r="R28" s="161"/>
      <x:c r="S28" s="161"/>
      <x:c r="T28" s="161"/>
      <x:c r="U28" s="161"/>
      <x:c r="V28" s="161"/>
      <x:c r="W28" s="161"/>
      <x:c r="X28" s="161"/>
      <x:c r="Y28" s="161"/>
      <x:c r="Z28" s="161"/>
    </x:row>
    <x:row r="29">
      <x:c r="A29" s="129" t="str">
        <x:f>IF(B29&lt;&gt;"","PROP-"&amp;TEXT(ROW()-5,"000"),"")</x:f>
      </x:c>
      <x:c r="B29" s="108"/>
      <x:c r="C29" s="129" t="str">
        <x:f>IFERROR(VLOOKUP(B29,'06 Oportunidades'!$A$6:$M$200,3,FALSE),"")</x:f>
      </x:c>
      <x:c r="D29" s="124"/>
      <x:c r="E29" s="112"/>
      <x:c r="F29" s="108"/>
      <x:c r="G29" s="124"/>
      <x:c r="H29" s="129" t="str">
        <x:f>IF(G29="","",G29-TODAY())</x:f>
      </x:c>
      <x:c r="I29" s="108"/>
      <x:c r="J29" s="108"/>
      <x:c r="K29" s="108"/>
      <x:c r="L29" s="161"/>
      <x:c r="M29" s="161"/>
      <x:c r="N29" s="161"/>
      <x:c r="O29" s="161"/>
      <x:c r="P29" s="161"/>
      <x:c r="Q29" s="161"/>
      <x:c r="R29" s="161"/>
      <x:c r="S29" s="161"/>
      <x:c r="T29" s="161"/>
      <x:c r="U29" s="161"/>
      <x:c r="V29" s="161"/>
      <x:c r="W29" s="161"/>
      <x:c r="X29" s="161"/>
      <x:c r="Y29" s="161"/>
      <x:c r="Z29" s="161"/>
    </x:row>
    <x:row r="30">
      <x:c r="A30" s="129" t="str">
        <x:f>IF(B30&lt;&gt;"","PROP-"&amp;TEXT(ROW()-5,"000"),"")</x:f>
      </x:c>
      <x:c r="B30" s="108"/>
      <x:c r="C30" s="129" t="str">
        <x:f>IFERROR(VLOOKUP(B30,'06 Oportunidades'!$A$6:$M$200,3,FALSE),"")</x:f>
      </x:c>
      <x:c r="D30" s="124"/>
      <x:c r="E30" s="112"/>
      <x:c r="F30" s="108"/>
      <x:c r="G30" s="124"/>
      <x:c r="H30" s="129" t="str">
        <x:f>IF(G30="","",G30-TODAY())</x:f>
      </x:c>
      <x:c r="I30" s="108"/>
      <x:c r="J30" s="108"/>
      <x:c r="K30" s="108"/>
      <x:c r="L30" s="161"/>
      <x:c r="M30" s="161"/>
      <x:c r="N30" s="161"/>
      <x:c r="O30" s="161"/>
      <x:c r="P30" s="161"/>
      <x:c r="Q30" s="161"/>
      <x:c r="R30" s="161"/>
      <x:c r="S30" s="161"/>
      <x:c r="T30" s="161"/>
      <x:c r="U30" s="161"/>
      <x:c r="V30" s="161"/>
      <x:c r="W30" s="161"/>
      <x:c r="X30" s="161"/>
      <x:c r="Y30" s="161"/>
      <x:c r="Z30" s="161"/>
    </x:row>
    <x:row r="31">
      <x:c r="A31" s="129" t="str">
        <x:f>IF(B31&lt;&gt;"","PROP-"&amp;TEXT(ROW()-5,"000"),"")</x:f>
      </x:c>
      <x:c r="B31" s="108"/>
      <x:c r="C31" s="129" t="str">
        <x:f>IFERROR(VLOOKUP(B31,'06 Oportunidades'!$A$6:$M$200,3,FALSE),"")</x:f>
      </x:c>
      <x:c r="D31" s="124"/>
      <x:c r="E31" s="112"/>
      <x:c r="F31" s="108"/>
      <x:c r="G31" s="124"/>
      <x:c r="H31" s="129" t="str">
        <x:f>IF(G31="","",G31-TODAY())</x:f>
      </x:c>
      <x:c r="I31" s="108"/>
      <x:c r="J31" s="108"/>
      <x:c r="K31" s="108"/>
      <x:c r="L31" s="161"/>
      <x:c r="M31" s="161"/>
      <x:c r="N31" s="161"/>
      <x:c r="O31" s="161"/>
      <x:c r="P31" s="161"/>
      <x:c r="Q31" s="161"/>
      <x:c r="R31" s="161"/>
      <x:c r="S31" s="161"/>
      <x:c r="T31" s="161"/>
      <x:c r="U31" s="161"/>
      <x:c r="V31" s="161"/>
      <x:c r="W31" s="161"/>
      <x:c r="X31" s="161"/>
      <x:c r="Y31" s="161"/>
      <x:c r="Z31" s="161"/>
    </x:row>
    <x:row r="32">
      <x:c r="A32" s="129" t="str">
        <x:f>IF(B32&lt;&gt;"","PROP-"&amp;TEXT(ROW()-5,"000"),"")</x:f>
      </x:c>
      <x:c r="B32" s="108"/>
      <x:c r="C32" s="129" t="str">
        <x:f>IFERROR(VLOOKUP(B32,'06 Oportunidades'!$A$6:$M$200,3,FALSE),"")</x:f>
      </x:c>
      <x:c r="D32" s="124"/>
      <x:c r="E32" s="112"/>
      <x:c r="F32" s="108"/>
      <x:c r="G32" s="124"/>
      <x:c r="H32" s="129" t="str">
        <x:f>IF(G32="","",G32-TODAY())</x:f>
      </x:c>
      <x:c r="I32" s="108"/>
      <x:c r="J32" s="108"/>
      <x:c r="K32" s="108"/>
      <x:c r="L32" s="161"/>
      <x:c r="M32" s="161"/>
      <x:c r="N32" s="161"/>
      <x:c r="O32" s="161"/>
      <x:c r="P32" s="161"/>
      <x:c r="Q32" s="161"/>
      <x:c r="R32" s="161"/>
      <x:c r="S32" s="161"/>
      <x:c r="T32" s="161"/>
      <x:c r="U32" s="161"/>
      <x:c r="V32" s="161"/>
      <x:c r="W32" s="161"/>
      <x:c r="X32" s="161"/>
      <x:c r="Y32" s="161"/>
      <x:c r="Z32" s="161"/>
    </x:row>
    <x:row r="33">
      <x:c r="A33" s="129" t="str">
        <x:f>IF(B33&lt;&gt;"","PROP-"&amp;TEXT(ROW()-5,"000"),"")</x:f>
      </x:c>
      <x:c r="B33" s="108"/>
      <x:c r="C33" s="129" t="str">
        <x:f>IFERROR(VLOOKUP(B33,'06 Oportunidades'!$A$6:$M$200,3,FALSE),"")</x:f>
      </x:c>
      <x:c r="D33" s="124"/>
      <x:c r="E33" s="112"/>
      <x:c r="F33" s="108"/>
      <x:c r="G33" s="124"/>
      <x:c r="H33" s="129" t="str">
        <x:f>IF(G33="","",G33-TODAY())</x:f>
      </x:c>
      <x:c r="I33" s="108"/>
      <x:c r="J33" s="108"/>
      <x:c r="K33" s="108"/>
      <x:c r="L33" s="161"/>
      <x:c r="M33" s="161"/>
      <x:c r="N33" s="161"/>
      <x:c r="O33" s="161"/>
      <x:c r="P33" s="161"/>
      <x:c r="Q33" s="161"/>
      <x:c r="R33" s="161"/>
      <x:c r="S33" s="161"/>
      <x:c r="T33" s="161"/>
      <x:c r="U33" s="161"/>
      <x:c r="V33" s="161"/>
      <x:c r="W33" s="161"/>
      <x:c r="X33" s="161"/>
      <x:c r="Y33" s="161"/>
      <x:c r="Z33" s="161"/>
    </x:row>
    <x:row r="34">
      <x:c r="A34" s="129" t="str">
        <x:f>IF(B34&lt;&gt;"","PROP-"&amp;TEXT(ROW()-5,"000"),"")</x:f>
      </x:c>
      <x:c r="B34" s="108"/>
      <x:c r="C34" s="129" t="str">
        <x:f>IFERROR(VLOOKUP(B34,'06 Oportunidades'!$A$6:$M$200,3,FALSE),"")</x:f>
      </x:c>
      <x:c r="D34" s="124"/>
      <x:c r="E34" s="112"/>
      <x:c r="F34" s="108"/>
      <x:c r="G34" s="124"/>
      <x:c r="H34" s="129" t="str">
        <x:f>IF(G34="","",G34-TODAY())</x:f>
      </x:c>
      <x:c r="I34" s="108"/>
      <x:c r="J34" s="108"/>
      <x:c r="K34" s="108"/>
      <x:c r="L34" s="161"/>
      <x:c r="M34" s="161"/>
      <x:c r="N34" s="161"/>
      <x:c r="O34" s="161"/>
      <x:c r="P34" s="161"/>
      <x:c r="Q34" s="161"/>
      <x:c r="R34" s="161"/>
      <x:c r="S34" s="161"/>
      <x:c r="T34" s="161"/>
      <x:c r="U34" s="161"/>
      <x:c r="V34" s="161"/>
      <x:c r="W34" s="161"/>
      <x:c r="X34" s="161"/>
      <x:c r="Y34" s="161"/>
      <x:c r="Z34" s="161"/>
    </x:row>
    <x:row r="35">
      <x:c r="A35" s="129" t="str">
        <x:f>IF(B35&lt;&gt;"","PROP-"&amp;TEXT(ROW()-5,"000"),"")</x:f>
      </x:c>
      <x:c r="B35" s="108"/>
      <x:c r="C35" s="129" t="str">
        <x:f>IFERROR(VLOOKUP(B35,'06 Oportunidades'!$A$6:$M$200,3,FALSE),"")</x:f>
      </x:c>
      <x:c r="D35" s="124"/>
      <x:c r="E35" s="112"/>
      <x:c r="F35" s="108"/>
      <x:c r="G35" s="124"/>
      <x:c r="H35" s="129" t="str">
        <x:f>IF(G35="","",G35-TODAY())</x:f>
      </x:c>
      <x:c r="I35" s="108"/>
      <x:c r="J35" s="108"/>
      <x:c r="K35" s="108"/>
      <x:c r="L35" s="161"/>
      <x:c r="M35" s="161"/>
      <x:c r="N35" s="161"/>
      <x:c r="O35" s="161"/>
      <x:c r="P35" s="161"/>
      <x:c r="Q35" s="161"/>
      <x:c r="R35" s="161"/>
      <x:c r="S35" s="161"/>
      <x:c r="T35" s="161"/>
      <x:c r="U35" s="161"/>
      <x:c r="V35" s="161"/>
      <x:c r="W35" s="161"/>
      <x:c r="X35" s="161"/>
      <x:c r="Y35" s="161"/>
      <x:c r="Z35" s="161"/>
    </x:row>
    <x:row r="36">
      <x:c r="A36" s="129" t="str">
        <x:f>IF(B36&lt;&gt;"","PROP-"&amp;TEXT(ROW()-5,"000"),"")</x:f>
      </x:c>
      <x:c r="B36" s="108"/>
      <x:c r="C36" s="129" t="str">
        <x:f>IFERROR(VLOOKUP(B36,'06 Oportunidades'!$A$6:$M$200,3,FALSE),"")</x:f>
      </x:c>
      <x:c r="D36" s="124"/>
      <x:c r="E36" s="112"/>
      <x:c r="F36" s="108"/>
      <x:c r="G36" s="124"/>
      <x:c r="H36" s="129" t="str">
        <x:f>IF(G36="","",G36-TODAY())</x:f>
      </x:c>
      <x:c r="I36" s="108"/>
      <x:c r="J36" s="108"/>
      <x:c r="K36" s="108"/>
      <x:c r="L36" s="161"/>
      <x:c r="M36" s="161"/>
      <x:c r="N36" s="161"/>
      <x:c r="O36" s="161"/>
      <x:c r="P36" s="161"/>
      <x:c r="Q36" s="161"/>
      <x:c r="R36" s="161"/>
      <x:c r="S36" s="161"/>
      <x:c r="T36" s="161"/>
      <x:c r="U36" s="161"/>
      <x:c r="V36" s="161"/>
      <x:c r="W36" s="161"/>
      <x:c r="X36" s="161"/>
      <x:c r="Y36" s="161"/>
      <x:c r="Z36" s="161"/>
    </x:row>
    <x:row r="37">
      <x:c r="A37" s="129" t="str">
        <x:f>IF(B37&lt;&gt;"","PROP-"&amp;TEXT(ROW()-5,"000"),"")</x:f>
      </x:c>
      <x:c r="B37" s="108"/>
      <x:c r="C37" s="129" t="str">
        <x:f>IFERROR(VLOOKUP(B37,'06 Oportunidades'!$A$6:$M$200,3,FALSE),"")</x:f>
      </x:c>
      <x:c r="D37" s="124"/>
      <x:c r="E37" s="112"/>
      <x:c r="F37" s="108"/>
      <x:c r="G37" s="124"/>
      <x:c r="H37" s="129" t="str">
        <x:f>IF(G37="","",G37-TODAY())</x:f>
      </x:c>
      <x:c r="I37" s="108"/>
      <x:c r="J37" s="108"/>
      <x:c r="K37" s="108"/>
      <x:c r="L37" s="161"/>
      <x:c r="M37" s="161"/>
      <x:c r="N37" s="161"/>
      <x:c r="O37" s="161"/>
      <x:c r="P37" s="161"/>
      <x:c r="Q37" s="161"/>
      <x:c r="R37" s="161"/>
      <x:c r="S37" s="161"/>
      <x:c r="T37" s="161"/>
      <x:c r="U37" s="161"/>
      <x:c r="V37" s="161"/>
      <x:c r="W37" s="161"/>
      <x:c r="X37" s="161"/>
      <x:c r="Y37" s="161"/>
      <x:c r="Z37" s="161"/>
    </x:row>
    <x:row r="38">
      <x:c r="A38" s="129" t="str">
        <x:f>IF(B38&lt;&gt;"","PROP-"&amp;TEXT(ROW()-5,"000"),"")</x:f>
      </x:c>
      <x:c r="B38" s="108"/>
      <x:c r="C38" s="129" t="str">
        <x:f>IFERROR(VLOOKUP(B38,'06 Oportunidades'!$A$6:$M$200,3,FALSE),"")</x:f>
      </x:c>
      <x:c r="D38" s="124"/>
      <x:c r="E38" s="112"/>
      <x:c r="F38" s="108"/>
      <x:c r="G38" s="124"/>
      <x:c r="H38" s="129" t="str">
        <x:f>IF(G38="","",G38-TODAY())</x:f>
      </x:c>
      <x:c r="I38" s="108"/>
      <x:c r="J38" s="108"/>
      <x:c r="K38" s="108"/>
      <x:c r="L38" s="161"/>
      <x:c r="M38" s="161"/>
      <x:c r="N38" s="161"/>
      <x:c r="O38" s="161"/>
      <x:c r="P38" s="161"/>
      <x:c r="Q38" s="161"/>
      <x:c r="R38" s="161"/>
      <x:c r="S38" s="161"/>
      <x:c r="T38" s="161"/>
      <x:c r="U38" s="161"/>
      <x:c r="V38" s="161"/>
      <x:c r="W38" s="161"/>
      <x:c r="X38" s="161"/>
      <x:c r="Y38" s="161"/>
      <x:c r="Z38" s="161"/>
    </x:row>
    <x:row r="39">
      <x:c r="A39" s="129" t="str">
        <x:f>IF(B39&lt;&gt;"","PROP-"&amp;TEXT(ROW()-5,"000"),"")</x:f>
      </x:c>
      <x:c r="B39" s="108"/>
      <x:c r="C39" s="129" t="str">
        <x:f>IFERROR(VLOOKUP(B39,'06 Oportunidades'!$A$6:$M$200,3,FALSE),"")</x:f>
      </x:c>
      <x:c r="D39" s="124"/>
      <x:c r="E39" s="112"/>
      <x:c r="F39" s="108"/>
      <x:c r="G39" s="124"/>
      <x:c r="H39" s="129" t="str">
        <x:f>IF(G39="","",G39-TODAY())</x:f>
      </x:c>
      <x:c r="I39" s="108"/>
      <x:c r="J39" s="108"/>
      <x:c r="K39" s="108"/>
      <x:c r="L39" s="161"/>
      <x:c r="M39" s="161"/>
      <x:c r="N39" s="161"/>
      <x:c r="O39" s="161"/>
      <x:c r="P39" s="161"/>
      <x:c r="Q39" s="161"/>
      <x:c r="R39" s="161"/>
      <x:c r="S39" s="161"/>
      <x:c r="T39" s="161"/>
      <x:c r="U39" s="161"/>
      <x:c r="V39" s="161"/>
      <x:c r="W39" s="161"/>
      <x:c r="X39" s="161"/>
      <x:c r="Y39" s="161"/>
      <x:c r="Z39" s="161"/>
    </x:row>
    <x:row r="40">
      <x:c r="A40" s="129" t="str">
        <x:f>IF(B40&lt;&gt;"","PROP-"&amp;TEXT(ROW()-5,"000"),"")</x:f>
      </x:c>
      <x:c r="B40" s="108"/>
      <x:c r="C40" s="129" t="str">
        <x:f>IFERROR(VLOOKUP(B40,'06 Oportunidades'!$A$6:$M$200,3,FALSE),"")</x:f>
      </x:c>
      <x:c r="D40" s="124"/>
      <x:c r="E40" s="112"/>
      <x:c r="F40" s="108"/>
      <x:c r="G40" s="124"/>
      <x:c r="H40" s="129" t="str">
        <x:f>IF(G40="","",G40-TODAY())</x:f>
      </x:c>
      <x:c r="I40" s="108"/>
      <x:c r="J40" s="108"/>
      <x:c r="K40" s="108"/>
      <x:c r="L40" s="161"/>
      <x:c r="M40" s="161"/>
      <x:c r="N40" s="161"/>
      <x:c r="O40" s="161"/>
      <x:c r="P40" s="161"/>
      <x:c r="Q40" s="161"/>
      <x:c r="R40" s="161"/>
      <x:c r="S40" s="161"/>
      <x:c r="T40" s="161"/>
      <x:c r="U40" s="161"/>
      <x:c r="V40" s="161"/>
      <x:c r="W40" s="161"/>
      <x:c r="X40" s="161"/>
      <x:c r="Y40" s="161"/>
      <x:c r="Z40" s="161"/>
    </x:row>
    <x:row r="41">
      <x:c r="A41" s="129" t="str">
        <x:f>IF(B41&lt;&gt;"","PROP-"&amp;TEXT(ROW()-5,"000"),"")</x:f>
      </x:c>
      <x:c r="B41" s="108"/>
      <x:c r="C41" s="129" t="str">
        <x:f>IFERROR(VLOOKUP(B41,'06 Oportunidades'!$A$6:$M$200,3,FALSE),"")</x:f>
      </x:c>
      <x:c r="D41" s="124"/>
      <x:c r="E41" s="112"/>
      <x:c r="F41" s="108"/>
      <x:c r="G41" s="124"/>
      <x:c r="H41" s="129" t="str">
        <x:f>IF(G41="","",G41-TODAY())</x:f>
      </x:c>
      <x:c r="I41" s="108"/>
      <x:c r="J41" s="108"/>
      <x:c r="K41" s="108"/>
      <x:c r="L41" s="161"/>
      <x:c r="M41" s="161"/>
      <x:c r="N41" s="161"/>
      <x:c r="O41" s="161"/>
      <x:c r="P41" s="161"/>
      <x:c r="Q41" s="161"/>
      <x:c r="R41" s="161"/>
      <x:c r="S41" s="161"/>
      <x:c r="T41" s="161"/>
      <x:c r="U41" s="161"/>
      <x:c r="V41" s="161"/>
      <x:c r="W41" s="161"/>
      <x:c r="X41" s="161"/>
      <x:c r="Y41" s="161"/>
      <x:c r="Z41" s="161"/>
    </x:row>
    <x:row r="42">
      <x:c r="A42" s="129" t="str">
        <x:f>IF(B42&lt;&gt;"","PROP-"&amp;TEXT(ROW()-5,"000"),"")</x:f>
      </x:c>
      <x:c r="B42" s="108"/>
      <x:c r="C42" s="129" t="str">
        <x:f>IFERROR(VLOOKUP(B42,'06 Oportunidades'!$A$6:$M$200,3,FALSE),"")</x:f>
      </x:c>
      <x:c r="D42" s="124"/>
      <x:c r="E42" s="112"/>
      <x:c r="F42" s="108"/>
      <x:c r="G42" s="124"/>
      <x:c r="H42" s="129" t="str">
        <x:f>IF(G42="","",G42-TODAY())</x:f>
      </x:c>
      <x:c r="I42" s="108"/>
      <x:c r="J42" s="108"/>
      <x:c r="K42" s="108"/>
      <x:c r="L42" s="161"/>
      <x:c r="M42" s="161"/>
      <x:c r="N42" s="161"/>
      <x:c r="O42" s="161"/>
      <x:c r="P42" s="161"/>
      <x:c r="Q42" s="161"/>
      <x:c r="R42" s="161"/>
      <x:c r="S42" s="161"/>
      <x:c r="T42" s="161"/>
      <x:c r="U42" s="161"/>
      <x:c r="V42" s="161"/>
      <x:c r="W42" s="161"/>
      <x:c r="X42" s="161"/>
      <x:c r="Y42" s="161"/>
      <x:c r="Z42" s="161"/>
    </x:row>
    <x:row r="43">
      <x:c r="A43" s="129" t="str">
        <x:f>IF(B43&lt;&gt;"","PROP-"&amp;TEXT(ROW()-5,"000"),"")</x:f>
      </x:c>
      <x:c r="B43" s="108"/>
      <x:c r="C43" s="129" t="str">
        <x:f>IFERROR(VLOOKUP(B43,'06 Oportunidades'!$A$6:$M$200,3,FALSE),"")</x:f>
      </x:c>
      <x:c r="D43" s="124"/>
      <x:c r="E43" s="112"/>
      <x:c r="F43" s="108"/>
      <x:c r="G43" s="124"/>
      <x:c r="H43" s="129" t="str">
        <x:f>IF(G43="","",G43-TODAY())</x:f>
      </x:c>
      <x:c r="I43" s="108"/>
      <x:c r="J43" s="108"/>
      <x:c r="K43" s="108"/>
      <x:c r="L43" s="161"/>
      <x:c r="M43" s="161"/>
      <x:c r="N43" s="161"/>
      <x:c r="O43" s="161"/>
      <x:c r="P43" s="161"/>
      <x:c r="Q43" s="161"/>
      <x:c r="R43" s="161"/>
      <x:c r="S43" s="161"/>
      <x:c r="T43" s="161"/>
      <x:c r="U43" s="161"/>
      <x:c r="V43" s="161"/>
      <x:c r="W43" s="161"/>
      <x:c r="X43" s="161"/>
      <x:c r="Y43" s="161"/>
      <x:c r="Z43" s="161"/>
    </x:row>
    <x:row r="44">
      <x:c r="A44" s="129" t="str">
        <x:f>IF(B44&lt;&gt;"","PROP-"&amp;TEXT(ROW()-5,"000"),"")</x:f>
      </x:c>
      <x:c r="B44" s="108"/>
      <x:c r="C44" s="129" t="str">
        <x:f>IFERROR(VLOOKUP(B44,'06 Oportunidades'!$A$6:$M$200,3,FALSE),"")</x:f>
      </x:c>
      <x:c r="D44" s="124"/>
      <x:c r="E44" s="112"/>
      <x:c r="F44" s="108"/>
      <x:c r="G44" s="124"/>
      <x:c r="H44" s="129" t="str">
        <x:f>IF(G44="","",G44-TODAY())</x:f>
      </x:c>
      <x:c r="I44" s="108"/>
      <x:c r="J44" s="108"/>
      <x:c r="K44" s="108"/>
      <x:c r="L44" s="161"/>
      <x:c r="M44" s="161"/>
      <x:c r="N44" s="161"/>
      <x:c r="O44" s="161"/>
      <x:c r="P44" s="161"/>
      <x:c r="Q44" s="161"/>
      <x:c r="R44" s="161"/>
      <x:c r="S44" s="161"/>
      <x:c r="T44" s="161"/>
      <x:c r="U44" s="161"/>
      <x:c r="V44" s="161"/>
      <x:c r="W44" s="161"/>
      <x:c r="X44" s="161"/>
      <x:c r="Y44" s="161"/>
      <x:c r="Z44" s="161"/>
    </x:row>
    <x:row r="45">
      <x:c r="A45" s="129" t="str">
        <x:f>IF(B45&lt;&gt;"","PROP-"&amp;TEXT(ROW()-5,"000"),"")</x:f>
      </x:c>
      <x:c r="B45" s="108"/>
      <x:c r="C45" s="129" t="str">
        <x:f>IFERROR(VLOOKUP(B45,'06 Oportunidades'!$A$6:$M$200,3,FALSE),"")</x:f>
      </x:c>
      <x:c r="D45" s="124"/>
      <x:c r="E45" s="112"/>
      <x:c r="F45" s="108"/>
      <x:c r="G45" s="124"/>
      <x:c r="H45" s="129" t="str">
        <x:f>IF(G45="","",G45-TODAY())</x:f>
      </x:c>
      <x:c r="I45" s="108"/>
      <x:c r="J45" s="108"/>
      <x:c r="K45" s="108"/>
      <x:c r="L45" s="161"/>
      <x:c r="M45" s="161"/>
      <x:c r="N45" s="161"/>
      <x:c r="O45" s="161"/>
      <x:c r="P45" s="161"/>
      <x:c r="Q45" s="161"/>
      <x:c r="R45" s="161"/>
      <x:c r="S45" s="161"/>
      <x:c r="T45" s="161"/>
      <x:c r="U45" s="161"/>
      <x:c r="V45" s="161"/>
      <x:c r="W45" s="161"/>
      <x:c r="X45" s="161"/>
      <x:c r="Y45" s="161"/>
      <x:c r="Z45" s="161"/>
    </x:row>
    <x:row r="46">
      <x:c r="A46" s="129" t="str">
        <x:f>IF(B46&lt;&gt;"","PROP-"&amp;TEXT(ROW()-5,"000"),"")</x:f>
      </x:c>
      <x:c r="B46" s="108"/>
      <x:c r="C46" s="129" t="str">
        <x:f>IFERROR(VLOOKUP(B46,'06 Oportunidades'!$A$6:$M$200,3,FALSE),"")</x:f>
      </x:c>
      <x:c r="D46" s="124"/>
      <x:c r="E46" s="112"/>
      <x:c r="F46" s="108"/>
      <x:c r="G46" s="124"/>
      <x:c r="H46" s="129" t="str">
        <x:f>IF(G46="","",G46-TODAY())</x:f>
      </x:c>
      <x:c r="I46" s="108"/>
      <x:c r="J46" s="108"/>
      <x:c r="K46" s="108"/>
      <x:c r="L46" s="161"/>
      <x:c r="M46" s="161"/>
      <x:c r="N46" s="161"/>
      <x:c r="O46" s="161"/>
      <x:c r="P46" s="161"/>
      <x:c r="Q46" s="161"/>
      <x:c r="R46" s="161"/>
      <x:c r="S46" s="161"/>
      <x:c r="T46" s="161"/>
      <x:c r="U46" s="161"/>
      <x:c r="V46" s="161"/>
      <x:c r="W46" s="161"/>
      <x:c r="X46" s="161"/>
      <x:c r="Y46" s="161"/>
      <x:c r="Z46" s="161"/>
    </x:row>
    <x:row r="47">
      <x:c r="A47" s="129" t="str">
        <x:f>IF(B47&lt;&gt;"","PROP-"&amp;TEXT(ROW()-5,"000"),"")</x:f>
      </x:c>
      <x:c r="B47" s="108"/>
      <x:c r="C47" s="129" t="str">
        <x:f>IFERROR(VLOOKUP(B47,'06 Oportunidades'!$A$6:$M$200,3,FALSE),"")</x:f>
      </x:c>
      <x:c r="D47" s="124"/>
      <x:c r="E47" s="112"/>
      <x:c r="F47" s="108"/>
      <x:c r="G47" s="124"/>
      <x:c r="H47" s="129" t="str">
        <x:f>IF(G47="","",G47-TODAY())</x:f>
      </x:c>
      <x:c r="I47" s="108"/>
      <x:c r="J47" s="108"/>
      <x:c r="K47" s="108"/>
      <x:c r="L47" s="161"/>
      <x:c r="M47" s="161"/>
      <x:c r="N47" s="161"/>
      <x:c r="O47" s="161"/>
      <x:c r="P47" s="161"/>
      <x:c r="Q47" s="161"/>
      <x:c r="R47" s="161"/>
      <x:c r="S47" s="161"/>
      <x:c r="T47" s="161"/>
      <x:c r="U47" s="161"/>
      <x:c r="V47" s="161"/>
      <x:c r="W47" s="161"/>
      <x:c r="X47" s="161"/>
      <x:c r="Y47" s="161"/>
      <x:c r="Z47" s="161"/>
    </x:row>
    <x:row r="48">
      <x:c r="A48" s="129" t="str">
        <x:f>IF(B48&lt;&gt;"","PROP-"&amp;TEXT(ROW()-5,"000"),"")</x:f>
      </x:c>
      <x:c r="B48" s="108"/>
      <x:c r="C48" s="129" t="str">
        <x:f>IFERROR(VLOOKUP(B48,'06 Oportunidades'!$A$6:$M$200,3,FALSE),"")</x:f>
      </x:c>
      <x:c r="D48" s="124"/>
      <x:c r="E48" s="112"/>
      <x:c r="F48" s="108"/>
      <x:c r="G48" s="124"/>
      <x:c r="H48" s="129" t="str">
        <x:f>IF(G48="","",G48-TODAY())</x:f>
      </x:c>
      <x:c r="I48" s="108"/>
      <x:c r="J48" s="108"/>
      <x:c r="K48" s="108"/>
      <x:c r="L48" s="161"/>
      <x:c r="M48" s="161"/>
      <x:c r="N48" s="161"/>
      <x:c r="O48" s="161"/>
      <x:c r="P48" s="161"/>
      <x:c r="Q48" s="161"/>
      <x:c r="R48" s="161"/>
      <x:c r="S48" s="161"/>
      <x:c r="T48" s="161"/>
      <x:c r="U48" s="161"/>
      <x:c r="V48" s="161"/>
      <x:c r="W48" s="161"/>
      <x:c r="X48" s="161"/>
      <x:c r="Y48" s="161"/>
      <x:c r="Z48" s="161"/>
    </x:row>
    <x:row r="49">
      <x:c r="A49" s="129" t="str">
        <x:f>IF(B49&lt;&gt;"","PROP-"&amp;TEXT(ROW()-5,"000"),"")</x:f>
      </x:c>
      <x:c r="B49" s="108"/>
      <x:c r="C49" s="129" t="str">
        <x:f>IFERROR(VLOOKUP(B49,'06 Oportunidades'!$A$6:$M$200,3,FALSE),"")</x:f>
      </x:c>
      <x:c r="D49" s="124"/>
      <x:c r="E49" s="112"/>
      <x:c r="F49" s="108"/>
      <x:c r="G49" s="124"/>
      <x:c r="H49" s="129" t="str">
        <x:f>IF(G49="","",G49-TODAY())</x:f>
      </x:c>
      <x:c r="I49" s="108"/>
      <x:c r="J49" s="108"/>
      <x:c r="K49" s="108"/>
      <x:c r="L49" s="161"/>
      <x:c r="M49" s="161"/>
      <x:c r="N49" s="161"/>
      <x:c r="O49" s="161"/>
      <x:c r="P49" s="161"/>
      <x:c r="Q49" s="161"/>
      <x:c r="R49" s="161"/>
      <x:c r="S49" s="161"/>
      <x:c r="T49" s="161"/>
      <x:c r="U49" s="161"/>
      <x:c r="V49" s="161"/>
      <x:c r="W49" s="161"/>
      <x:c r="X49" s="161"/>
      <x:c r="Y49" s="161"/>
      <x:c r="Z49" s="161"/>
    </x:row>
    <x:row r="50">
      <x:c r="A50" s="129" t="str">
        <x:f>IF(B50&lt;&gt;"","PROP-"&amp;TEXT(ROW()-5,"000"),"")</x:f>
      </x:c>
      <x:c r="B50" s="108"/>
      <x:c r="C50" s="129" t="str">
        <x:f>IFERROR(VLOOKUP(B50,'06 Oportunidades'!$A$6:$M$200,3,FALSE),"")</x:f>
      </x:c>
      <x:c r="D50" s="124"/>
      <x:c r="E50" s="112"/>
      <x:c r="F50" s="108"/>
      <x:c r="G50" s="124"/>
      <x:c r="H50" s="129" t="str">
        <x:f>IF(G50="","",G50-TODAY())</x:f>
      </x:c>
      <x:c r="I50" s="108"/>
      <x:c r="J50" s="108"/>
      <x:c r="K50" s="108"/>
      <x:c r="L50" s="161"/>
      <x:c r="M50" s="161"/>
      <x:c r="N50" s="161"/>
      <x:c r="O50" s="161"/>
      <x:c r="P50" s="161"/>
      <x:c r="Q50" s="161"/>
      <x:c r="R50" s="161"/>
      <x:c r="S50" s="161"/>
      <x:c r="T50" s="161"/>
      <x:c r="U50" s="161"/>
      <x:c r="V50" s="161"/>
      <x:c r="W50" s="161"/>
      <x:c r="X50" s="161"/>
      <x:c r="Y50" s="161"/>
      <x:c r="Z50" s="161"/>
    </x:row>
    <x:row r="51">
      <x:c r="A51" s="129" t="str">
        <x:f>IF(B51&lt;&gt;"","PROP-"&amp;TEXT(ROW()-5,"000"),"")</x:f>
      </x:c>
      <x:c r="B51" s="108"/>
      <x:c r="C51" s="129" t="str">
        <x:f>IFERROR(VLOOKUP(B51,'06 Oportunidades'!$A$6:$M$200,3,FALSE),"")</x:f>
      </x:c>
      <x:c r="D51" s="124"/>
      <x:c r="E51" s="112"/>
      <x:c r="F51" s="108"/>
      <x:c r="G51" s="124"/>
      <x:c r="H51" s="129" t="str">
        <x:f>IF(G51="","",G51-TODAY())</x:f>
      </x:c>
      <x:c r="I51" s="108"/>
      <x:c r="J51" s="108"/>
      <x:c r="K51" s="108"/>
      <x:c r="L51" s="161"/>
      <x:c r="M51" s="161"/>
      <x:c r="N51" s="161"/>
      <x:c r="O51" s="161"/>
      <x:c r="P51" s="161"/>
      <x:c r="Q51" s="161"/>
      <x:c r="R51" s="161"/>
      <x:c r="S51" s="161"/>
      <x:c r="T51" s="161"/>
      <x:c r="U51" s="161"/>
      <x:c r="V51" s="161"/>
      <x:c r="W51" s="161"/>
      <x:c r="X51" s="161"/>
      <x:c r="Y51" s="161"/>
      <x:c r="Z51" s="161"/>
    </x:row>
    <x:row r="52">
      <x:c r="A52" s="129" t="str">
        <x:f>IF(B52&lt;&gt;"","PROP-"&amp;TEXT(ROW()-5,"000"),"")</x:f>
      </x:c>
      <x:c r="B52" s="108"/>
      <x:c r="C52" s="129" t="str">
        <x:f>IFERROR(VLOOKUP(B52,'06 Oportunidades'!$A$6:$M$200,3,FALSE),"")</x:f>
      </x:c>
      <x:c r="D52" s="124"/>
      <x:c r="E52" s="112"/>
      <x:c r="F52" s="108"/>
      <x:c r="G52" s="124"/>
      <x:c r="H52" s="129" t="str">
        <x:f>IF(G52="","",G52-TODAY())</x:f>
      </x:c>
      <x:c r="I52" s="108"/>
      <x:c r="J52" s="108"/>
      <x:c r="K52" s="108"/>
      <x:c r="L52" s="161"/>
      <x:c r="M52" s="161"/>
      <x:c r="N52" s="161"/>
      <x:c r="O52" s="161"/>
      <x:c r="P52" s="161"/>
      <x:c r="Q52" s="161"/>
      <x:c r="R52" s="161"/>
      <x:c r="S52" s="161"/>
      <x:c r="T52" s="161"/>
      <x:c r="U52" s="161"/>
      <x:c r="V52" s="161"/>
      <x:c r="W52" s="161"/>
      <x:c r="X52" s="161"/>
      <x:c r="Y52" s="161"/>
      <x:c r="Z52" s="161"/>
    </x:row>
    <x:row r="53">
      <x:c r="A53" s="129" t="str">
        <x:f>IF(B53&lt;&gt;"","PROP-"&amp;TEXT(ROW()-5,"000"),"")</x:f>
      </x:c>
      <x:c r="B53" s="108"/>
      <x:c r="C53" s="129" t="str">
        <x:f>IFERROR(VLOOKUP(B53,'06 Oportunidades'!$A$6:$M$200,3,FALSE),"")</x:f>
      </x:c>
      <x:c r="D53" s="124"/>
      <x:c r="E53" s="112"/>
      <x:c r="F53" s="108"/>
      <x:c r="G53" s="124"/>
      <x:c r="H53" s="129" t="str">
        <x:f>IF(G53="","",G53-TODAY())</x:f>
      </x:c>
      <x:c r="I53" s="108"/>
      <x:c r="J53" s="108"/>
      <x:c r="K53" s="108"/>
      <x:c r="L53" s="161"/>
      <x:c r="M53" s="161"/>
      <x:c r="N53" s="161"/>
      <x:c r="O53" s="161"/>
      <x:c r="P53" s="161"/>
      <x:c r="Q53" s="161"/>
      <x:c r="R53" s="161"/>
      <x:c r="S53" s="161"/>
      <x:c r="T53" s="161"/>
      <x:c r="U53" s="161"/>
      <x:c r="V53" s="161"/>
      <x:c r="W53" s="161"/>
      <x:c r="X53" s="161"/>
      <x:c r="Y53" s="161"/>
      <x:c r="Z53" s="161"/>
    </x:row>
    <x:row r="54">
      <x:c r="A54" s="129" t="str">
        <x:f>IF(B54&lt;&gt;"","PROP-"&amp;TEXT(ROW()-5,"000"),"")</x:f>
      </x:c>
      <x:c r="B54" s="108"/>
      <x:c r="C54" s="129" t="str">
        <x:f>IFERROR(VLOOKUP(B54,'06 Oportunidades'!$A$6:$M$200,3,FALSE),"")</x:f>
      </x:c>
      <x:c r="D54" s="124"/>
      <x:c r="E54" s="112"/>
      <x:c r="F54" s="108"/>
      <x:c r="G54" s="124"/>
      <x:c r="H54" s="129" t="str">
        <x:f>IF(G54="","",G54-TODAY())</x:f>
      </x:c>
      <x:c r="I54" s="108"/>
      <x:c r="J54" s="108"/>
      <x:c r="K54" s="108"/>
      <x:c r="L54" s="161"/>
      <x:c r="M54" s="161"/>
      <x:c r="N54" s="161"/>
      <x:c r="O54" s="161"/>
      <x:c r="P54" s="161"/>
      <x:c r="Q54" s="161"/>
      <x:c r="R54" s="161"/>
      <x:c r="S54" s="161"/>
      <x:c r="T54" s="161"/>
      <x:c r="U54" s="161"/>
      <x:c r="V54" s="161"/>
      <x:c r="W54" s="161"/>
      <x:c r="X54" s="161"/>
      <x:c r="Y54" s="161"/>
      <x:c r="Z54" s="161"/>
    </x:row>
    <x:row r="55">
      <x:c r="A55" s="129" t="str">
        <x:f>IF(B55&lt;&gt;"","PROP-"&amp;TEXT(ROW()-5,"000"),"")</x:f>
      </x:c>
      <x:c r="B55" s="108"/>
      <x:c r="C55" s="129" t="str">
        <x:f>IFERROR(VLOOKUP(B55,'06 Oportunidades'!$A$6:$M$200,3,FALSE),"")</x:f>
      </x:c>
      <x:c r="D55" s="124"/>
      <x:c r="E55" s="112"/>
      <x:c r="F55" s="108"/>
      <x:c r="G55" s="124"/>
      <x:c r="H55" s="129" t="str">
        <x:f>IF(G55="","",G55-TODAY())</x:f>
      </x:c>
      <x:c r="I55" s="108"/>
      <x:c r="J55" s="108"/>
      <x:c r="K55" s="108"/>
      <x:c r="L55" s="161"/>
      <x:c r="M55" s="161"/>
      <x:c r="N55" s="161"/>
      <x:c r="O55" s="161"/>
      <x:c r="P55" s="161"/>
      <x:c r="Q55" s="161"/>
      <x:c r="R55" s="161"/>
      <x:c r="S55" s="161"/>
      <x:c r="T55" s="161"/>
      <x:c r="U55" s="161"/>
      <x:c r="V55" s="161"/>
      <x:c r="W55" s="161"/>
      <x:c r="X55" s="161"/>
      <x:c r="Y55" s="161"/>
      <x:c r="Z55" s="161"/>
    </x:row>
    <x:row r="56">
      <x:c r="A56" s="129" t="str">
        <x:f>IF(B56&lt;&gt;"","PROP-"&amp;TEXT(ROW()-5,"000"),"")</x:f>
      </x:c>
      <x:c r="B56" s="108"/>
      <x:c r="C56" s="129" t="str">
        <x:f>IFERROR(VLOOKUP(B56,'06 Oportunidades'!$A$6:$M$200,3,FALSE),"")</x:f>
      </x:c>
      <x:c r="D56" s="124"/>
      <x:c r="E56" s="112"/>
      <x:c r="F56" s="108"/>
      <x:c r="G56" s="124"/>
      <x:c r="H56" s="129" t="str">
        <x:f>IF(G56="","",G56-TODAY())</x:f>
      </x:c>
      <x:c r="I56" s="108"/>
      <x:c r="J56" s="108"/>
      <x:c r="K56" s="108"/>
      <x:c r="L56" s="161"/>
      <x:c r="M56" s="161"/>
      <x:c r="N56" s="161"/>
      <x:c r="O56" s="161"/>
      <x:c r="P56" s="161"/>
      <x:c r="Q56" s="161"/>
      <x:c r="R56" s="161"/>
      <x:c r="S56" s="161"/>
      <x:c r="T56" s="161"/>
      <x:c r="U56" s="161"/>
      <x:c r="V56" s="161"/>
      <x:c r="W56" s="161"/>
      <x:c r="X56" s="161"/>
      <x:c r="Y56" s="161"/>
      <x:c r="Z56" s="161"/>
    </x:row>
    <x:row r="57">
      <x:c r="A57" s="129" t="str">
        <x:f>IF(B57&lt;&gt;"","PROP-"&amp;TEXT(ROW()-5,"000"),"")</x:f>
      </x:c>
      <x:c r="B57" s="108"/>
      <x:c r="C57" s="129" t="str">
        <x:f>IFERROR(VLOOKUP(B57,'06 Oportunidades'!$A$6:$M$200,3,FALSE),"")</x:f>
      </x:c>
      <x:c r="D57" s="124"/>
      <x:c r="E57" s="112"/>
      <x:c r="F57" s="108"/>
      <x:c r="G57" s="124"/>
      <x:c r="H57" s="129" t="str">
        <x:f>IF(G57="","",G57-TODAY())</x:f>
      </x:c>
      <x:c r="I57" s="108"/>
      <x:c r="J57" s="108"/>
      <x:c r="K57" s="108"/>
      <x:c r="L57" s="161"/>
      <x:c r="M57" s="161"/>
      <x:c r="N57" s="161"/>
      <x:c r="O57" s="161"/>
      <x:c r="P57" s="161"/>
      <x:c r="Q57" s="161"/>
      <x:c r="R57" s="161"/>
      <x:c r="S57" s="161"/>
      <x:c r="T57" s="161"/>
      <x:c r="U57" s="161"/>
      <x:c r="V57" s="161"/>
      <x:c r="W57" s="161"/>
      <x:c r="X57" s="161"/>
      <x:c r="Y57" s="161"/>
      <x:c r="Z57" s="161"/>
    </x:row>
    <x:row r="58">
      <x:c r="A58" s="129" t="str">
        <x:f>IF(B58&lt;&gt;"","PROP-"&amp;TEXT(ROW()-5,"000"),"")</x:f>
      </x:c>
      <x:c r="B58" s="108"/>
      <x:c r="C58" s="129" t="str">
        <x:f>IFERROR(VLOOKUP(B58,'06 Oportunidades'!$A$6:$M$200,3,FALSE),"")</x:f>
      </x:c>
      <x:c r="D58" s="124"/>
      <x:c r="E58" s="112"/>
      <x:c r="F58" s="108"/>
      <x:c r="G58" s="124"/>
      <x:c r="H58" s="129" t="str">
        <x:f>IF(G58="","",G58-TODAY())</x:f>
      </x:c>
      <x:c r="I58" s="108"/>
      <x:c r="J58" s="108"/>
      <x:c r="K58" s="108"/>
      <x:c r="L58" s="161"/>
      <x:c r="M58" s="161"/>
      <x:c r="N58" s="161"/>
      <x:c r="O58" s="161"/>
      <x:c r="P58" s="161"/>
      <x:c r="Q58" s="161"/>
      <x:c r="R58" s="161"/>
      <x:c r="S58" s="161"/>
      <x:c r="T58" s="161"/>
      <x:c r="U58" s="161"/>
      <x:c r="V58" s="161"/>
      <x:c r="W58" s="161"/>
      <x:c r="X58" s="161"/>
      <x:c r="Y58" s="161"/>
      <x:c r="Z58" s="161"/>
    </x:row>
    <x:row r="59">
      <x:c r="A59" s="129" t="str">
        <x:f>IF(B59&lt;&gt;"","PROP-"&amp;TEXT(ROW()-5,"000"),"")</x:f>
      </x:c>
      <x:c r="B59" s="108"/>
      <x:c r="C59" s="129" t="str">
        <x:f>IFERROR(VLOOKUP(B59,'06 Oportunidades'!$A$6:$M$200,3,FALSE),"")</x:f>
      </x:c>
      <x:c r="D59" s="124"/>
      <x:c r="E59" s="112"/>
      <x:c r="F59" s="108"/>
      <x:c r="G59" s="124"/>
      <x:c r="H59" s="129" t="str">
        <x:f>IF(G59="","",G59-TODAY())</x:f>
      </x:c>
      <x:c r="I59" s="108"/>
      <x:c r="J59" s="108"/>
      <x:c r="K59" s="108"/>
      <x:c r="L59" s="161"/>
      <x:c r="M59" s="161"/>
      <x:c r="N59" s="161"/>
      <x:c r="O59" s="161"/>
      <x:c r="P59" s="161"/>
      <x:c r="Q59" s="161"/>
      <x:c r="R59" s="161"/>
      <x:c r="S59" s="161"/>
      <x:c r="T59" s="161"/>
      <x:c r="U59" s="161"/>
      <x:c r="V59" s="161"/>
      <x:c r="W59" s="161"/>
      <x:c r="X59" s="161"/>
      <x:c r="Y59" s="161"/>
      <x:c r="Z59" s="161"/>
    </x:row>
    <x:row r="60">
      <x:c r="A60" s="129" t="str">
        <x:f>IF(B60&lt;&gt;"","PROP-"&amp;TEXT(ROW()-5,"000"),"")</x:f>
      </x:c>
      <x:c r="B60" s="108"/>
      <x:c r="C60" s="129" t="str">
        <x:f>IFERROR(VLOOKUP(B60,'06 Oportunidades'!$A$6:$M$200,3,FALSE),"")</x:f>
      </x:c>
      <x:c r="D60" s="124"/>
      <x:c r="E60" s="112"/>
      <x:c r="F60" s="108"/>
      <x:c r="G60" s="124"/>
      <x:c r="H60" s="129" t="str">
        <x:f>IF(G60="","",G60-TODAY())</x:f>
      </x:c>
      <x:c r="I60" s="108"/>
      <x:c r="J60" s="108"/>
      <x:c r="K60" s="108"/>
      <x:c r="L60" s="161"/>
      <x:c r="M60" s="161"/>
      <x:c r="N60" s="161"/>
      <x:c r="O60" s="161"/>
      <x:c r="P60" s="161"/>
      <x:c r="Q60" s="161"/>
      <x:c r="R60" s="161"/>
      <x:c r="S60" s="161"/>
      <x:c r="T60" s="161"/>
      <x:c r="U60" s="161"/>
      <x:c r="V60" s="161"/>
      <x:c r="W60" s="161"/>
      <x:c r="X60" s="161"/>
      <x:c r="Y60" s="161"/>
      <x:c r="Z60" s="161"/>
    </x:row>
    <x:row r="61">
      <x:c r="A61" s="129" t="str">
        <x:f>IF(B61&lt;&gt;"","PROP-"&amp;TEXT(ROW()-5,"000"),"")</x:f>
      </x:c>
      <x:c r="B61" s="108"/>
      <x:c r="C61" s="129" t="str">
        <x:f>IFERROR(VLOOKUP(B61,'06 Oportunidades'!$A$6:$M$200,3,FALSE),"")</x:f>
      </x:c>
      <x:c r="D61" s="124"/>
      <x:c r="E61" s="112"/>
      <x:c r="F61" s="108"/>
      <x:c r="G61" s="124"/>
      <x:c r="H61" s="129" t="str">
        <x:f>IF(G61="","",G61-TODAY())</x:f>
      </x:c>
      <x:c r="I61" s="108"/>
      <x:c r="J61" s="108"/>
      <x:c r="K61" s="108"/>
      <x:c r="L61" s="161"/>
      <x:c r="M61" s="161"/>
      <x:c r="N61" s="161"/>
      <x:c r="O61" s="161"/>
      <x:c r="P61" s="161"/>
      <x:c r="Q61" s="161"/>
      <x:c r="R61" s="161"/>
      <x:c r="S61" s="161"/>
      <x:c r="T61" s="161"/>
      <x:c r="U61" s="161"/>
      <x:c r="V61" s="161"/>
      <x:c r="W61" s="161"/>
      <x:c r="X61" s="161"/>
      <x:c r="Y61" s="161"/>
      <x:c r="Z61" s="161"/>
    </x:row>
    <x:row r="62">
      <x:c r="A62" s="129" t="str">
        <x:f>IF(B62&lt;&gt;"","PROP-"&amp;TEXT(ROW()-5,"000"),"")</x:f>
      </x:c>
      <x:c r="B62" s="108"/>
      <x:c r="C62" s="129" t="str">
        <x:f>IFERROR(VLOOKUP(B62,'06 Oportunidades'!$A$6:$M$200,3,FALSE),"")</x:f>
      </x:c>
      <x:c r="D62" s="124"/>
      <x:c r="E62" s="112"/>
      <x:c r="F62" s="108"/>
      <x:c r="G62" s="124"/>
      <x:c r="H62" s="129" t="str">
        <x:f>IF(G62="","",G62-TODAY())</x:f>
      </x:c>
      <x:c r="I62" s="108"/>
      <x:c r="J62" s="108"/>
      <x:c r="K62" s="108"/>
      <x:c r="L62" s="161"/>
      <x:c r="M62" s="161"/>
      <x:c r="N62" s="161"/>
      <x:c r="O62" s="161"/>
      <x:c r="P62" s="161"/>
      <x:c r="Q62" s="161"/>
      <x:c r="R62" s="161"/>
      <x:c r="S62" s="161"/>
      <x:c r="T62" s="161"/>
      <x:c r="U62" s="161"/>
      <x:c r="V62" s="161"/>
      <x:c r="W62" s="161"/>
      <x:c r="X62" s="161"/>
      <x:c r="Y62" s="161"/>
      <x:c r="Z62" s="161"/>
    </x:row>
    <x:row r="63">
      <x:c r="A63" s="129" t="str">
        <x:f>IF(B63&lt;&gt;"","PROP-"&amp;TEXT(ROW()-5,"000"),"")</x:f>
      </x:c>
      <x:c r="B63" s="108"/>
      <x:c r="C63" s="129" t="str">
        <x:f>IFERROR(VLOOKUP(B63,'06 Oportunidades'!$A$6:$M$200,3,FALSE),"")</x:f>
      </x:c>
      <x:c r="D63" s="124"/>
      <x:c r="E63" s="112"/>
      <x:c r="F63" s="108"/>
      <x:c r="G63" s="124"/>
      <x:c r="H63" s="129" t="str">
        <x:f>IF(G63="","",G63-TODAY())</x:f>
      </x:c>
      <x:c r="I63" s="108"/>
      <x:c r="J63" s="108"/>
      <x:c r="K63" s="108"/>
      <x:c r="L63" s="161"/>
      <x:c r="M63" s="161"/>
      <x:c r="N63" s="161"/>
      <x:c r="O63" s="161"/>
      <x:c r="P63" s="161"/>
      <x:c r="Q63" s="161"/>
      <x:c r="R63" s="161"/>
      <x:c r="S63" s="161"/>
      <x:c r="T63" s="161"/>
      <x:c r="U63" s="161"/>
      <x:c r="V63" s="161"/>
      <x:c r="W63" s="161"/>
      <x:c r="X63" s="161"/>
      <x:c r="Y63" s="161"/>
      <x:c r="Z63" s="161"/>
    </x:row>
    <x:row r="64">
      <x:c r="A64" s="129" t="str">
        <x:f>IF(B64&lt;&gt;"","PROP-"&amp;TEXT(ROW()-5,"000"),"")</x:f>
      </x:c>
      <x:c r="B64" s="108"/>
      <x:c r="C64" s="129" t="str">
        <x:f>IFERROR(VLOOKUP(B64,'06 Oportunidades'!$A$6:$M$200,3,FALSE),"")</x:f>
      </x:c>
      <x:c r="D64" s="124"/>
      <x:c r="E64" s="112"/>
      <x:c r="F64" s="108"/>
      <x:c r="G64" s="124"/>
      <x:c r="H64" s="129" t="str">
        <x:f>IF(G64="","",G64-TODAY())</x:f>
      </x:c>
      <x:c r="I64" s="108"/>
      <x:c r="J64" s="108"/>
      <x:c r="K64" s="108"/>
      <x:c r="L64" s="161"/>
      <x:c r="M64" s="161"/>
      <x:c r="N64" s="161"/>
      <x:c r="O64" s="161"/>
      <x:c r="P64" s="161"/>
      <x:c r="Q64" s="161"/>
      <x:c r="R64" s="161"/>
      <x:c r="S64" s="161"/>
      <x:c r="T64" s="161"/>
      <x:c r="U64" s="161"/>
      <x:c r="V64" s="161"/>
      <x:c r="W64" s="161"/>
      <x:c r="X64" s="161"/>
      <x:c r="Y64" s="161"/>
      <x:c r="Z64" s="161"/>
    </x:row>
    <x:row r="65">
      <x:c r="A65" s="129" t="str">
        <x:f>IF(B65&lt;&gt;"","PROP-"&amp;TEXT(ROW()-5,"000"),"")</x:f>
      </x:c>
      <x:c r="B65" s="108"/>
      <x:c r="C65" s="129" t="str">
        <x:f>IFERROR(VLOOKUP(B65,'06 Oportunidades'!$A$6:$M$200,3,FALSE),"")</x:f>
      </x:c>
      <x:c r="D65" s="124"/>
      <x:c r="E65" s="112"/>
      <x:c r="F65" s="108"/>
      <x:c r="G65" s="124"/>
      <x:c r="H65" s="129" t="str">
        <x:f>IF(G65="","",G65-TODAY())</x:f>
      </x:c>
      <x:c r="I65" s="108"/>
      <x:c r="J65" s="108"/>
      <x:c r="K65" s="108"/>
      <x:c r="L65" s="161"/>
      <x:c r="M65" s="161"/>
      <x:c r="N65" s="161"/>
      <x:c r="O65" s="161"/>
      <x:c r="P65" s="161"/>
      <x:c r="Q65" s="161"/>
      <x:c r="R65" s="161"/>
      <x:c r="S65" s="161"/>
      <x:c r="T65" s="161"/>
      <x:c r="U65" s="161"/>
      <x:c r="V65" s="161"/>
      <x:c r="W65" s="161"/>
      <x:c r="X65" s="161"/>
      <x:c r="Y65" s="161"/>
      <x:c r="Z65" s="161"/>
    </x:row>
    <x:row r="66">
      <x:c r="A66" s="129" t="str">
        <x:f>IF(B66&lt;&gt;"","PROP-"&amp;TEXT(ROW()-5,"000"),"")</x:f>
      </x:c>
      <x:c r="B66" s="108"/>
      <x:c r="C66" s="129" t="str">
        <x:f>IFERROR(VLOOKUP(B66,'06 Oportunidades'!$A$6:$M$200,3,FALSE),"")</x:f>
      </x:c>
      <x:c r="D66" s="124"/>
      <x:c r="E66" s="112"/>
      <x:c r="F66" s="108"/>
      <x:c r="G66" s="124"/>
      <x:c r="H66" s="129" t="str">
        <x:f>IF(G66="","",G66-TODAY())</x:f>
      </x:c>
      <x:c r="I66" s="108"/>
      <x:c r="J66" s="108"/>
      <x:c r="K66" s="108"/>
      <x:c r="L66" s="161"/>
      <x:c r="M66" s="161"/>
      <x:c r="N66" s="161"/>
      <x:c r="O66" s="161"/>
      <x:c r="P66" s="161"/>
      <x:c r="Q66" s="161"/>
      <x:c r="R66" s="161"/>
      <x:c r="S66" s="161"/>
      <x:c r="T66" s="161"/>
      <x:c r="U66" s="161"/>
      <x:c r="V66" s="161"/>
      <x:c r="W66" s="161"/>
      <x:c r="X66" s="161"/>
      <x:c r="Y66" s="161"/>
      <x:c r="Z66" s="161"/>
    </x:row>
    <x:row r="67">
      <x:c r="A67" s="129" t="str">
        <x:f>IF(B67&lt;&gt;"","PROP-"&amp;TEXT(ROW()-5,"000"),"")</x:f>
      </x:c>
      <x:c r="B67" s="108"/>
      <x:c r="C67" s="129" t="str">
        <x:f>IFERROR(VLOOKUP(B67,'06 Oportunidades'!$A$6:$M$200,3,FALSE),"")</x:f>
      </x:c>
      <x:c r="D67" s="124"/>
      <x:c r="E67" s="112"/>
      <x:c r="F67" s="108"/>
      <x:c r="G67" s="124"/>
      <x:c r="H67" s="129" t="str">
        <x:f>IF(G67="","",G67-TODAY())</x:f>
      </x:c>
      <x:c r="I67" s="108"/>
      <x:c r="J67" s="108"/>
      <x:c r="K67" s="108"/>
      <x:c r="L67" s="161"/>
      <x:c r="M67" s="161"/>
      <x:c r="N67" s="161"/>
      <x:c r="O67" s="161"/>
      <x:c r="P67" s="161"/>
      <x:c r="Q67" s="161"/>
      <x:c r="R67" s="161"/>
      <x:c r="S67" s="161"/>
      <x:c r="T67" s="161"/>
      <x:c r="U67" s="161"/>
      <x:c r="V67" s="161"/>
      <x:c r="W67" s="161"/>
      <x:c r="X67" s="161"/>
      <x:c r="Y67" s="161"/>
      <x:c r="Z67" s="161"/>
    </x:row>
    <x:row r="68">
      <x:c r="A68" s="129" t="str">
        <x:f>IF(B68&lt;&gt;"","PROP-"&amp;TEXT(ROW()-5,"000"),"")</x:f>
      </x:c>
      <x:c r="B68" s="108"/>
      <x:c r="C68" s="129" t="str">
        <x:f>IFERROR(VLOOKUP(B68,'06 Oportunidades'!$A$6:$M$200,3,FALSE),"")</x:f>
      </x:c>
      <x:c r="D68" s="124"/>
      <x:c r="E68" s="112"/>
      <x:c r="F68" s="108"/>
      <x:c r="G68" s="124"/>
      <x:c r="H68" s="129" t="str">
        <x:f>IF(G68="","",G68-TODAY())</x:f>
      </x:c>
      <x:c r="I68" s="108"/>
      <x:c r="J68" s="108"/>
      <x:c r="K68" s="108"/>
      <x:c r="L68" s="161"/>
      <x:c r="M68" s="161"/>
      <x:c r="N68" s="161"/>
      <x:c r="O68" s="161"/>
      <x:c r="P68" s="161"/>
      <x:c r="Q68" s="161"/>
      <x:c r="R68" s="161"/>
      <x:c r="S68" s="161"/>
      <x:c r="T68" s="161"/>
      <x:c r="U68" s="161"/>
      <x:c r="V68" s="161"/>
      <x:c r="W68" s="161"/>
      <x:c r="X68" s="161"/>
      <x:c r="Y68" s="161"/>
      <x:c r="Z68" s="161"/>
    </x:row>
    <x:row r="69">
      <x:c r="A69" s="129" t="str">
        <x:f>IF(B69&lt;&gt;"","PROP-"&amp;TEXT(ROW()-5,"000"),"")</x:f>
      </x:c>
      <x:c r="B69" s="108"/>
      <x:c r="C69" s="129" t="str">
        <x:f>IFERROR(VLOOKUP(B69,'06 Oportunidades'!$A$6:$M$200,3,FALSE),"")</x:f>
      </x:c>
      <x:c r="D69" s="124"/>
      <x:c r="E69" s="112"/>
      <x:c r="F69" s="108"/>
      <x:c r="G69" s="124"/>
      <x:c r="H69" s="129" t="str">
        <x:f>IF(G69="","",G69-TODAY())</x:f>
      </x:c>
      <x:c r="I69" s="108"/>
      <x:c r="J69" s="108"/>
      <x:c r="K69" s="108"/>
      <x:c r="L69" s="161"/>
      <x:c r="M69" s="161"/>
      <x:c r="N69" s="161"/>
      <x:c r="O69" s="161"/>
      <x:c r="P69" s="161"/>
      <x:c r="Q69" s="161"/>
      <x:c r="R69" s="161"/>
      <x:c r="S69" s="161"/>
      <x:c r="T69" s="161"/>
      <x:c r="U69" s="161"/>
      <x:c r="V69" s="161"/>
      <x:c r="W69" s="161"/>
      <x:c r="X69" s="161"/>
      <x:c r="Y69" s="161"/>
      <x:c r="Z69" s="161"/>
    </x:row>
    <x:row r="70">
      <x:c r="A70" s="129" t="str">
        <x:f>IF(B70&lt;&gt;"","PROP-"&amp;TEXT(ROW()-5,"000"),"")</x:f>
      </x:c>
      <x:c r="B70" s="108"/>
      <x:c r="C70" s="129" t="str">
        <x:f>IFERROR(VLOOKUP(B70,'06 Oportunidades'!$A$6:$M$200,3,FALSE),"")</x:f>
      </x:c>
      <x:c r="D70" s="124"/>
      <x:c r="E70" s="112"/>
      <x:c r="F70" s="108"/>
      <x:c r="G70" s="124"/>
      <x:c r="H70" s="129" t="str">
        <x:f>IF(G70="","",G70-TODAY())</x:f>
      </x:c>
      <x:c r="I70" s="108"/>
      <x:c r="J70" s="108"/>
      <x:c r="K70" s="108"/>
      <x:c r="L70" s="161"/>
      <x:c r="M70" s="161"/>
      <x:c r="N70" s="161"/>
      <x:c r="O70" s="161"/>
      <x:c r="P70" s="161"/>
      <x:c r="Q70" s="161"/>
      <x:c r="R70" s="161"/>
      <x:c r="S70" s="161"/>
      <x:c r="T70" s="161"/>
      <x:c r="U70" s="161"/>
      <x:c r="V70" s="161"/>
      <x:c r="W70" s="161"/>
      <x:c r="X70" s="161"/>
      <x:c r="Y70" s="161"/>
      <x:c r="Z70" s="161"/>
    </x:row>
    <x:row r="71">
      <x:c r="A71" s="129" t="str">
        <x:f>IF(B71&lt;&gt;"","PROP-"&amp;TEXT(ROW()-5,"000"),"")</x:f>
      </x:c>
      <x:c r="B71" s="108"/>
      <x:c r="C71" s="129" t="str">
        <x:f>IFERROR(VLOOKUP(B71,'06 Oportunidades'!$A$6:$M$200,3,FALSE),"")</x:f>
      </x:c>
      <x:c r="D71" s="124"/>
      <x:c r="E71" s="112"/>
      <x:c r="F71" s="108"/>
      <x:c r="G71" s="124"/>
      <x:c r="H71" s="129" t="str">
        <x:f>IF(G71="","",G71-TODAY())</x:f>
      </x:c>
      <x:c r="I71" s="108"/>
      <x:c r="J71" s="108"/>
      <x:c r="K71" s="108"/>
      <x:c r="L71" s="161"/>
      <x:c r="M71" s="161"/>
      <x:c r="N71" s="161"/>
      <x:c r="O71" s="161"/>
      <x:c r="P71" s="161"/>
      <x:c r="Q71" s="161"/>
      <x:c r="R71" s="161"/>
      <x:c r="S71" s="161"/>
      <x:c r="T71" s="161"/>
      <x:c r="U71" s="161"/>
      <x:c r="V71" s="161"/>
      <x:c r="W71" s="161"/>
      <x:c r="X71" s="161"/>
      <x:c r="Y71" s="161"/>
      <x:c r="Z71" s="161"/>
    </x:row>
    <x:row r="72">
      <x:c r="A72" s="129" t="str">
        <x:f>IF(B72&lt;&gt;"","PROP-"&amp;TEXT(ROW()-5,"000"),"")</x:f>
      </x:c>
      <x:c r="B72" s="108"/>
      <x:c r="C72" s="129" t="str">
        <x:f>IFERROR(VLOOKUP(B72,'06 Oportunidades'!$A$6:$M$200,3,FALSE),"")</x:f>
      </x:c>
      <x:c r="D72" s="124"/>
      <x:c r="E72" s="112"/>
      <x:c r="F72" s="108"/>
      <x:c r="G72" s="124"/>
      <x:c r="H72" s="129" t="str">
        <x:f>IF(G72="","",G72-TODAY())</x:f>
      </x:c>
      <x:c r="I72" s="108"/>
      <x:c r="J72" s="108"/>
      <x:c r="K72" s="108"/>
      <x:c r="L72" s="161"/>
      <x:c r="M72" s="161"/>
      <x:c r="N72" s="161"/>
      <x:c r="O72" s="161"/>
      <x:c r="P72" s="161"/>
      <x:c r="Q72" s="161"/>
      <x:c r="R72" s="161"/>
      <x:c r="S72" s="161"/>
      <x:c r="T72" s="161"/>
      <x:c r="U72" s="161"/>
      <x:c r="V72" s="161"/>
      <x:c r="W72" s="161"/>
      <x:c r="X72" s="161"/>
      <x:c r="Y72" s="161"/>
      <x:c r="Z72" s="161"/>
    </x:row>
    <x:row r="73">
      <x:c r="A73" s="129" t="str">
        <x:f>IF(B73&lt;&gt;"","PROP-"&amp;TEXT(ROW()-5,"000"),"")</x:f>
      </x:c>
      <x:c r="B73" s="108"/>
      <x:c r="C73" s="129" t="str">
        <x:f>IFERROR(VLOOKUP(B73,'06 Oportunidades'!$A$6:$M$200,3,FALSE),"")</x:f>
      </x:c>
      <x:c r="D73" s="124"/>
      <x:c r="E73" s="112"/>
      <x:c r="F73" s="108"/>
      <x:c r="G73" s="124"/>
      <x:c r="H73" s="129" t="str">
        <x:f>IF(G73="","",G73-TODAY())</x:f>
      </x:c>
      <x:c r="I73" s="108"/>
      <x:c r="J73" s="108"/>
      <x:c r="K73" s="108"/>
      <x:c r="L73" s="161"/>
      <x:c r="M73" s="161"/>
      <x:c r="N73" s="161"/>
      <x:c r="O73" s="161"/>
      <x:c r="P73" s="161"/>
      <x:c r="Q73" s="161"/>
      <x:c r="R73" s="161"/>
      <x:c r="S73" s="161"/>
      <x:c r="T73" s="161"/>
      <x:c r="U73" s="161"/>
      <x:c r="V73" s="161"/>
      <x:c r="W73" s="161"/>
      <x:c r="X73" s="161"/>
      <x:c r="Y73" s="161"/>
      <x:c r="Z73" s="161"/>
    </x:row>
    <x:row r="74">
      <x:c r="A74" s="129" t="str">
        <x:f>IF(B74&lt;&gt;"","PROP-"&amp;TEXT(ROW()-5,"000"),"")</x:f>
      </x:c>
      <x:c r="B74" s="108"/>
      <x:c r="C74" s="129" t="str">
        <x:f>IFERROR(VLOOKUP(B74,'06 Oportunidades'!$A$6:$M$200,3,FALSE),"")</x:f>
      </x:c>
      <x:c r="D74" s="124"/>
      <x:c r="E74" s="112"/>
      <x:c r="F74" s="108"/>
      <x:c r="G74" s="124"/>
      <x:c r="H74" s="129" t="str">
        <x:f>IF(G74="","",G74-TODAY())</x:f>
      </x:c>
      <x:c r="I74" s="108"/>
      <x:c r="J74" s="108"/>
      <x:c r="K74" s="108"/>
      <x:c r="L74" s="161"/>
      <x:c r="M74" s="161"/>
      <x:c r="N74" s="161"/>
      <x:c r="O74" s="161"/>
      <x:c r="P74" s="161"/>
      <x:c r="Q74" s="161"/>
      <x:c r="R74" s="161"/>
      <x:c r="S74" s="161"/>
      <x:c r="T74" s="161"/>
      <x:c r="U74" s="161"/>
      <x:c r="V74" s="161"/>
      <x:c r="W74" s="161"/>
      <x:c r="X74" s="161"/>
      <x:c r="Y74" s="161"/>
      <x:c r="Z74" s="161"/>
    </x:row>
    <x:row r="75">
      <x:c r="A75" s="129" t="str">
        <x:f>IF(B75&lt;&gt;"","PROP-"&amp;TEXT(ROW()-5,"000"),"")</x:f>
      </x:c>
      <x:c r="B75" s="108"/>
      <x:c r="C75" s="129" t="str">
        <x:f>IFERROR(VLOOKUP(B75,'06 Oportunidades'!$A$6:$M$200,3,FALSE),"")</x:f>
      </x:c>
      <x:c r="D75" s="124"/>
      <x:c r="E75" s="112"/>
      <x:c r="F75" s="108"/>
      <x:c r="G75" s="124"/>
      <x:c r="H75" s="129" t="str">
        <x:f>IF(G75="","",G75-TODAY())</x:f>
      </x:c>
      <x:c r="I75" s="108"/>
      <x:c r="J75" s="108"/>
      <x:c r="K75" s="108"/>
      <x:c r="L75" s="161"/>
      <x:c r="M75" s="161"/>
      <x:c r="N75" s="161"/>
      <x:c r="O75" s="161"/>
      <x:c r="P75" s="161"/>
      <x:c r="Q75" s="161"/>
      <x:c r="R75" s="161"/>
      <x:c r="S75" s="161"/>
      <x:c r="T75" s="161"/>
      <x:c r="U75" s="161"/>
      <x:c r="V75" s="161"/>
      <x:c r="W75" s="161"/>
      <x:c r="X75" s="161"/>
      <x:c r="Y75" s="161"/>
      <x:c r="Z75" s="161"/>
    </x:row>
    <x:row r="76">
      <x:c r="A76" s="129" t="str">
        <x:f>IF(B76&lt;&gt;"","PROP-"&amp;TEXT(ROW()-5,"000"),"")</x:f>
      </x:c>
      <x:c r="B76" s="108"/>
      <x:c r="C76" s="129" t="str">
        <x:f>IFERROR(VLOOKUP(B76,'06 Oportunidades'!$A$6:$M$200,3,FALSE),"")</x:f>
      </x:c>
      <x:c r="D76" s="124"/>
      <x:c r="E76" s="112"/>
      <x:c r="F76" s="108"/>
      <x:c r="G76" s="124"/>
      <x:c r="H76" s="129" t="str">
        <x:f>IF(G76="","",G76-TODAY())</x:f>
      </x:c>
      <x:c r="I76" s="108"/>
      <x:c r="J76" s="108"/>
      <x:c r="K76" s="108"/>
      <x:c r="L76" s="161"/>
      <x:c r="M76" s="161"/>
      <x:c r="N76" s="161"/>
      <x:c r="O76" s="161"/>
      <x:c r="P76" s="161"/>
      <x:c r="Q76" s="161"/>
      <x:c r="R76" s="161"/>
      <x:c r="S76" s="161"/>
      <x:c r="T76" s="161"/>
      <x:c r="U76" s="161"/>
      <x:c r="V76" s="161"/>
      <x:c r="W76" s="161"/>
      <x:c r="X76" s="161"/>
      <x:c r="Y76" s="161"/>
      <x:c r="Z76" s="161"/>
    </x:row>
    <x:row r="77">
      <x:c r="A77" s="129" t="str">
        <x:f>IF(B77&lt;&gt;"","PROP-"&amp;TEXT(ROW()-5,"000"),"")</x:f>
      </x:c>
      <x:c r="B77" s="108"/>
      <x:c r="C77" s="129" t="str">
        <x:f>IFERROR(VLOOKUP(B77,'06 Oportunidades'!$A$6:$M$200,3,FALSE),"")</x:f>
      </x:c>
      <x:c r="D77" s="124"/>
      <x:c r="E77" s="112"/>
      <x:c r="F77" s="108"/>
      <x:c r="G77" s="124"/>
      <x:c r="H77" s="129" t="str">
        <x:f>IF(G77="","",G77-TODAY())</x:f>
      </x:c>
      <x:c r="I77" s="108"/>
      <x:c r="J77" s="108"/>
      <x:c r="K77" s="108"/>
      <x:c r="L77" s="161"/>
      <x:c r="M77" s="161"/>
      <x:c r="N77" s="161"/>
      <x:c r="O77" s="161"/>
      <x:c r="P77" s="161"/>
      <x:c r="Q77" s="161"/>
      <x:c r="R77" s="161"/>
      <x:c r="S77" s="161"/>
      <x:c r="T77" s="161"/>
      <x:c r="U77" s="161"/>
      <x:c r="V77" s="161"/>
      <x:c r="W77" s="161"/>
      <x:c r="X77" s="161"/>
      <x:c r="Y77" s="161"/>
      <x:c r="Z77" s="161"/>
    </x:row>
    <x:row r="78">
      <x:c r="A78" s="129" t="str">
        <x:f>IF(B78&lt;&gt;"","PROP-"&amp;TEXT(ROW()-5,"000"),"")</x:f>
      </x:c>
      <x:c r="B78" s="108"/>
      <x:c r="C78" s="129" t="str">
        <x:f>IFERROR(VLOOKUP(B78,'06 Oportunidades'!$A$6:$M$200,3,FALSE),"")</x:f>
      </x:c>
      <x:c r="D78" s="124"/>
      <x:c r="E78" s="112"/>
      <x:c r="F78" s="108"/>
      <x:c r="G78" s="124"/>
      <x:c r="H78" s="129" t="str">
        <x:f>IF(G78="","",G78-TODAY())</x:f>
      </x:c>
      <x:c r="I78" s="108"/>
      <x:c r="J78" s="108"/>
      <x:c r="K78" s="108"/>
      <x:c r="L78" s="161"/>
      <x:c r="M78" s="161"/>
      <x:c r="N78" s="161"/>
      <x:c r="O78" s="161"/>
      <x:c r="P78" s="161"/>
      <x:c r="Q78" s="161"/>
      <x:c r="R78" s="161"/>
      <x:c r="S78" s="161"/>
      <x:c r="T78" s="161"/>
      <x:c r="U78" s="161"/>
      <x:c r="V78" s="161"/>
      <x:c r="W78" s="161"/>
      <x:c r="X78" s="161"/>
      <x:c r="Y78" s="161"/>
      <x:c r="Z78" s="161"/>
    </x:row>
    <x:row r="79">
      <x:c r="A79" s="129" t="str">
        <x:f>IF(B79&lt;&gt;"","PROP-"&amp;TEXT(ROW()-5,"000"),"")</x:f>
      </x:c>
      <x:c r="B79" s="108"/>
      <x:c r="C79" s="129" t="str">
        <x:f>IFERROR(VLOOKUP(B79,'06 Oportunidades'!$A$6:$M$200,3,FALSE),"")</x:f>
      </x:c>
      <x:c r="D79" s="124"/>
      <x:c r="E79" s="112"/>
      <x:c r="F79" s="108"/>
      <x:c r="G79" s="124"/>
      <x:c r="H79" s="129" t="str">
        <x:f>IF(G79="","",G79-TODAY())</x:f>
      </x:c>
      <x:c r="I79" s="108"/>
      <x:c r="J79" s="108"/>
      <x:c r="K79" s="108"/>
      <x:c r="L79" s="161"/>
      <x:c r="M79" s="161"/>
      <x:c r="N79" s="161"/>
      <x:c r="O79" s="161"/>
      <x:c r="P79" s="161"/>
      <x:c r="Q79" s="161"/>
      <x:c r="R79" s="161"/>
      <x:c r="S79" s="161"/>
      <x:c r="T79" s="161"/>
      <x:c r="U79" s="161"/>
      <x:c r="V79" s="161"/>
      <x:c r="W79" s="161"/>
      <x:c r="X79" s="161"/>
      <x:c r="Y79" s="161"/>
      <x:c r="Z79" s="161"/>
    </x:row>
    <x:row r="80">
      <x:c r="A80" s="129" t="str">
        <x:f>IF(B80&lt;&gt;"","PROP-"&amp;TEXT(ROW()-5,"000"),"")</x:f>
      </x:c>
      <x:c r="B80" s="108"/>
      <x:c r="C80" s="129" t="str">
        <x:f>IFERROR(VLOOKUP(B80,'06 Oportunidades'!$A$6:$M$200,3,FALSE),"")</x:f>
      </x:c>
      <x:c r="D80" s="124"/>
      <x:c r="E80" s="112"/>
      <x:c r="F80" s="108"/>
      <x:c r="G80" s="124"/>
      <x:c r="H80" s="129" t="str">
        <x:f>IF(G80="","",G80-TODAY())</x:f>
      </x:c>
      <x:c r="I80" s="108"/>
      <x:c r="J80" s="108"/>
      <x:c r="K80" s="108"/>
      <x:c r="L80" s="161"/>
      <x:c r="M80" s="161"/>
      <x:c r="N80" s="161"/>
      <x:c r="O80" s="161"/>
      <x:c r="P80" s="161"/>
      <x:c r="Q80" s="161"/>
      <x:c r="R80" s="161"/>
      <x:c r="S80" s="161"/>
      <x:c r="T80" s="161"/>
      <x:c r="U80" s="161"/>
      <x:c r="V80" s="161"/>
      <x:c r="W80" s="161"/>
      <x:c r="X80" s="161"/>
      <x:c r="Y80" s="161"/>
      <x:c r="Z80" s="161"/>
    </x:row>
    <x:row r="81">
      <x:c r="A81" s="129" t="str">
        <x:f>IF(B81&lt;&gt;"","PROP-"&amp;TEXT(ROW()-5,"000"),"")</x:f>
      </x:c>
      <x:c r="B81" s="108"/>
      <x:c r="C81" s="129" t="str">
        <x:f>IFERROR(VLOOKUP(B81,'06 Oportunidades'!$A$6:$M$200,3,FALSE),"")</x:f>
      </x:c>
      <x:c r="D81" s="124"/>
      <x:c r="E81" s="112"/>
      <x:c r="F81" s="108"/>
      <x:c r="G81" s="124"/>
      <x:c r="H81" s="129" t="str">
        <x:f>IF(G81="","",G81-TODAY())</x:f>
      </x:c>
      <x:c r="I81" s="108"/>
      <x:c r="J81" s="108"/>
      <x:c r="K81" s="108"/>
      <x:c r="L81" s="161"/>
      <x:c r="M81" s="161"/>
      <x:c r="N81" s="161"/>
      <x:c r="O81" s="161"/>
      <x:c r="P81" s="161"/>
      <x:c r="Q81" s="161"/>
      <x:c r="R81" s="161"/>
      <x:c r="S81" s="161"/>
      <x:c r="T81" s="161"/>
      <x:c r="U81" s="161"/>
      <x:c r="V81" s="161"/>
      <x:c r="W81" s="161"/>
      <x:c r="X81" s="161"/>
      <x:c r="Y81" s="161"/>
      <x:c r="Z81" s="161"/>
    </x:row>
    <x:row r="82">
      <x:c r="A82" s="129" t="str">
        <x:f>IF(B82&lt;&gt;"","PROP-"&amp;TEXT(ROW()-5,"000"),"")</x:f>
      </x:c>
      <x:c r="B82" s="108"/>
      <x:c r="C82" s="129" t="str">
        <x:f>IFERROR(VLOOKUP(B82,'06 Oportunidades'!$A$6:$M$200,3,FALSE),"")</x:f>
      </x:c>
      <x:c r="D82" s="124"/>
      <x:c r="E82" s="112"/>
      <x:c r="F82" s="108"/>
      <x:c r="G82" s="124"/>
      <x:c r="H82" s="129" t="str">
        <x:f>IF(G82="","",G82-TODAY())</x:f>
      </x:c>
      <x:c r="I82" s="108"/>
      <x:c r="J82" s="108"/>
      <x:c r="K82" s="108"/>
      <x:c r="L82" s="161"/>
      <x:c r="M82" s="161"/>
      <x:c r="N82" s="161"/>
      <x:c r="O82" s="161"/>
      <x:c r="P82" s="161"/>
      <x:c r="Q82" s="161"/>
      <x:c r="R82" s="161"/>
      <x:c r="S82" s="161"/>
      <x:c r="T82" s="161"/>
      <x:c r="U82" s="161"/>
      <x:c r="V82" s="161"/>
      <x:c r="W82" s="161"/>
      <x:c r="X82" s="161"/>
      <x:c r="Y82" s="161"/>
      <x:c r="Z82" s="161"/>
    </x:row>
    <x:row r="83">
      <x:c r="A83" s="129" t="str">
        <x:f>IF(B83&lt;&gt;"","PROP-"&amp;TEXT(ROW()-5,"000"),"")</x:f>
      </x:c>
      <x:c r="B83" s="108"/>
      <x:c r="C83" s="129" t="str">
        <x:f>IFERROR(VLOOKUP(B83,'06 Oportunidades'!$A$6:$M$200,3,FALSE),"")</x:f>
      </x:c>
      <x:c r="D83" s="124"/>
      <x:c r="E83" s="112"/>
      <x:c r="F83" s="108"/>
      <x:c r="G83" s="124"/>
      <x:c r="H83" s="129" t="str">
        <x:f>IF(G83="","",G83-TODAY())</x:f>
      </x:c>
      <x:c r="I83" s="108"/>
      <x:c r="J83" s="108"/>
      <x:c r="K83" s="108"/>
      <x:c r="L83" s="161"/>
      <x:c r="M83" s="161"/>
      <x:c r="N83" s="161"/>
      <x:c r="O83" s="161"/>
      <x:c r="P83" s="161"/>
      <x:c r="Q83" s="161"/>
      <x:c r="R83" s="161"/>
      <x:c r="S83" s="161"/>
      <x:c r="T83" s="161"/>
      <x:c r="U83" s="161"/>
      <x:c r="V83" s="161"/>
      <x:c r="W83" s="161"/>
      <x:c r="X83" s="161"/>
      <x:c r="Y83" s="161"/>
      <x:c r="Z83" s="161"/>
    </x:row>
    <x:row r="84">
      <x:c r="A84" s="129" t="str">
        <x:f>IF(B84&lt;&gt;"","PROP-"&amp;TEXT(ROW()-5,"000"),"")</x:f>
      </x:c>
      <x:c r="B84" s="108"/>
      <x:c r="C84" s="129" t="str">
        <x:f>IFERROR(VLOOKUP(B84,'06 Oportunidades'!$A$6:$M$200,3,FALSE),"")</x:f>
      </x:c>
      <x:c r="D84" s="124"/>
      <x:c r="E84" s="112"/>
      <x:c r="F84" s="108"/>
      <x:c r="G84" s="124"/>
      <x:c r="H84" s="129" t="str">
        <x:f>IF(G84="","",G84-TODAY())</x:f>
      </x:c>
      <x:c r="I84" s="108"/>
      <x:c r="J84" s="108"/>
      <x:c r="K84" s="108"/>
      <x:c r="L84" s="161"/>
      <x:c r="M84" s="161"/>
      <x:c r="N84" s="161"/>
      <x:c r="O84" s="161"/>
      <x:c r="P84" s="161"/>
      <x:c r="Q84" s="161"/>
      <x:c r="R84" s="161"/>
      <x:c r="S84" s="161"/>
      <x:c r="T84" s="161"/>
      <x:c r="U84" s="161"/>
      <x:c r="V84" s="161"/>
      <x:c r="W84" s="161"/>
      <x:c r="X84" s="161"/>
      <x:c r="Y84" s="161"/>
      <x:c r="Z84" s="161"/>
    </x:row>
    <x:row r="85">
      <x:c r="A85" s="129" t="str">
        <x:f>IF(B85&lt;&gt;"","PROP-"&amp;TEXT(ROW()-5,"000"),"")</x:f>
      </x:c>
      <x:c r="B85" s="108"/>
      <x:c r="C85" s="129" t="str">
        <x:f>IFERROR(VLOOKUP(B85,'06 Oportunidades'!$A$6:$M$200,3,FALSE),"")</x:f>
      </x:c>
      <x:c r="D85" s="124"/>
      <x:c r="E85" s="112"/>
      <x:c r="F85" s="108"/>
      <x:c r="G85" s="124"/>
      <x:c r="H85" s="129" t="str">
        <x:f>IF(G85="","",G85-TODAY())</x:f>
      </x:c>
      <x:c r="I85" s="108"/>
      <x:c r="J85" s="108"/>
      <x:c r="K85" s="108"/>
      <x:c r="L85" s="161"/>
      <x:c r="M85" s="161"/>
      <x:c r="N85" s="161"/>
      <x:c r="O85" s="161"/>
      <x:c r="P85" s="161"/>
      <x:c r="Q85" s="161"/>
      <x:c r="R85" s="161"/>
      <x:c r="S85" s="161"/>
      <x:c r="T85" s="161"/>
      <x:c r="U85" s="161"/>
      <x:c r="V85" s="161"/>
      <x:c r="W85" s="161"/>
      <x:c r="X85" s="161"/>
      <x:c r="Y85" s="161"/>
      <x:c r="Z85" s="161"/>
    </x:row>
    <x:row r="86">
      <x:c r="A86" s="129" t="str">
        <x:f>IF(B86&lt;&gt;"","PROP-"&amp;TEXT(ROW()-5,"000"),"")</x:f>
      </x:c>
      <x:c r="B86" s="108"/>
      <x:c r="C86" s="129" t="str">
        <x:f>IFERROR(VLOOKUP(B86,'06 Oportunidades'!$A$6:$M$200,3,FALSE),"")</x:f>
      </x:c>
      <x:c r="D86" s="124"/>
      <x:c r="E86" s="112"/>
      <x:c r="F86" s="108"/>
      <x:c r="G86" s="124"/>
      <x:c r="H86" s="129" t="str">
        <x:f>IF(G86="","",G86-TODAY())</x:f>
      </x:c>
      <x:c r="I86" s="108"/>
      <x:c r="J86" s="108"/>
      <x:c r="K86" s="108"/>
      <x:c r="L86" s="161"/>
      <x:c r="M86" s="161"/>
      <x:c r="N86" s="161"/>
      <x:c r="O86" s="161"/>
      <x:c r="P86" s="161"/>
      <x:c r="Q86" s="161"/>
      <x:c r="R86" s="161"/>
      <x:c r="S86" s="161"/>
      <x:c r="T86" s="161"/>
      <x:c r="U86" s="161"/>
      <x:c r="V86" s="161"/>
      <x:c r="W86" s="161"/>
      <x:c r="X86" s="161"/>
      <x:c r="Y86" s="161"/>
      <x:c r="Z86" s="161"/>
    </x:row>
    <x:row r="87">
      <x:c r="A87" s="129" t="str">
        <x:f>IF(B87&lt;&gt;"","PROP-"&amp;TEXT(ROW()-5,"000"),"")</x:f>
      </x:c>
      <x:c r="B87" s="108"/>
      <x:c r="C87" s="129" t="str">
        <x:f>IFERROR(VLOOKUP(B87,'06 Oportunidades'!$A$6:$M$200,3,FALSE),"")</x:f>
      </x:c>
      <x:c r="D87" s="124"/>
      <x:c r="E87" s="112"/>
      <x:c r="F87" s="108"/>
      <x:c r="G87" s="124"/>
      <x:c r="H87" s="129" t="str">
        <x:f>IF(G87="","",G87-TODAY())</x:f>
      </x:c>
      <x:c r="I87" s="108"/>
      <x:c r="J87" s="108"/>
      <x:c r="K87" s="108"/>
      <x:c r="L87" s="161"/>
      <x:c r="M87" s="161"/>
      <x:c r="N87" s="161"/>
      <x:c r="O87" s="161"/>
      <x:c r="P87" s="161"/>
      <x:c r="Q87" s="161"/>
      <x:c r="R87" s="161"/>
      <x:c r="S87" s="161"/>
      <x:c r="T87" s="161"/>
      <x:c r="U87" s="161"/>
      <x:c r="V87" s="161"/>
      <x:c r="W87" s="161"/>
      <x:c r="X87" s="161"/>
      <x:c r="Y87" s="161"/>
      <x:c r="Z87" s="161"/>
    </x:row>
    <x:row r="88">
      <x:c r="A88" s="129" t="str">
        <x:f>IF(B88&lt;&gt;"","PROP-"&amp;TEXT(ROW()-5,"000"),"")</x:f>
      </x:c>
      <x:c r="B88" s="108"/>
      <x:c r="C88" s="129" t="str">
        <x:f>IFERROR(VLOOKUP(B88,'06 Oportunidades'!$A$6:$M$200,3,FALSE),"")</x:f>
      </x:c>
      <x:c r="D88" s="124"/>
      <x:c r="E88" s="112"/>
      <x:c r="F88" s="108"/>
      <x:c r="G88" s="124"/>
      <x:c r="H88" s="129" t="str">
        <x:f>IF(G88="","",G88-TODAY())</x:f>
      </x:c>
      <x:c r="I88" s="108"/>
      <x:c r="J88" s="108"/>
      <x:c r="K88" s="108"/>
      <x:c r="L88" s="161"/>
      <x:c r="M88" s="161"/>
      <x:c r="N88" s="161"/>
      <x:c r="O88" s="161"/>
      <x:c r="P88" s="161"/>
      <x:c r="Q88" s="161"/>
      <x:c r="R88" s="161"/>
      <x:c r="S88" s="161"/>
      <x:c r="T88" s="161"/>
      <x:c r="U88" s="161"/>
      <x:c r="V88" s="161"/>
      <x:c r="W88" s="161"/>
      <x:c r="X88" s="161"/>
      <x:c r="Y88" s="161"/>
      <x:c r="Z88" s="161"/>
    </x:row>
    <x:row r="89">
      <x:c r="A89" s="129" t="str">
        <x:f>IF(B89&lt;&gt;"","PROP-"&amp;TEXT(ROW()-5,"000"),"")</x:f>
      </x:c>
      <x:c r="B89" s="108"/>
      <x:c r="C89" s="129" t="str">
        <x:f>IFERROR(VLOOKUP(B89,'06 Oportunidades'!$A$6:$M$200,3,FALSE),"")</x:f>
      </x:c>
      <x:c r="D89" s="124"/>
      <x:c r="E89" s="112"/>
      <x:c r="F89" s="108"/>
      <x:c r="G89" s="124"/>
      <x:c r="H89" s="129" t="str">
        <x:f>IF(G89="","",G89-TODAY())</x:f>
      </x:c>
      <x:c r="I89" s="108"/>
      <x:c r="J89" s="108"/>
      <x:c r="K89" s="108"/>
      <x:c r="L89" s="161"/>
      <x:c r="M89" s="161"/>
      <x:c r="N89" s="161"/>
      <x:c r="O89" s="161"/>
      <x:c r="P89" s="161"/>
      <x:c r="Q89" s="161"/>
      <x:c r="R89" s="161"/>
      <x:c r="S89" s="161"/>
      <x:c r="T89" s="161"/>
      <x:c r="U89" s="161"/>
      <x:c r="V89" s="161"/>
      <x:c r="W89" s="161"/>
      <x:c r="X89" s="161"/>
      <x:c r="Y89" s="161"/>
      <x:c r="Z89" s="161"/>
    </x:row>
    <x:row r="90">
      <x:c r="A90" s="129" t="str">
        <x:f>IF(B90&lt;&gt;"","PROP-"&amp;TEXT(ROW()-5,"000"),"")</x:f>
      </x:c>
      <x:c r="B90" s="108"/>
      <x:c r="C90" s="129" t="str">
        <x:f>IFERROR(VLOOKUP(B90,'06 Oportunidades'!$A$6:$M$200,3,FALSE),"")</x:f>
      </x:c>
      <x:c r="D90" s="124"/>
      <x:c r="E90" s="112"/>
      <x:c r="F90" s="108"/>
      <x:c r="G90" s="124"/>
      <x:c r="H90" s="129" t="str">
        <x:f>IF(G90="","",G90-TODAY())</x:f>
      </x:c>
      <x:c r="I90" s="108"/>
      <x:c r="J90" s="108"/>
      <x:c r="K90" s="108"/>
      <x:c r="L90" s="161"/>
      <x:c r="M90" s="161"/>
      <x:c r="N90" s="161"/>
      <x:c r="O90" s="161"/>
      <x:c r="P90" s="161"/>
      <x:c r="Q90" s="161"/>
      <x:c r="R90" s="161"/>
      <x:c r="S90" s="161"/>
      <x:c r="T90" s="161"/>
      <x:c r="U90" s="161"/>
      <x:c r="V90" s="161"/>
      <x:c r="W90" s="161"/>
      <x:c r="X90" s="161"/>
      <x:c r="Y90" s="161"/>
      <x:c r="Z90" s="161"/>
    </x:row>
    <x:row r="91">
      <x:c r="A91" s="129" t="str">
        <x:f>IF(B91&lt;&gt;"","PROP-"&amp;TEXT(ROW()-5,"000"),"")</x:f>
      </x:c>
      <x:c r="B91" s="108"/>
      <x:c r="C91" s="129" t="str">
        <x:f>IFERROR(VLOOKUP(B91,'06 Oportunidades'!$A$6:$M$200,3,FALSE),"")</x:f>
      </x:c>
      <x:c r="D91" s="124"/>
      <x:c r="E91" s="112"/>
      <x:c r="F91" s="108"/>
      <x:c r="G91" s="124"/>
      <x:c r="H91" s="129" t="str">
        <x:f>IF(G91="","",G91-TODAY())</x:f>
      </x:c>
      <x:c r="I91" s="108"/>
      <x:c r="J91" s="108"/>
      <x:c r="K91" s="108"/>
      <x:c r="L91" s="161"/>
      <x:c r="M91" s="161"/>
      <x:c r="N91" s="161"/>
      <x:c r="O91" s="161"/>
      <x:c r="P91" s="161"/>
      <x:c r="Q91" s="161"/>
      <x:c r="R91" s="161"/>
      <x:c r="S91" s="161"/>
      <x:c r="T91" s="161"/>
      <x:c r="U91" s="161"/>
      <x:c r="V91" s="161"/>
      <x:c r="W91" s="161"/>
      <x:c r="X91" s="161"/>
      <x:c r="Y91" s="161"/>
      <x:c r="Z91" s="161"/>
    </x:row>
    <x:row r="92">
      <x:c r="A92" s="129" t="str">
        <x:f>IF(B92&lt;&gt;"","PROP-"&amp;TEXT(ROW()-5,"000"),"")</x:f>
      </x:c>
      <x:c r="B92" s="108"/>
      <x:c r="C92" s="129" t="str">
        <x:f>IFERROR(VLOOKUP(B92,'06 Oportunidades'!$A$6:$M$200,3,FALSE),"")</x:f>
      </x:c>
      <x:c r="D92" s="124"/>
      <x:c r="E92" s="112"/>
      <x:c r="F92" s="108"/>
      <x:c r="G92" s="124"/>
      <x:c r="H92" s="129" t="str">
        <x:f>IF(G92="","",G92-TODAY())</x:f>
      </x:c>
      <x:c r="I92" s="108"/>
      <x:c r="J92" s="108"/>
      <x:c r="K92" s="108"/>
      <x:c r="L92" s="161"/>
      <x:c r="M92" s="161"/>
      <x:c r="N92" s="161"/>
      <x:c r="O92" s="161"/>
      <x:c r="P92" s="161"/>
      <x:c r="Q92" s="161"/>
      <x:c r="R92" s="161"/>
      <x:c r="S92" s="161"/>
      <x:c r="T92" s="161"/>
      <x:c r="U92" s="161"/>
      <x:c r="V92" s="161"/>
      <x:c r="W92" s="161"/>
      <x:c r="X92" s="161"/>
      <x:c r="Y92" s="161"/>
      <x:c r="Z92" s="161"/>
    </x:row>
    <x:row r="93">
      <x:c r="A93" s="129" t="str">
        <x:f>IF(B93&lt;&gt;"","PROP-"&amp;TEXT(ROW()-5,"000"),"")</x:f>
      </x:c>
      <x:c r="B93" s="108"/>
      <x:c r="C93" s="129" t="str">
        <x:f>IFERROR(VLOOKUP(B93,'06 Oportunidades'!$A$6:$M$200,3,FALSE),"")</x:f>
      </x:c>
      <x:c r="D93" s="124"/>
      <x:c r="E93" s="112"/>
      <x:c r="F93" s="108"/>
      <x:c r="G93" s="124"/>
      <x:c r="H93" s="129" t="str">
        <x:f>IF(G93="","",G93-TODAY())</x:f>
      </x:c>
      <x:c r="I93" s="108"/>
      <x:c r="J93" s="108"/>
      <x:c r="K93" s="108"/>
      <x:c r="L93" s="161"/>
      <x:c r="M93" s="161"/>
      <x:c r="N93" s="161"/>
      <x:c r="O93" s="161"/>
      <x:c r="P93" s="161"/>
      <x:c r="Q93" s="161"/>
      <x:c r="R93" s="161"/>
      <x:c r="S93" s="161"/>
      <x:c r="T93" s="161"/>
      <x:c r="U93" s="161"/>
      <x:c r="V93" s="161"/>
      <x:c r="W93" s="161"/>
      <x:c r="X93" s="161"/>
      <x:c r="Y93" s="161"/>
      <x:c r="Z93" s="161"/>
    </x:row>
    <x:row r="94">
      <x:c r="A94" s="129" t="str">
        <x:f>IF(B94&lt;&gt;"","PROP-"&amp;TEXT(ROW()-5,"000"),"")</x:f>
      </x:c>
      <x:c r="B94" s="108"/>
      <x:c r="C94" s="129" t="str">
        <x:f>IFERROR(VLOOKUP(B94,'06 Oportunidades'!$A$6:$M$200,3,FALSE),"")</x:f>
      </x:c>
      <x:c r="D94" s="124"/>
      <x:c r="E94" s="112"/>
      <x:c r="F94" s="108"/>
      <x:c r="G94" s="124"/>
      <x:c r="H94" s="129" t="str">
        <x:f>IF(G94="","",G94-TODAY())</x:f>
      </x:c>
      <x:c r="I94" s="108"/>
      <x:c r="J94" s="108"/>
      <x:c r="K94" s="108"/>
      <x:c r="L94" s="161"/>
      <x:c r="M94" s="161"/>
      <x:c r="N94" s="161"/>
      <x:c r="O94" s="161"/>
      <x:c r="P94" s="161"/>
      <x:c r="Q94" s="161"/>
      <x:c r="R94" s="161"/>
      <x:c r="S94" s="161"/>
      <x:c r="T94" s="161"/>
      <x:c r="U94" s="161"/>
      <x:c r="V94" s="161"/>
      <x:c r="W94" s="161"/>
      <x:c r="X94" s="161"/>
      <x:c r="Y94" s="161"/>
      <x:c r="Z94" s="161"/>
    </x:row>
    <x:row r="95">
      <x:c r="A95" s="129" t="str">
        <x:f>IF(B95&lt;&gt;"","PROP-"&amp;TEXT(ROW()-5,"000"),"")</x:f>
      </x:c>
      <x:c r="B95" s="108"/>
      <x:c r="C95" s="129" t="str">
        <x:f>IFERROR(VLOOKUP(B95,'06 Oportunidades'!$A$6:$M$200,3,FALSE),"")</x:f>
      </x:c>
      <x:c r="D95" s="124"/>
      <x:c r="E95" s="112"/>
      <x:c r="F95" s="108"/>
      <x:c r="G95" s="124"/>
      <x:c r="H95" s="129" t="str">
        <x:f>IF(G95="","",G95-TODAY())</x:f>
      </x:c>
      <x:c r="I95" s="108"/>
      <x:c r="J95" s="108"/>
      <x:c r="K95" s="108"/>
      <x:c r="L95" s="161"/>
      <x:c r="M95" s="161"/>
      <x:c r="N95" s="161"/>
      <x:c r="O95" s="161"/>
      <x:c r="P95" s="161"/>
      <x:c r="Q95" s="161"/>
      <x:c r="R95" s="161"/>
      <x:c r="S95" s="161"/>
      <x:c r="T95" s="161"/>
      <x:c r="U95" s="161"/>
      <x:c r="V95" s="161"/>
      <x:c r="W95" s="161"/>
      <x:c r="X95" s="161"/>
      <x:c r="Y95" s="161"/>
      <x:c r="Z95" s="161"/>
    </x:row>
    <x:row r="96">
      <x:c r="A96" s="129" t="str">
        <x:f>IF(B96&lt;&gt;"","PROP-"&amp;TEXT(ROW()-5,"000"),"")</x:f>
      </x:c>
      <x:c r="B96" s="108"/>
      <x:c r="C96" s="129" t="str">
        <x:f>IFERROR(VLOOKUP(B96,'06 Oportunidades'!$A$6:$M$200,3,FALSE),"")</x:f>
      </x:c>
      <x:c r="D96" s="124"/>
      <x:c r="E96" s="112"/>
      <x:c r="F96" s="108"/>
      <x:c r="G96" s="124"/>
      <x:c r="H96" s="129" t="str">
        <x:f>IF(G96="","",G96-TODAY())</x:f>
      </x:c>
      <x:c r="I96" s="108"/>
      <x:c r="J96" s="108"/>
      <x:c r="K96" s="108"/>
      <x:c r="L96" s="161"/>
      <x:c r="M96" s="161"/>
      <x:c r="N96" s="161"/>
      <x:c r="O96" s="161"/>
      <x:c r="P96" s="161"/>
      <x:c r="Q96" s="161"/>
      <x:c r="R96" s="161"/>
      <x:c r="S96" s="161"/>
      <x:c r="T96" s="161"/>
      <x:c r="U96" s="161"/>
      <x:c r="V96" s="161"/>
      <x:c r="W96" s="161"/>
      <x:c r="X96" s="161"/>
      <x:c r="Y96" s="161"/>
      <x:c r="Z96" s="161"/>
    </x:row>
    <x:row r="97">
      <x:c r="A97" s="129" t="str">
        <x:f>IF(B97&lt;&gt;"","PROP-"&amp;TEXT(ROW()-5,"000"),"")</x:f>
      </x:c>
      <x:c r="B97" s="108"/>
      <x:c r="C97" s="129" t="str">
        <x:f>IFERROR(VLOOKUP(B97,'06 Oportunidades'!$A$6:$M$200,3,FALSE),"")</x:f>
      </x:c>
      <x:c r="D97" s="124"/>
      <x:c r="E97" s="112"/>
      <x:c r="F97" s="108"/>
      <x:c r="G97" s="124"/>
      <x:c r="H97" s="129" t="str">
        <x:f>IF(G97="","",G97-TODAY())</x:f>
      </x:c>
      <x:c r="I97" s="108"/>
      <x:c r="J97" s="108"/>
      <x:c r="K97" s="108"/>
      <x:c r="L97" s="161"/>
      <x:c r="M97" s="161"/>
      <x:c r="N97" s="161"/>
      <x:c r="O97" s="161"/>
      <x:c r="P97" s="161"/>
      <x:c r="Q97" s="161"/>
      <x:c r="R97" s="161"/>
      <x:c r="S97" s="161"/>
      <x:c r="T97" s="161"/>
      <x:c r="U97" s="161"/>
      <x:c r="V97" s="161"/>
      <x:c r="W97" s="161"/>
      <x:c r="X97" s="161"/>
      <x:c r="Y97" s="161"/>
      <x:c r="Z97" s="161"/>
    </x:row>
    <x:row r="98">
      <x:c r="A98" s="129" t="str">
        <x:f>IF(B98&lt;&gt;"","PROP-"&amp;TEXT(ROW()-5,"000"),"")</x:f>
      </x:c>
      <x:c r="B98" s="108"/>
      <x:c r="C98" s="129" t="str">
        <x:f>IFERROR(VLOOKUP(B98,'06 Oportunidades'!$A$6:$M$200,3,FALSE),"")</x:f>
      </x:c>
      <x:c r="D98" s="124"/>
      <x:c r="E98" s="112"/>
      <x:c r="F98" s="108"/>
      <x:c r="G98" s="124"/>
      <x:c r="H98" s="129" t="str">
        <x:f>IF(G98="","",G98-TODAY())</x:f>
      </x:c>
      <x:c r="I98" s="108"/>
      <x:c r="J98" s="108"/>
      <x:c r="K98" s="108"/>
      <x:c r="L98" s="161"/>
      <x:c r="M98" s="161"/>
      <x:c r="N98" s="161"/>
      <x:c r="O98" s="161"/>
      <x:c r="P98" s="161"/>
      <x:c r="Q98" s="161"/>
      <x:c r="R98" s="161"/>
      <x:c r="S98" s="161"/>
      <x:c r="T98" s="161"/>
      <x:c r="U98" s="161"/>
      <x:c r="V98" s="161"/>
      <x:c r="W98" s="161"/>
      <x:c r="X98" s="161"/>
      <x:c r="Y98" s="161"/>
      <x:c r="Z98" s="161"/>
    </x:row>
    <x:row r="99">
      <x:c r="A99" s="129" t="str">
        <x:f>IF(B99&lt;&gt;"","PROP-"&amp;TEXT(ROW()-5,"000"),"")</x:f>
      </x:c>
      <x:c r="B99" s="108"/>
      <x:c r="C99" s="129" t="str">
        <x:f>IFERROR(VLOOKUP(B99,'06 Oportunidades'!$A$6:$M$200,3,FALSE),"")</x:f>
      </x:c>
      <x:c r="D99" s="124"/>
      <x:c r="E99" s="112"/>
      <x:c r="F99" s="108"/>
      <x:c r="G99" s="124"/>
      <x:c r="H99" s="129" t="str">
        <x:f>IF(G99="","",G99-TODAY())</x:f>
      </x:c>
      <x:c r="I99" s="108"/>
      <x:c r="J99" s="108"/>
      <x:c r="K99" s="108"/>
      <x:c r="L99" s="161"/>
      <x:c r="M99" s="161"/>
      <x:c r="N99" s="161"/>
      <x:c r="O99" s="161"/>
      <x:c r="P99" s="161"/>
      <x:c r="Q99" s="161"/>
      <x:c r="R99" s="161"/>
      <x:c r="S99" s="161"/>
      <x:c r="T99" s="161"/>
      <x:c r="U99" s="161"/>
      <x:c r="V99" s="161"/>
      <x:c r="W99" s="161"/>
      <x:c r="X99" s="161"/>
      <x:c r="Y99" s="161"/>
      <x:c r="Z99" s="161"/>
    </x:row>
    <x:row r="100">
      <x:c r="A100" s="129" t="str">
        <x:f>IF(B100&lt;&gt;"","PROP-"&amp;TEXT(ROW()-5,"000"),"")</x:f>
      </x:c>
      <x:c r="B100" s="108"/>
      <x:c r="C100" s="129" t="str">
        <x:f>IFERROR(VLOOKUP(B100,'06 Oportunidades'!$A$6:$M$200,3,FALSE),"")</x:f>
      </x:c>
      <x:c r="D100" s="124"/>
      <x:c r="E100" s="112"/>
      <x:c r="F100" s="108"/>
      <x:c r="G100" s="124"/>
      <x:c r="H100" s="129" t="str">
        <x:f>IF(G100="","",G100-TODAY())</x:f>
      </x:c>
      <x:c r="I100" s="108"/>
      <x:c r="J100" s="108"/>
      <x:c r="K100" s="108"/>
      <x:c r="L100" s="161"/>
      <x:c r="M100" s="161"/>
      <x:c r="N100" s="161"/>
      <x:c r="O100" s="161"/>
      <x:c r="P100" s="161"/>
      <x:c r="Q100" s="161"/>
      <x:c r="R100" s="161"/>
      <x:c r="S100" s="161"/>
      <x:c r="T100" s="161"/>
      <x:c r="U100" s="161"/>
      <x:c r="V100" s="161"/>
      <x:c r="W100" s="161"/>
      <x:c r="X100" s="161"/>
      <x:c r="Y100" s="161"/>
      <x:c r="Z100" s="161"/>
    </x:row>
    <x:row r="101">
      <x:c r="A101" s="129" t="str">
        <x:f>IF(B101&lt;&gt;"","PROP-"&amp;TEXT(ROW()-5,"000"),"")</x:f>
      </x:c>
      <x:c r="B101" s="108"/>
      <x:c r="C101" s="129" t="str">
        <x:f>IFERROR(VLOOKUP(B101,'06 Oportunidades'!$A$6:$M$200,3,FALSE),"")</x:f>
      </x:c>
      <x:c r="D101" s="124"/>
      <x:c r="E101" s="112"/>
      <x:c r="F101" s="108"/>
      <x:c r="G101" s="124"/>
      <x:c r="H101" s="129" t="str">
        <x:f>IF(G101="","",G101-TODAY())</x:f>
      </x:c>
      <x:c r="I101" s="108"/>
      <x:c r="J101" s="108"/>
      <x:c r="K101" s="108"/>
      <x:c r="L101" s="161"/>
      <x:c r="M101" s="161"/>
      <x:c r="N101" s="161"/>
      <x:c r="O101" s="161"/>
      <x:c r="P101" s="161"/>
      <x:c r="Q101" s="161"/>
      <x:c r="R101" s="161"/>
      <x:c r="S101" s="161"/>
      <x:c r="T101" s="161"/>
      <x:c r="U101" s="161"/>
      <x:c r="V101" s="161"/>
      <x:c r="W101" s="161"/>
      <x:c r="X101" s="161"/>
      <x:c r="Y101" s="161"/>
      <x:c r="Z101" s="161"/>
    </x:row>
    <x:row r="102">
      <x:c r="A102" s="129" t="str">
        <x:f>IF(B102&lt;&gt;"","PROP-"&amp;TEXT(ROW()-5,"000"),"")</x:f>
      </x:c>
      <x:c r="B102" s="108"/>
      <x:c r="C102" s="129" t="str">
        <x:f>IFERROR(VLOOKUP(B102,'06 Oportunidades'!$A$6:$M$200,3,FALSE),"")</x:f>
      </x:c>
      <x:c r="D102" s="124"/>
      <x:c r="E102" s="112"/>
      <x:c r="F102" s="108"/>
      <x:c r="G102" s="124"/>
      <x:c r="H102" s="129" t="str">
        <x:f>IF(G102="","",G102-TODAY())</x:f>
      </x:c>
      <x:c r="I102" s="108"/>
      <x:c r="J102" s="108"/>
      <x:c r="K102" s="108"/>
      <x:c r="L102" s="161"/>
      <x:c r="M102" s="161"/>
      <x:c r="N102" s="161"/>
      <x:c r="O102" s="161"/>
      <x:c r="P102" s="161"/>
      <x:c r="Q102" s="161"/>
      <x:c r="R102" s="161"/>
      <x:c r="S102" s="161"/>
      <x:c r="T102" s="161"/>
      <x:c r="U102" s="161"/>
      <x:c r="V102" s="161"/>
      <x:c r="W102" s="161"/>
      <x:c r="X102" s="161"/>
      <x:c r="Y102" s="161"/>
      <x:c r="Z102" s="161"/>
    </x:row>
    <x:row r="103">
      <x:c r="A103" s="129" t="str">
        <x:f>IF(B103&lt;&gt;"","PROP-"&amp;TEXT(ROW()-5,"000"),"")</x:f>
      </x:c>
      <x:c r="B103" s="108"/>
      <x:c r="C103" s="129" t="str">
        <x:f>IFERROR(VLOOKUP(B103,'06 Oportunidades'!$A$6:$M$200,3,FALSE),"")</x:f>
      </x:c>
      <x:c r="D103" s="124"/>
      <x:c r="E103" s="112"/>
      <x:c r="F103" s="108"/>
      <x:c r="G103" s="124"/>
      <x:c r="H103" s="129" t="str">
        <x:f>IF(G103="","",G103-TODAY())</x:f>
      </x:c>
      <x:c r="I103" s="108"/>
      <x:c r="J103" s="108"/>
      <x:c r="K103" s="108"/>
      <x:c r="L103" s="161"/>
      <x:c r="M103" s="161"/>
      <x:c r="N103" s="161"/>
      <x:c r="O103" s="161"/>
      <x:c r="P103" s="161"/>
      <x:c r="Q103" s="161"/>
      <x:c r="R103" s="161"/>
      <x:c r="S103" s="161"/>
      <x:c r="T103" s="161"/>
      <x:c r="U103" s="161"/>
      <x:c r="V103" s="161"/>
      <x:c r="W103" s="161"/>
      <x:c r="X103" s="161"/>
      <x:c r="Y103" s="161"/>
      <x:c r="Z103" s="161"/>
    </x:row>
    <x:row r="104">
      <x:c r="A104" s="129" t="str">
        <x:f>IF(B104&lt;&gt;"","PROP-"&amp;TEXT(ROW()-5,"000"),"")</x:f>
      </x:c>
      <x:c r="B104" s="108"/>
      <x:c r="C104" s="129" t="str">
        <x:f>IFERROR(VLOOKUP(B104,'06 Oportunidades'!$A$6:$M$200,3,FALSE),"")</x:f>
      </x:c>
      <x:c r="D104" s="124"/>
      <x:c r="E104" s="112"/>
      <x:c r="F104" s="108"/>
      <x:c r="G104" s="124"/>
      <x:c r="H104" s="129" t="str">
        <x:f>IF(G104="","",G104-TODAY())</x:f>
      </x:c>
      <x:c r="I104" s="108"/>
      <x:c r="J104" s="108"/>
      <x:c r="K104" s="108"/>
      <x:c r="L104" s="161"/>
      <x:c r="M104" s="161"/>
      <x:c r="N104" s="161"/>
      <x:c r="O104" s="161"/>
      <x:c r="P104" s="161"/>
      <x:c r="Q104" s="161"/>
      <x:c r="R104" s="161"/>
      <x:c r="S104" s="161"/>
      <x:c r="T104" s="161"/>
      <x:c r="U104" s="161"/>
      <x:c r="V104" s="161"/>
      <x:c r="W104" s="161"/>
      <x:c r="X104" s="161"/>
      <x:c r="Y104" s="161"/>
      <x:c r="Z104" s="161"/>
    </x:row>
    <x:row r="105">
      <x:c r="A105" s="129" t="str">
        <x:f>IF(B105&lt;&gt;"","PROP-"&amp;TEXT(ROW()-5,"000"),"")</x:f>
      </x:c>
      <x:c r="B105" s="108"/>
      <x:c r="C105" s="129" t="str">
        <x:f>IFERROR(VLOOKUP(B105,'06 Oportunidades'!$A$6:$M$200,3,FALSE),"")</x:f>
      </x:c>
      <x:c r="D105" s="124"/>
      <x:c r="E105" s="112"/>
      <x:c r="F105" s="108"/>
      <x:c r="G105" s="124"/>
      <x:c r="H105" s="129" t="str">
        <x:f>IF(G105="","",G105-TODAY())</x:f>
      </x:c>
      <x:c r="I105" s="108"/>
      <x:c r="J105" s="108"/>
      <x:c r="K105" s="108"/>
      <x:c r="L105" s="161"/>
      <x:c r="M105" s="161"/>
      <x:c r="N105" s="161"/>
      <x:c r="O105" s="161"/>
      <x:c r="P105" s="161"/>
      <x:c r="Q105" s="161"/>
      <x:c r="R105" s="161"/>
      <x:c r="S105" s="161"/>
      <x:c r="T105" s="161"/>
      <x:c r="U105" s="161"/>
      <x:c r="V105" s="161"/>
      <x:c r="W105" s="161"/>
      <x:c r="X105" s="161"/>
      <x:c r="Y105" s="161"/>
      <x:c r="Z105" s="161"/>
    </x:row>
    <x:row r="106">
      <x:c r="A106" s="129" t="str">
        <x:f>IF(B106&lt;&gt;"","PROP-"&amp;TEXT(ROW()-5,"000"),"")</x:f>
      </x:c>
      <x:c r="B106" s="108"/>
      <x:c r="C106" s="129" t="str">
        <x:f>IFERROR(VLOOKUP(B106,'06 Oportunidades'!$A$6:$M$200,3,FALSE),"")</x:f>
      </x:c>
      <x:c r="D106" s="124"/>
      <x:c r="E106" s="112"/>
      <x:c r="F106" s="108"/>
      <x:c r="G106" s="124"/>
      <x:c r="H106" s="129" t="str">
        <x:f>IF(G106="","",G106-TODAY())</x:f>
      </x:c>
      <x:c r="I106" s="108"/>
      <x:c r="J106" s="108"/>
      <x:c r="K106" s="108"/>
      <x:c r="L106" s="161"/>
      <x:c r="M106" s="161"/>
      <x:c r="N106" s="161"/>
      <x:c r="O106" s="161"/>
      <x:c r="P106" s="161"/>
      <x:c r="Q106" s="161"/>
      <x:c r="R106" s="161"/>
      <x:c r="S106" s="161"/>
      <x:c r="T106" s="161"/>
      <x:c r="U106" s="161"/>
      <x:c r="V106" s="161"/>
      <x:c r="W106" s="161"/>
      <x:c r="X106" s="161"/>
      <x:c r="Y106" s="161"/>
      <x:c r="Z106" s="161"/>
    </x:row>
    <x:row r="107">
      <x:c r="A107" s="129" t="str">
        <x:f>IF(B107&lt;&gt;"","PROP-"&amp;TEXT(ROW()-5,"000"),"")</x:f>
      </x:c>
      <x:c r="B107" s="108"/>
      <x:c r="C107" s="129" t="str">
        <x:f>IFERROR(VLOOKUP(B107,'06 Oportunidades'!$A$6:$M$200,3,FALSE),"")</x:f>
      </x:c>
      <x:c r="D107" s="124"/>
      <x:c r="E107" s="112"/>
      <x:c r="F107" s="108"/>
      <x:c r="G107" s="124"/>
      <x:c r="H107" s="129" t="str">
        <x:f>IF(G107="","",G107-TODAY())</x:f>
      </x:c>
      <x:c r="I107" s="108"/>
      <x:c r="J107" s="108"/>
      <x:c r="K107" s="108"/>
      <x:c r="L107" s="161"/>
      <x:c r="M107" s="161"/>
      <x:c r="N107" s="161"/>
      <x:c r="O107" s="161"/>
      <x:c r="P107" s="161"/>
      <x:c r="Q107" s="161"/>
      <x:c r="R107" s="161"/>
      <x:c r="S107" s="161"/>
      <x:c r="T107" s="161"/>
      <x:c r="U107" s="161"/>
      <x:c r="V107" s="161"/>
      <x:c r="W107" s="161"/>
      <x:c r="X107" s="161"/>
      <x:c r="Y107" s="161"/>
      <x:c r="Z107" s="161"/>
    </x:row>
    <x:row r="108">
      <x:c r="A108" s="129" t="str">
        <x:f>IF(B108&lt;&gt;"","PROP-"&amp;TEXT(ROW()-5,"000"),"")</x:f>
      </x:c>
      <x:c r="B108" s="108"/>
      <x:c r="C108" s="129" t="str">
        <x:f>IFERROR(VLOOKUP(B108,'06 Oportunidades'!$A$6:$M$200,3,FALSE),"")</x:f>
      </x:c>
      <x:c r="D108" s="124"/>
      <x:c r="E108" s="112"/>
      <x:c r="F108" s="108"/>
      <x:c r="G108" s="124"/>
      <x:c r="H108" s="129" t="str">
        <x:f>IF(G108="","",G108-TODAY())</x:f>
      </x:c>
      <x:c r="I108" s="108"/>
      <x:c r="J108" s="108"/>
      <x:c r="K108" s="108"/>
      <x:c r="L108" s="161"/>
      <x:c r="M108" s="161"/>
      <x:c r="N108" s="161"/>
      <x:c r="O108" s="161"/>
      <x:c r="P108" s="161"/>
      <x:c r="Q108" s="161"/>
      <x:c r="R108" s="161"/>
      <x:c r="S108" s="161"/>
      <x:c r="T108" s="161"/>
      <x:c r="U108" s="161"/>
      <x:c r="V108" s="161"/>
      <x:c r="W108" s="161"/>
      <x:c r="X108" s="161"/>
      <x:c r="Y108" s="161"/>
      <x:c r="Z108" s="161"/>
    </x:row>
    <x:row r="109">
      <x:c r="A109" s="129" t="str">
        <x:f>IF(B109&lt;&gt;"","PROP-"&amp;TEXT(ROW()-5,"000"),"")</x:f>
      </x:c>
      <x:c r="B109" s="108"/>
      <x:c r="C109" s="129" t="str">
        <x:f>IFERROR(VLOOKUP(B109,'06 Oportunidades'!$A$6:$M$200,3,FALSE),"")</x:f>
      </x:c>
      <x:c r="D109" s="124"/>
      <x:c r="E109" s="112"/>
      <x:c r="F109" s="108"/>
      <x:c r="G109" s="124"/>
      <x:c r="H109" s="129" t="str">
        <x:f>IF(G109="","",G109-TODAY())</x:f>
      </x:c>
      <x:c r="I109" s="108"/>
      <x:c r="J109" s="108"/>
      <x:c r="K109" s="108"/>
      <x:c r="L109" s="161"/>
      <x:c r="M109" s="161"/>
      <x:c r="N109" s="161"/>
      <x:c r="O109" s="161"/>
      <x:c r="P109" s="161"/>
      <x:c r="Q109" s="161"/>
      <x:c r="R109" s="161"/>
      <x:c r="S109" s="161"/>
      <x:c r="T109" s="161"/>
      <x:c r="U109" s="161"/>
      <x:c r="V109" s="161"/>
      <x:c r="W109" s="161"/>
      <x:c r="X109" s="161"/>
      <x:c r="Y109" s="161"/>
      <x:c r="Z109" s="161"/>
    </x:row>
    <x:row r="110">
      <x:c r="A110" s="129" t="str">
        <x:f>IF(B110&lt;&gt;"","PROP-"&amp;TEXT(ROW()-5,"000"),"")</x:f>
      </x:c>
      <x:c r="B110" s="108"/>
      <x:c r="C110" s="129" t="str">
        <x:f>IFERROR(VLOOKUP(B110,'06 Oportunidades'!$A$6:$M$200,3,FALSE),"")</x:f>
      </x:c>
      <x:c r="D110" s="124"/>
      <x:c r="E110" s="112"/>
      <x:c r="F110" s="108"/>
      <x:c r="G110" s="124"/>
      <x:c r="H110" s="129" t="str">
        <x:f>IF(G110="","",G110-TODAY())</x:f>
      </x:c>
      <x:c r="I110" s="108"/>
      <x:c r="J110" s="108"/>
      <x:c r="K110" s="108"/>
      <x:c r="L110" s="161"/>
      <x:c r="M110" s="161"/>
      <x:c r="N110" s="161"/>
      <x:c r="O110" s="161"/>
      <x:c r="P110" s="161"/>
      <x:c r="Q110" s="161"/>
      <x:c r="R110" s="161"/>
      <x:c r="S110" s="161"/>
      <x:c r="T110" s="161"/>
      <x:c r="U110" s="161"/>
      <x:c r="V110" s="161"/>
      <x:c r="W110" s="161"/>
      <x:c r="X110" s="161"/>
      <x:c r="Y110" s="161"/>
      <x:c r="Z110" s="161"/>
    </x:row>
    <x:row r="111">
      <x:c r="A111" s="129" t="str">
        <x:f>IF(B111&lt;&gt;"","PROP-"&amp;TEXT(ROW()-5,"000"),"")</x:f>
      </x:c>
      <x:c r="B111" s="108"/>
      <x:c r="C111" s="129" t="str">
        <x:f>IFERROR(VLOOKUP(B111,'06 Oportunidades'!$A$6:$M$200,3,FALSE),"")</x:f>
      </x:c>
      <x:c r="D111" s="124"/>
      <x:c r="E111" s="112"/>
      <x:c r="F111" s="108"/>
      <x:c r="G111" s="124"/>
      <x:c r="H111" s="129" t="str">
        <x:f>IF(G111="","",G111-TODAY())</x:f>
      </x:c>
      <x:c r="I111" s="108"/>
      <x:c r="J111" s="108"/>
      <x:c r="K111" s="108"/>
      <x:c r="L111" s="161"/>
      <x:c r="M111" s="161"/>
      <x:c r="N111" s="161"/>
      <x:c r="O111" s="161"/>
      <x:c r="P111" s="161"/>
      <x:c r="Q111" s="161"/>
      <x:c r="R111" s="161"/>
      <x:c r="S111" s="161"/>
      <x:c r="T111" s="161"/>
      <x:c r="U111" s="161"/>
      <x:c r="V111" s="161"/>
      <x:c r="W111" s="161"/>
      <x:c r="X111" s="161"/>
      <x:c r="Y111" s="161"/>
      <x:c r="Z111" s="161"/>
    </x:row>
    <x:row r="112">
      <x:c r="A112" s="129" t="str">
        <x:f>IF(B112&lt;&gt;"","PROP-"&amp;TEXT(ROW()-5,"000"),"")</x:f>
      </x:c>
      <x:c r="B112" s="108"/>
      <x:c r="C112" s="129" t="str">
        <x:f>IFERROR(VLOOKUP(B112,'06 Oportunidades'!$A$6:$M$200,3,FALSE),"")</x:f>
      </x:c>
      <x:c r="D112" s="124"/>
      <x:c r="E112" s="112"/>
      <x:c r="F112" s="108"/>
      <x:c r="G112" s="124"/>
      <x:c r="H112" s="129" t="str">
        <x:f>IF(G112="","",G112-TODAY())</x:f>
      </x:c>
      <x:c r="I112" s="108"/>
      <x:c r="J112" s="108"/>
      <x:c r="K112" s="108"/>
      <x:c r="L112" s="161"/>
      <x:c r="M112" s="161"/>
      <x:c r="N112" s="161"/>
      <x:c r="O112" s="161"/>
      <x:c r="P112" s="161"/>
      <x:c r="Q112" s="161"/>
      <x:c r="R112" s="161"/>
      <x:c r="S112" s="161"/>
      <x:c r="T112" s="161"/>
      <x:c r="U112" s="161"/>
      <x:c r="V112" s="161"/>
      <x:c r="W112" s="161"/>
      <x:c r="X112" s="161"/>
      <x:c r="Y112" s="161"/>
      <x:c r="Z112" s="161"/>
    </x:row>
    <x:row r="113">
      <x:c r="A113" s="129" t="str">
        <x:f>IF(B113&lt;&gt;"","PROP-"&amp;TEXT(ROW()-5,"000"),"")</x:f>
      </x:c>
      <x:c r="B113" s="108"/>
      <x:c r="C113" s="129" t="str">
        <x:f>IFERROR(VLOOKUP(B113,'06 Oportunidades'!$A$6:$M$200,3,FALSE),"")</x:f>
      </x:c>
      <x:c r="D113" s="124"/>
      <x:c r="E113" s="112"/>
      <x:c r="F113" s="108"/>
      <x:c r="G113" s="124"/>
      <x:c r="H113" s="129" t="str">
        <x:f>IF(G113="","",G113-TODAY())</x:f>
      </x:c>
      <x:c r="I113" s="108"/>
      <x:c r="J113" s="108"/>
      <x:c r="K113" s="108"/>
      <x:c r="L113" s="161"/>
      <x:c r="M113" s="161"/>
      <x:c r="N113" s="161"/>
      <x:c r="O113" s="161"/>
      <x:c r="P113" s="161"/>
      <x:c r="Q113" s="161"/>
      <x:c r="R113" s="161"/>
      <x:c r="S113" s="161"/>
      <x:c r="T113" s="161"/>
      <x:c r="U113" s="161"/>
      <x:c r="V113" s="161"/>
      <x:c r="W113" s="161"/>
      <x:c r="X113" s="161"/>
      <x:c r="Y113" s="161"/>
      <x:c r="Z113" s="161"/>
    </x:row>
    <x:row r="114">
      <x:c r="A114" s="129" t="str">
        <x:f>IF(B114&lt;&gt;"","PROP-"&amp;TEXT(ROW()-5,"000"),"")</x:f>
      </x:c>
      <x:c r="B114" s="108"/>
      <x:c r="C114" s="129" t="str">
        <x:f>IFERROR(VLOOKUP(B114,'06 Oportunidades'!$A$6:$M$200,3,FALSE),"")</x:f>
      </x:c>
      <x:c r="D114" s="124"/>
      <x:c r="E114" s="112"/>
      <x:c r="F114" s="108"/>
      <x:c r="G114" s="124"/>
      <x:c r="H114" s="129" t="str">
        <x:f>IF(G114="","",G114-TODAY())</x:f>
      </x:c>
      <x:c r="I114" s="108"/>
      <x:c r="J114" s="108"/>
      <x:c r="K114" s="108"/>
      <x:c r="L114" s="161"/>
      <x:c r="M114" s="161"/>
      <x:c r="N114" s="161"/>
      <x:c r="O114" s="161"/>
      <x:c r="P114" s="161"/>
      <x:c r="Q114" s="161"/>
      <x:c r="R114" s="161"/>
      <x:c r="S114" s="161"/>
      <x:c r="T114" s="161"/>
      <x:c r="U114" s="161"/>
      <x:c r="V114" s="161"/>
      <x:c r="W114" s="161"/>
      <x:c r="X114" s="161"/>
      <x:c r="Y114" s="161"/>
      <x:c r="Z114" s="161"/>
    </x:row>
    <x:row r="115">
      <x:c r="A115" s="129" t="str">
        <x:f>IF(B115&lt;&gt;"","PROP-"&amp;TEXT(ROW()-5,"000"),"")</x:f>
      </x:c>
      <x:c r="B115" s="108"/>
      <x:c r="C115" s="129" t="str">
        <x:f>IFERROR(VLOOKUP(B115,'06 Oportunidades'!$A$6:$M$200,3,FALSE),"")</x:f>
      </x:c>
      <x:c r="D115" s="124"/>
      <x:c r="E115" s="112"/>
      <x:c r="F115" s="108"/>
      <x:c r="G115" s="124"/>
      <x:c r="H115" s="129" t="str">
        <x:f>IF(G115="","",G115-TODAY())</x:f>
      </x:c>
      <x:c r="I115" s="108"/>
      <x:c r="J115" s="108"/>
      <x:c r="K115" s="108"/>
      <x:c r="L115" s="161"/>
      <x:c r="M115" s="161"/>
      <x:c r="N115" s="161"/>
      <x:c r="O115" s="161"/>
      <x:c r="P115" s="161"/>
      <x:c r="Q115" s="161"/>
      <x:c r="R115" s="161"/>
      <x:c r="S115" s="161"/>
      <x:c r="T115" s="161"/>
      <x:c r="U115" s="161"/>
      <x:c r="V115" s="161"/>
      <x:c r="W115" s="161"/>
      <x:c r="X115" s="161"/>
      <x:c r="Y115" s="161"/>
      <x:c r="Z115" s="161"/>
    </x:row>
    <x:row r="116">
      <x:c r="A116" s="129" t="str">
        <x:f>IF(B116&lt;&gt;"","PROP-"&amp;TEXT(ROW()-5,"000"),"")</x:f>
      </x:c>
      <x:c r="B116" s="108"/>
      <x:c r="C116" s="129" t="str">
        <x:f>IFERROR(VLOOKUP(B116,'06 Oportunidades'!$A$6:$M$200,3,FALSE),"")</x:f>
      </x:c>
      <x:c r="D116" s="124"/>
      <x:c r="E116" s="112"/>
      <x:c r="F116" s="108"/>
      <x:c r="G116" s="124"/>
      <x:c r="H116" s="129" t="str">
        <x:f>IF(G116="","",G116-TODAY())</x:f>
      </x:c>
      <x:c r="I116" s="108"/>
      <x:c r="J116" s="108"/>
      <x:c r="K116" s="108"/>
      <x:c r="L116" s="161"/>
      <x:c r="M116" s="161"/>
      <x:c r="N116" s="161"/>
      <x:c r="O116" s="161"/>
      <x:c r="P116" s="161"/>
      <x:c r="Q116" s="161"/>
      <x:c r="R116" s="161"/>
      <x:c r="S116" s="161"/>
      <x:c r="T116" s="161"/>
      <x:c r="U116" s="161"/>
      <x:c r="V116" s="161"/>
      <x:c r="W116" s="161"/>
      <x:c r="X116" s="161"/>
      <x:c r="Y116" s="161"/>
      <x:c r="Z116" s="161"/>
    </x:row>
    <x:row r="117">
      <x:c r="A117" s="129" t="str">
        <x:f>IF(B117&lt;&gt;"","PROP-"&amp;TEXT(ROW()-5,"000"),"")</x:f>
      </x:c>
      <x:c r="B117" s="108"/>
      <x:c r="C117" s="129" t="str">
        <x:f>IFERROR(VLOOKUP(B117,'06 Oportunidades'!$A$6:$M$200,3,FALSE),"")</x:f>
      </x:c>
      <x:c r="D117" s="124"/>
      <x:c r="E117" s="112"/>
      <x:c r="F117" s="108"/>
      <x:c r="G117" s="124"/>
      <x:c r="H117" s="129" t="str">
        <x:f>IF(G117="","",G117-TODAY())</x:f>
      </x:c>
      <x:c r="I117" s="108"/>
      <x:c r="J117" s="108"/>
      <x:c r="K117" s="108"/>
      <x:c r="L117" s="161"/>
      <x:c r="M117" s="161"/>
      <x:c r="N117" s="161"/>
      <x:c r="O117" s="161"/>
      <x:c r="P117" s="161"/>
      <x:c r="Q117" s="161"/>
      <x:c r="R117" s="161"/>
      <x:c r="S117" s="161"/>
      <x:c r="T117" s="161"/>
      <x:c r="U117" s="161"/>
      <x:c r="V117" s="161"/>
      <x:c r="W117" s="161"/>
      <x:c r="X117" s="161"/>
      <x:c r="Y117" s="161"/>
      <x:c r="Z117" s="161"/>
    </x:row>
    <x:row r="118">
      <x:c r="A118" s="129" t="str">
        <x:f>IF(B118&lt;&gt;"","PROP-"&amp;TEXT(ROW()-5,"000"),"")</x:f>
      </x:c>
      <x:c r="B118" s="108"/>
      <x:c r="C118" s="129" t="str">
        <x:f>IFERROR(VLOOKUP(B118,'06 Oportunidades'!$A$6:$M$200,3,FALSE),"")</x:f>
      </x:c>
      <x:c r="D118" s="124"/>
      <x:c r="E118" s="112"/>
      <x:c r="F118" s="108"/>
      <x:c r="G118" s="124"/>
      <x:c r="H118" s="129" t="str">
        <x:f>IF(G118="","",G118-TODAY())</x:f>
      </x:c>
      <x:c r="I118" s="108"/>
      <x:c r="J118" s="108"/>
      <x:c r="K118" s="108"/>
      <x:c r="L118" s="161"/>
      <x:c r="M118" s="161"/>
      <x:c r="N118" s="161"/>
      <x:c r="O118" s="161"/>
      <x:c r="P118" s="161"/>
      <x:c r="Q118" s="161"/>
      <x:c r="R118" s="161"/>
      <x:c r="S118" s="161"/>
      <x:c r="T118" s="161"/>
      <x:c r="U118" s="161"/>
      <x:c r="V118" s="161"/>
      <x:c r="W118" s="161"/>
      <x:c r="X118" s="161"/>
      <x:c r="Y118" s="161"/>
      <x:c r="Z118" s="161"/>
    </x:row>
    <x:row r="119">
      <x:c r="A119" s="129" t="str">
        <x:f>IF(B119&lt;&gt;"","PROP-"&amp;TEXT(ROW()-5,"000"),"")</x:f>
      </x:c>
      <x:c r="B119" s="108"/>
      <x:c r="C119" s="129" t="str">
        <x:f>IFERROR(VLOOKUP(B119,'06 Oportunidades'!$A$6:$M$200,3,FALSE),"")</x:f>
      </x:c>
      <x:c r="D119" s="124"/>
      <x:c r="E119" s="112"/>
      <x:c r="F119" s="108"/>
      <x:c r="G119" s="124"/>
      <x:c r="H119" s="129" t="str">
        <x:f>IF(G119="","",G119-TODAY())</x:f>
      </x:c>
      <x:c r="I119" s="108"/>
      <x:c r="J119" s="108"/>
      <x:c r="K119" s="108"/>
      <x:c r="L119" s="161"/>
      <x:c r="M119" s="161"/>
      <x:c r="N119" s="161"/>
      <x:c r="O119" s="161"/>
      <x:c r="P119" s="161"/>
      <x:c r="Q119" s="161"/>
      <x:c r="R119" s="161"/>
      <x:c r="S119" s="161"/>
      <x:c r="T119" s="161"/>
      <x:c r="U119" s="161"/>
      <x:c r="V119" s="161"/>
      <x:c r="W119" s="161"/>
      <x:c r="X119" s="161"/>
      <x:c r="Y119" s="161"/>
      <x:c r="Z119" s="161"/>
    </x:row>
    <x:row r="120">
      <x:c r="A120" s="129" t="str">
        <x:f>IF(B120&lt;&gt;"","PROP-"&amp;TEXT(ROW()-5,"000"),"")</x:f>
      </x:c>
      <x:c r="B120" s="108"/>
      <x:c r="C120" s="129" t="str">
        <x:f>IFERROR(VLOOKUP(B120,'06 Oportunidades'!$A$6:$M$200,3,FALSE),"")</x:f>
      </x:c>
      <x:c r="D120" s="124"/>
      <x:c r="E120" s="112"/>
      <x:c r="F120" s="108"/>
      <x:c r="G120" s="124"/>
      <x:c r="H120" s="129" t="str">
        <x:f>IF(G120="","",G120-TODAY())</x:f>
      </x:c>
      <x:c r="I120" s="108"/>
      <x:c r="J120" s="108"/>
      <x:c r="K120" s="108"/>
      <x:c r="L120" s="161"/>
      <x:c r="M120" s="161"/>
      <x:c r="N120" s="161"/>
      <x:c r="O120" s="161"/>
      <x:c r="P120" s="161"/>
      <x:c r="Q120" s="161"/>
      <x:c r="R120" s="161"/>
      <x:c r="S120" s="161"/>
      <x:c r="T120" s="161"/>
      <x:c r="U120" s="161"/>
      <x:c r="V120" s="161"/>
      <x:c r="W120" s="161"/>
      <x:c r="X120" s="161"/>
      <x:c r="Y120" s="161"/>
      <x:c r="Z120" s="161"/>
    </x:row>
    <x:row r="121">
      <x:c r="A121" s="129" t="str">
        <x:f>IF(B121&lt;&gt;"","PROP-"&amp;TEXT(ROW()-5,"000"),"")</x:f>
      </x:c>
      <x:c r="B121" s="108"/>
      <x:c r="C121" s="129" t="str">
        <x:f>IFERROR(VLOOKUP(B121,'06 Oportunidades'!$A$6:$M$200,3,FALSE),"")</x:f>
      </x:c>
      <x:c r="D121" s="124"/>
      <x:c r="E121" s="112"/>
      <x:c r="F121" s="108"/>
      <x:c r="G121" s="124"/>
      <x:c r="H121" s="129" t="str">
        <x:f>IF(G121="","",G121-TODAY())</x:f>
      </x:c>
      <x:c r="I121" s="108"/>
      <x:c r="J121" s="108"/>
      <x:c r="K121" s="108"/>
      <x:c r="L121" s="161"/>
      <x:c r="M121" s="161"/>
      <x:c r="N121" s="161"/>
      <x:c r="O121" s="161"/>
      <x:c r="P121" s="161"/>
      <x:c r="Q121" s="161"/>
      <x:c r="R121" s="161"/>
      <x:c r="S121" s="161"/>
      <x:c r="T121" s="161"/>
      <x:c r="U121" s="161"/>
      <x:c r="V121" s="161"/>
      <x:c r="W121" s="161"/>
      <x:c r="X121" s="161"/>
      <x:c r="Y121" s="161"/>
      <x:c r="Z121" s="161"/>
    </x:row>
    <x:row r="122">
      <x:c r="A122" s="129" t="str">
        <x:f>IF(B122&lt;&gt;"","PROP-"&amp;TEXT(ROW()-5,"000"),"")</x:f>
      </x:c>
      <x:c r="B122" s="108"/>
      <x:c r="C122" s="129" t="str">
        <x:f>IFERROR(VLOOKUP(B122,'06 Oportunidades'!$A$6:$M$200,3,FALSE),"")</x:f>
      </x:c>
      <x:c r="D122" s="124"/>
      <x:c r="E122" s="112"/>
      <x:c r="F122" s="108"/>
      <x:c r="G122" s="124"/>
      <x:c r="H122" s="129" t="str">
        <x:f>IF(G122="","",G122-TODAY())</x:f>
      </x:c>
      <x:c r="I122" s="108"/>
      <x:c r="J122" s="108"/>
      <x:c r="K122" s="108"/>
      <x:c r="L122" s="161"/>
      <x:c r="M122" s="161"/>
      <x:c r="N122" s="161"/>
      <x:c r="O122" s="161"/>
      <x:c r="P122" s="161"/>
      <x:c r="Q122" s="161"/>
      <x:c r="R122" s="161"/>
      <x:c r="S122" s="161"/>
      <x:c r="T122" s="161"/>
      <x:c r="U122" s="161"/>
      <x:c r="V122" s="161"/>
      <x:c r="W122" s="161"/>
      <x:c r="X122" s="161"/>
      <x:c r="Y122" s="161"/>
      <x:c r="Z122" s="161"/>
    </x:row>
    <x:row r="123">
      <x:c r="A123" s="129" t="str">
        <x:f>IF(B123&lt;&gt;"","PROP-"&amp;TEXT(ROW()-5,"000"),"")</x:f>
      </x:c>
      <x:c r="B123" s="108"/>
      <x:c r="C123" s="129" t="str">
        <x:f>IFERROR(VLOOKUP(B123,'06 Oportunidades'!$A$6:$M$200,3,FALSE),"")</x:f>
      </x:c>
      <x:c r="D123" s="124"/>
      <x:c r="E123" s="112"/>
      <x:c r="F123" s="108"/>
      <x:c r="G123" s="124"/>
      <x:c r="H123" s="129" t="str">
        <x:f>IF(G123="","",G123-TODAY())</x:f>
      </x:c>
      <x:c r="I123" s="108"/>
      <x:c r="J123" s="108"/>
      <x:c r="K123" s="108"/>
      <x:c r="L123" s="161"/>
      <x:c r="M123" s="161"/>
      <x:c r="N123" s="161"/>
      <x:c r="O123" s="161"/>
      <x:c r="P123" s="161"/>
      <x:c r="Q123" s="161"/>
      <x:c r="R123" s="161"/>
      <x:c r="S123" s="161"/>
      <x:c r="T123" s="161"/>
      <x:c r="U123" s="161"/>
      <x:c r="V123" s="161"/>
      <x:c r="W123" s="161"/>
      <x:c r="X123" s="161"/>
      <x:c r="Y123" s="161"/>
      <x:c r="Z123" s="161"/>
    </x:row>
    <x:row r="124">
      <x:c r="A124" s="129" t="str">
        <x:f>IF(B124&lt;&gt;"","PROP-"&amp;TEXT(ROW()-5,"000"),"")</x:f>
      </x:c>
      <x:c r="B124" s="108"/>
      <x:c r="C124" s="129" t="str">
        <x:f>IFERROR(VLOOKUP(B124,'06 Oportunidades'!$A$6:$M$200,3,FALSE),"")</x:f>
      </x:c>
      <x:c r="D124" s="124"/>
      <x:c r="E124" s="112"/>
      <x:c r="F124" s="108"/>
      <x:c r="G124" s="124"/>
      <x:c r="H124" s="129" t="str">
        <x:f>IF(G124="","",G124-TODAY())</x:f>
      </x:c>
      <x:c r="I124" s="108"/>
      <x:c r="J124" s="108"/>
      <x:c r="K124" s="108"/>
      <x:c r="L124" s="161"/>
      <x:c r="M124" s="161"/>
      <x:c r="N124" s="161"/>
      <x:c r="O124" s="161"/>
      <x:c r="P124" s="161"/>
      <x:c r="Q124" s="161"/>
      <x:c r="R124" s="161"/>
      <x:c r="S124" s="161"/>
      <x:c r="T124" s="161"/>
      <x:c r="U124" s="161"/>
      <x:c r="V124" s="161"/>
      <x:c r="W124" s="161"/>
      <x:c r="X124" s="161"/>
      <x:c r="Y124" s="161"/>
      <x:c r="Z124" s="161"/>
    </x:row>
    <x:row r="125">
      <x:c r="A125" s="129" t="str">
        <x:f>IF(B125&lt;&gt;"","PROP-"&amp;TEXT(ROW()-5,"000"),"")</x:f>
      </x:c>
      <x:c r="B125" s="108"/>
      <x:c r="C125" s="129" t="str">
        <x:f>IFERROR(VLOOKUP(B125,'06 Oportunidades'!$A$6:$M$200,3,FALSE),"")</x:f>
      </x:c>
      <x:c r="D125" s="124"/>
      <x:c r="E125" s="112"/>
      <x:c r="F125" s="108"/>
      <x:c r="G125" s="124"/>
      <x:c r="H125" s="129" t="str">
        <x:f>IF(G125="","",G125-TODAY())</x:f>
      </x:c>
      <x:c r="I125" s="108"/>
      <x:c r="J125" s="108"/>
      <x:c r="K125" s="108"/>
      <x:c r="L125" s="161"/>
      <x:c r="M125" s="161"/>
      <x:c r="N125" s="161"/>
      <x:c r="O125" s="161"/>
      <x:c r="P125" s="161"/>
      <x:c r="Q125" s="161"/>
      <x:c r="R125" s="161"/>
      <x:c r="S125" s="161"/>
      <x:c r="T125" s="161"/>
      <x:c r="U125" s="161"/>
      <x:c r="V125" s="161"/>
      <x:c r="W125" s="161"/>
      <x:c r="X125" s="161"/>
      <x:c r="Y125" s="161"/>
      <x:c r="Z125" s="161"/>
    </x:row>
    <x:row r="126">
      <x:c r="A126" s="129" t="str">
        <x:f>IF(B126&lt;&gt;"","PROP-"&amp;TEXT(ROW()-5,"000"),"")</x:f>
      </x:c>
      <x:c r="B126" s="108"/>
      <x:c r="C126" s="129" t="str">
        <x:f>IFERROR(VLOOKUP(B126,'06 Oportunidades'!$A$6:$M$200,3,FALSE),"")</x:f>
      </x:c>
      <x:c r="D126" s="124"/>
      <x:c r="E126" s="112"/>
      <x:c r="F126" s="108"/>
      <x:c r="G126" s="124"/>
      <x:c r="H126" s="129" t="str">
        <x:f>IF(G126="","",G126-TODAY())</x:f>
      </x:c>
      <x:c r="I126" s="108"/>
      <x:c r="J126" s="108"/>
      <x:c r="K126" s="108"/>
      <x:c r="L126" s="161"/>
      <x:c r="M126" s="161"/>
      <x:c r="N126" s="161"/>
      <x:c r="O126" s="161"/>
      <x:c r="P126" s="161"/>
      <x:c r="Q126" s="161"/>
      <x:c r="R126" s="161"/>
      <x:c r="S126" s="161"/>
      <x:c r="T126" s="161"/>
      <x:c r="U126" s="161"/>
      <x:c r="V126" s="161"/>
      <x:c r="W126" s="161"/>
      <x:c r="X126" s="161"/>
      <x:c r="Y126" s="161"/>
      <x:c r="Z126" s="161"/>
    </x:row>
    <x:row r="127">
      <x:c r="A127" s="129" t="str">
        <x:f>IF(B127&lt;&gt;"","PROP-"&amp;TEXT(ROW()-5,"000"),"")</x:f>
      </x:c>
      <x:c r="B127" s="108"/>
      <x:c r="C127" s="129" t="str">
        <x:f>IFERROR(VLOOKUP(B127,'06 Oportunidades'!$A$6:$M$200,3,FALSE),"")</x:f>
      </x:c>
      <x:c r="D127" s="124"/>
      <x:c r="E127" s="112"/>
      <x:c r="F127" s="108"/>
      <x:c r="G127" s="124"/>
      <x:c r="H127" s="129" t="str">
        <x:f>IF(G127="","",G127-TODAY())</x:f>
      </x:c>
      <x:c r="I127" s="108"/>
      <x:c r="J127" s="108"/>
      <x:c r="K127" s="108"/>
      <x:c r="L127" s="161"/>
      <x:c r="M127" s="161"/>
      <x:c r="N127" s="161"/>
      <x:c r="O127" s="161"/>
      <x:c r="P127" s="161"/>
      <x:c r="Q127" s="161"/>
      <x:c r="R127" s="161"/>
      <x:c r="S127" s="161"/>
      <x:c r="T127" s="161"/>
      <x:c r="U127" s="161"/>
      <x:c r="V127" s="161"/>
      <x:c r="W127" s="161"/>
      <x:c r="X127" s="161"/>
      <x:c r="Y127" s="161"/>
      <x:c r="Z127" s="161"/>
    </x:row>
    <x:row r="128">
      <x:c r="A128" s="129" t="str">
        <x:f>IF(B128&lt;&gt;"","PROP-"&amp;TEXT(ROW()-5,"000"),"")</x:f>
      </x:c>
      <x:c r="B128" s="108"/>
      <x:c r="C128" s="129" t="str">
        <x:f>IFERROR(VLOOKUP(B128,'06 Oportunidades'!$A$6:$M$200,3,FALSE),"")</x:f>
      </x:c>
      <x:c r="D128" s="124"/>
      <x:c r="E128" s="112"/>
      <x:c r="F128" s="108"/>
      <x:c r="G128" s="124"/>
      <x:c r="H128" s="129" t="str">
        <x:f>IF(G128="","",G128-TODAY())</x:f>
      </x:c>
      <x:c r="I128" s="108"/>
      <x:c r="J128" s="108"/>
      <x:c r="K128" s="108"/>
      <x:c r="L128" s="161"/>
      <x:c r="M128" s="161"/>
      <x:c r="N128" s="161"/>
      <x:c r="O128" s="161"/>
      <x:c r="P128" s="161"/>
      <x:c r="Q128" s="161"/>
      <x:c r="R128" s="161"/>
      <x:c r="S128" s="161"/>
      <x:c r="T128" s="161"/>
      <x:c r="U128" s="161"/>
      <x:c r="V128" s="161"/>
      <x:c r="W128" s="161"/>
      <x:c r="X128" s="161"/>
      <x:c r="Y128" s="161"/>
      <x:c r="Z128" s="161"/>
    </x:row>
    <x:row r="129">
      <x:c r="A129" s="129" t="str">
        <x:f>IF(B129&lt;&gt;"","PROP-"&amp;TEXT(ROW()-5,"000"),"")</x:f>
      </x:c>
      <x:c r="B129" s="108"/>
      <x:c r="C129" s="129" t="str">
        <x:f>IFERROR(VLOOKUP(B129,'06 Oportunidades'!$A$6:$M$200,3,FALSE),"")</x:f>
      </x:c>
      <x:c r="D129" s="124"/>
      <x:c r="E129" s="112"/>
      <x:c r="F129" s="108"/>
      <x:c r="G129" s="124"/>
      <x:c r="H129" s="129" t="str">
        <x:f>IF(G129="","",G129-TODAY())</x:f>
      </x:c>
      <x:c r="I129" s="108"/>
      <x:c r="J129" s="108"/>
      <x:c r="K129" s="108"/>
      <x:c r="L129" s="161"/>
      <x:c r="M129" s="161"/>
      <x:c r="N129" s="161"/>
      <x:c r="O129" s="161"/>
      <x:c r="P129" s="161"/>
      <x:c r="Q129" s="161"/>
      <x:c r="R129" s="161"/>
      <x:c r="S129" s="161"/>
      <x:c r="T129" s="161"/>
      <x:c r="U129" s="161"/>
      <x:c r="V129" s="161"/>
      <x:c r="W129" s="161"/>
      <x:c r="X129" s="161"/>
      <x:c r="Y129" s="161"/>
      <x:c r="Z129" s="161"/>
    </x:row>
    <x:row r="130">
      <x:c r="A130" s="129" t="str">
        <x:f>IF(B130&lt;&gt;"","PROP-"&amp;TEXT(ROW()-5,"000"),"")</x:f>
      </x:c>
      <x:c r="B130" s="108"/>
      <x:c r="C130" s="129" t="str">
        <x:f>IFERROR(VLOOKUP(B130,'06 Oportunidades'!$A$6:$M$200,3,FALSE),"")</x:f>
      </x:c>
      <x:c r="D130" s="124"/>
      <x:c r="E130" s="112"/>
      <x:c r="F130" s="108"/>
      <x:c r="G130" s="124"/>
      <x:c r="H130" s="129" t="str">
        <x:f>IF(G130="","",G130-TODAY())</x:f>
      </x:c>
      <x:c r="I130" s="108"/>
      <x:c r="J130" s="108"/>
      <x:c r="K130" s="108"/>
      <x:c r="L130" s="161"/>
      <x:c r="M130" s="161"/>
      <x:c r="N130" s="161"/>
      <x:c r="O130" s="161"/>
      <x:c r="P130" s="161"/>
      <x:c r="Q130" s="161"/>
      <x:c r="R130" s="161"/>
      <x:c r="S130" s="161"/>
      <x:c r="T130" s="161"/>
      <x:c r="U130" s="161"/>
      <x:c r="V130" s="161"/>
      <x:c r="W130" s="161"/>
      <x:c r="X130" s="161"/>
      <x:c r="Y130" s="161"/>
      <x:c r="Z130" s="161"/>
    </x:row>
    <x:row r="131">
      <x:c r="A131" s="129" t="str">
        <x:f>IF(B131&lt;&gt;"","PROP-"&amp;TEXT(ROW()-5,"000"),"")</x:f>
      </x:c>
      <x:c r="B131" s="108"/>
      <x:c r="C131" s="129" t="str">
        <x:f>IFERROR(VLOOKUP(B131,'06 Oportunidades'!$A$6:$M$200,3,FALSE),"")</x:f>
      </x:c>
      <x:c r="D131" s="124"/>
      <x:c r="E131" s="112"/>
      <x:c r="F131" s="108"/>
      <x:c r="G131" s="124"/>
      <x:c r="H131" s="129" t="str">
        <x:f>IF(G131="","",G131-TODAY())</x:f>
      </x:c>
      <x:c r="I131" s="108"/>
      <x:c r="J131" s="108"/>
      <x:c r="K131" s="108"/>
      <x:c r="L131" s="161"/>
      <x:c r="M131" s="161"/>
      <x:c r="N131" s="161"/>
      <x:c r="O131" s="161"/>
      <x:c r="P131" s="161"/>
      <x:c r="Q131" s="161"/>
      <x:c r="R131" s="161"/>
      <x:c r="S131" s="161"/>
      <x:c r="T131" s="161"/>
      <x:c r="U131" s="161"/>
      <x:c r="V131" s="161"/>
      <x:c r="W131" s="161"/>
      <x:c r="X131" s="161"/>
      <x:c r="Y131" s="161"/>
      <x:c r="Z131" s="161"/>
    </x:row>
    <x:row r="132">
      <x:c r="A132" s="129" t="str">
        <x:f>IF(B132&lt;&gt;"","PROP-"&amp;TEXT(ROW()-5,"000"),"")</x:f>
      </x:c>
      <x:c r="B132" s="108"/>
      <x:c r="C132" s="129" t="str">
        <x:f>IFERROR(VLOOKUP(B132,'06 Oportunidades'!$A$6:$M$200,3,FALSE),"")</x:f>
      </x:c>
      <x:c r="D132" s="124"/>
      <x:c r="E132" s="112"/>
      <x:c r="F132" s="108"/>
      <x:c r="G132" s="124"/>
      <x:c r="H132" s="129" t="str">
        <x:f>IF(G132="","",G132-TODAY())</x:f>
      </x:c>
      <x:c r="I132" s="108"/>
      <x:c r="J132" s="108"/>
      <x:c r="K132" s="108"/>
      <x:c r="L132" s="161"/>
      <x:c r="M132" s="161"/>
      <x:c r="N132" s="161"/>
      <x:c r="O132" s="161"/>
      <x:c r="P132" s="161"/>
      <x:c r="Q132" s="161"/>
      <x:c r="R132" s="161"/>
      <x:c r="S132" s="161"/>
      <x:c r="T132" s="161"/>
      <x:c r="U132" s="161"/>
      <x:c r="V132" s="161"/>
      <x:c r="W132" s="161"/>
      <x:c r="X132" s="161"/>
      <x:c r="Y132" s="161"/>
      <x:c r="Z132" s="161"/>
    </x:row>
    <x:row r="133">
      <x:c r="A133" s="129" t="str">
        <x:f>IF(B133&lt;&gt;"","PROP-"&amp;TEXT(ROW()-5,"000"),"")</x:f>
      </x:c>
      <x:c r="B133" s="108"/>
      <x:c r="C133" s="129" t="str">
        <x:f>IFERROR(VLOOKUP(B133,'06 Oportunidades'!$A$6:$M$200,3,FALSE),"")</x:f>
      </x:c>
      <x:c r="D133" s="124"/>
      <x:c r="E133" s="112"/>
      <x:c r="F133" s="108"/>
      <x:c r="G133" s="124"/>
      <x:c r="H133" s="129" t="str">
        <x:f>IF(G133="","",G133-TODAY())</x:f>
      </x:c>
      <x:c r="I133" s="108"/>
      <x:c r="J133" s="108"/>
      <x:c r="K133" s="108"/>
      <x:c r="L133" s="161"/>
      <x:c r="M133" s="161"/>
      <x:c r="N133" s="161"/>
      <x:c r="O133" s="161"/>
      <x:c r="P133" s="161"/>
      <x:c r="Q133" s="161"/>
      <x:c r="R133" s="161"/>
      <x:c r="S133" s="161"/>
      <x:c r="T133" s="161"/>
      <x:c r="U133" s="161"/>
      <x:c r="V133" s="161"/>
      <x:c r="W133" s="161"/>
      <x:c r="X133" s="161"/>
      <x:c r="Y133" s="161"/>
      <x:c r="Z133" s="161"/>
    </x:row>
    <x:row r="134">
      <x:c r="A134" s="129" t="str">
        <x:f>IF(B134&lt;&gt;"","PROP-"&amp;TEXT(ROW()-5,"000"),"")</x:f>
      </x:c>
      <x:c r="B134" s="108"/>
      <x:c r="C134" s="129" t="str">
        <x:f>IFERROR(VLOOKUP(B134,'06 Oportunidades'!$A$6:$M$200,3,FALSE),"")</x:f>
      </x:c>
      <x:c r="D134" s="124"/>
      <x:c r="E134" s="112"/>
      <x:c r="F134" s="108"/>
      <x:c r="G134" s="124"/>
      <x:c r="H134" s="129" t="str">
        <x:f>IF(G134="","",G134-TODAY())</x:f>
      </x:c>
      <x:c r="I134" s="108"/>
      <x:c r="J134" s="108"/>
      <x:c r="K134" s="108"/>
      <x:c r="L134" s="161"/>
      <x:c r="M134" s="161"/>
      <x:c r="N134" s="161"/>
      <x:c r="O134" s="161"/>
      <x:c r="P134" s="161"/>
      <x:c r="Q134" s="161"/>
      <x:c r="R134" s="161"/>
      <x:c r="S134" s="161"/>
      <x:c r="T134" s="161"/>
      <x:c r="U134" s="161"/>
      <x:c r="V134" s="161"/>
      <x:c r="W134" s="161"/>
      <x:c r="X134" s="161"/>
      <x:c r="Y134" s="161"/>
      <x:c r="Z134" s="161"/>
    </x:row>
    <x:row r="135">
      <x:c r="A135" s="129" t="str">
        <x:f>IF(B135&lt;&gt;"","PROP-"&amp;TEXT(ROW()-5,"000"),"")</x:f>
      </x:c>
      <x:c r="B135" s="108"/>
      <x:c r="C135" s="129" t="str">
        <x:f>IFERROR(VLOOKUP(B135,'06 Oportunidades'!$A$6:$M$200,3,FALSE),"")</x:f>
      </x:c>
      <x:c r="D135" s="124"/>
      <x:c r="E135" s="112"/>
      <x:c r="F135" s="108"/>
      <x:c r="G135" s="124"/>
      <x:c r="H135" s="129" t="str">
        <x:f>IF(G135="","",G135-TODAY())</x:f>
      </x:c>
      <x:c r="I135" s="108"/>
      <x:c r="J135" s="108"/>
      <x:c r="K135" s="108"/>
      <x:c r="L135" s="161"/>
      <x:c r="M135" s="161"/>
      <x:c r="N135" s="161"/>
      <x:c r="O135" s="161"/>
      <x:c r="P135" s="161"/>
      <x:c r="Q135" s="161"/>
      <x:c r="R135" s="161"/>
      <x:c r="S135" s="161"/>
      <x:c r="T135" s="161"/>
      <x:c r="U135" s="161"/>
      <x:c r="V135" s="161"/>
      <x:c r="W135" s="161"/>
      <x:c r="X135" s="161"/>
      <x:c r="Y135" s="161"/>
      <x:c r="Z135" s="161"/>
    </x:row>
    <x:row r="136">
      <x:c r="A136" s="129" t="str">
        <x:f>IF(B136&lt;&gt;"","PROP-"&amp;TEXT(ROW()-5,"000"),"")</x:f>
      </x:c>
      <x:c r="B136" s="108"/>
      <x:c r="C136" s="129" t="str">
        <x:f>IFERROR(VLOOKUP(B136,'06 Oportunidades'!$A$6:$M$200,3,FALSE),"")</x:f>
      </x:c>
      <x:c r="D136" s="124"/>
      <x:c r="E136" s="112"/>
      <x:c r="F136" s="108"/>
      <x:c r="G136" s="124"/>
      <x:c r="H136" s="129" t="str">
        <x:f>IF(G136="","",G136-TODAY())</x:f>
      </x:c>
      <x:c r="I136" s="108"/>
      <x:c r="J136" s="108"/>
      <x:c r="K136" s="108"/>
      <x:c r="L136" s="161"/>
      <x:c r="M136" s="161"/>
      <x:c r="N136" s="161"/>
      <x:c r="O136" s="161"/>
      <x:c r="P136" s="161"/>
      <x:c r="Q136" s="161"/>
      <x:c r="R136" s="161"/>
      <x:c r="S136" s="161"/>
      <x:c r="T136" s="161"/>
      <x:c r="U136" s="161"/>
      <x:c r="V136" s="161"/>
      <x:c r="W136" s="161"/>
      <x:c r="X136" s="161"/>
      <x:c r="Y136" s="161"/>
      <x:c r="Z136" s="161"/>
    </x:row>
    <x:row r="137">
      <x:c r="A137" s="129" t="str">
        <x:f>IF(B137&lt;&gt;"","PROP-"&amp;TEXT(ROW()-5,"000"),"")</x:f>
      </x:c>
      <x:c r="B137" s="108"/>
      <x:c r="C137" s="129" t="str">
        <x:f>IFERROR(VLOOKUP(B137,'06 Oportunidades'!$A$6:$M$200,3,FALSE),"")</x:f>
      </x:c>
      <x:c r="D137" s="124"/>
      <x:c r="E137" s="112"/>
      <x:c r="F137" s="108"/>
      <x:c r="G137" s="124"/>
      <x:c r="H137" s="129" t="str">
        <x:f>IF(G137="","",G137-TODAY())</x:f>
      </x:c>
      <x:c r="I137" s="108"/>
      <x:c r="J137" s="108"/>
      <x:c r="K137" s="108"/>
      <x:c r="L137" s="161"/>
      <x:c r="M137" s="161"/>
      <x:c r="N137" s="161"/>
      <x:c r="O137" s="161"/>
      <x:c r="P137" s="161"/>
      <x:c r="Q137" s="161"/>
      <x:c r="R137" s="161"/>
      <x:c r="S137" s="161"/>
      <x:c r="T137" s="161"/>
      <x:c r="U137" s="161"/>
      <x:c r="V137" s="161"/>
      <x:c r="W137" s="161"/>
      <x:c r="X137" s="161"/>
      <x:c r="Y137" s="161"/>
      <x:c r="Z137" s="161"/>
    </x:row>
    <x:row r="138">
      <x:c r="A138" s="129" t="str">
        <x:f>IF(B138&lt;&gt;"","PROP-"&amp;TEXT(ROW()-5,"000"),"")</x:f>
      </x:c>
      <x:c r="B138" s="108"/>
      <x:c r="C138" s="129" t="str">
        <x:f>IFERROR(VLOOKUP(B138,'06 Oportunidades'!$A$6:$M$200,3,FALSE),"")</x:f>
      </x:c>
      <x:c r="D138" s="124"/>
      <x:c r="E138" s="112"/>
      <x:c r="F138" s="108"/>
      <x:c r="G138" s="124"/>
      <x:c r="H138" s="129" t="str">
        <x:f>IF(G138="","",G138-TODAY())</x:f>
      </x:c>
      <x:c r="I138" s="108"/>
      <x:c r="J138" s="108"/>
      <x:c r="K138" s="108"/>
      <x:c r="L138" s="161"/>
      <x:c r="M138" s="161"/>
      <x:c r="N138" s="161"/>
      <x:c r="O138" s="161"/>
      <x:c r="P138" s="161"/>
      <x:c r="Q138" s="161"/>
      <x:c r="R138" s="161"/>
      <x:c r="S138" s="161"/>
      <x:c r="T138" s="161"/>
      <x:c r="U138" s="161"/>
      <x:c r="V138" s="161"/>
      <x:c r="W138" s="161"/>
      <x:c r="X138" s="161"/>
      <x:c r="Y138" s="161"/>
      <x:c r="Z138" s="161"/>
    </x:row>
    <x:row r="139">
      <x:c r="A139" s="129" t="str">
        <x:f>IF(B139&lt;&gt;"","PROP-"&amp;TEXT(ROW()-5,"000"),"")</x:f>
      </x:c>
      <x:c r="B139" s="108"/>
      <x:c r="C139" s="129" t="str">
        <x:f>IFERROR(VLOOKUP(B139,'06 Oportunidades'!$A$6:$M$200,3,FALSE),"")</x:f>
      </x:c>
      <x:c r="D139" s="124"/>
      <x:c r="E139" s="112"/>
      <x:c r="F139" s="108"/>
      <x:c r="G139" s="124"/>
      <x:c r="H139" s="129" t="str">
        <x:f>IF(G139="","",G139-TODAY())</x:f>
      </x:c>
      <x:c r="I139" s="108"/>
      <x:c r="J139" s="108"/>
      <x:c r="K139" s="108"/>
      <x:c r="L139" s="161"/>
      <x:c r="M139" s="161"/>
      <x:c r="N139" s="161"/>
      <x:c r="O139" s="161"/>
      <x:c r="P139" s="161"/>
      <x:c r="Q139" s="161"/>
      <x:c r="R139" s="161"/>
      <x:c r="S139" s="161"/>
      <x:c r="T139" s="161"/>
      <x:c r="U139" s="161"/>
      <x:c r="V139" s="161"/>
      <x:c r="W139" s="161"/>
      <x:c r="X139" s="161"/>
      <x:c r="Y139" s="161"/>
      <x:c r="Z139" s="161"/>
    </x:row>
    <x:row r="140">
      <x:c r="A140" s="129" t="str">
        <x:f>IF(B140&lt;&gt;"","PROP-"&amp;TEXT(ROW()-5,"000"),"")</x:f>
      </x:c>
      <x:c r="B140" s="108"/>
      <x:c r="C140" s="129" t="str">
        <x:f>IFERROR(VLOOKUP(B140,'06 Oportunidades'!$A$6:$M$200,3,FALSE),"")</x:f>
      </x:c>
      <x:c r="D140" s="124"/>
      <x:c r="E140" s="112"/>
      <x:c r="F140" s="108"/>
      <x:c r="G140" s="124"/>
      <x:c r="H140" s="129" t="str">
        <x:f>IF(G140="","",G140-TODAY())</x:f>
      </x:c>
      <x:c r="I140" s="108"/>
      <x:c r="J140" s="108"/>
      <x:c r="K140" s="108"/>
      <x:c r="L140" s="161"/>
      <x:c r="M140" s="161"/>
      <x:c r="N140" s="161"/>
      <x:c r="O140" s="161"/>
      <x:c r="P140" s="161"/>
      <x:c r="Q140" s="161"/>
      <x:c r="R140" s="161"/>
      <x:c r="S140" s="161"/>
      <x:c r="T140" s="161"/>
      <x:c r="U140" s="161"/>
      <x:c r="V140" s="161"/>
      <x:c r="W140" s="161"/>
      <x:c r="X140" s="161"/>
      <x:c r="Y140" s="161"/>
      <x:c r="Z140" s="161"/>
    </x:row>
    <x:row r="141">
      <x:c r="A141" s="129" t="str">
        <x:f>IF(B141&lt;&gt;"","PROP-"&amp;TEXT(ROW()-5,"000"),"")</x:f>
      </x:c>
      <x:c r="B141" s="108"/>
      <x:c r="C141" s="129" t="str">
        <x:f>IFERROR(VLOOKUP(B141,'06 Oportunidades'!$A$6:$M$200,3,FALSE),"")</x:f>
      </x:c>
      <x:c r="D141" s="124"/>
      <x:c r="E141" s="112"/>
      <x:c r="F141" s="108"/>
      <x:c r="G141" s="124"/>
      <x:c r="H141" s="129" t="str">
        <x:f>IF(G141="","",G141-TODAY())</x:f>
      </x:c>
      <x:c r="I141" s="108"/>
      <x:c r="J141" s="108"/>
      <x:c r="K141" s="108"/>
      <x:c r="L141" s="161"/>
      <x:c r="M141" s="161"/>
      <x:c r="N141" s="161"/>
      <x:c r="O141" s="161"/>
      <x:c r="P141" s="161"/>
      <x:c r="Q141" s="161"/>
      <x:c r="R141" s="161"/>
      <x:c r="S141" s="161"/>
      <x:c r="T141" s="161"/>
      <x:c r="U141" s="161"/>
      <x:c r="V141" s="161"/>
      <x:c r="W141" s="161"/>
      <x:c r="X141" s="161"/>
      <x:c r="Y141" s="161"/>
      <x:c r="Z141" s="161"/>
    </x:row>
    <x:row r="142">
      <x:c r="A142" s="129" t="str">
        <x:f>IF(B142&lt;&gt;"","PROP-"&amp;TEXT(ROW()-5,"000"),"")</x:f>
      </x:c>
      <x:c r="B142" s="108"/>
      <x:c r="C142" s="129" t="str">
        <x:f>IFERROR(VLOOKUP(B142,'06 Oportunidades'!$A$6:$M$200,3,FALSE),"")</x:f>
      </x:c>
      <x:c r="D142" s="124"/>
      <x:c r="E142" s="112"/>
      <x:c r="F142" s="108"/>
      <x:c r="G142" s="124"/>
      <x:c r="H142" s="129" t="str">
        <x:f>IF(G142="","",G142-TODAY())</x:f>
      </x:c>
      <x:c r="I142" s="108"/>
      <x:c r="J142" s="108"/>
      <x:c r="K142" s="108"/>
      <x:c r="L142" s="161"/>
      <x:c r="M142" s="161"/>
      <x:c r="N142" s="161"/>
      <x:c r="O142" s="161"/>
      <x:c r="P142" s="161"/>
      <x:c r="Q142" s="161"/>
      <x:c r="R142" s="161"/>
      <x:c r="S142" s="161"/>
      <x:c r="T142" s="161"/>
      <x:c r="U142" s="161"/>
      <x:c r="V142" s="161"/>
      <x:c r="W142" s="161"/>
      <x:c r="X142" s="161"/>
      <x:c r="Y142" s="161"/>
      <x:c r="Z142" s="161"/>
    </x:row>
    <x:row r="143">
      <x:c r="A143" s="129" t="str">
        <x:f>IF(B143&lt;&gt;"","PROP-"&amp;TEXT(ROW()-5,"000"),"")</x:f>
      </x:c>
      <x:c r="B143" s="108"/>
      <x:c r="C143" s="129" t="str">
        <x:f>IFERROR(VLOOKUP(B143,'06 Oportunidades'!$A$6:$M$200,3,FALSE),"")</x:f>
      </x:c>
      <x:c r="D143" s="124"/>
      <x:c r="E143" s="112"/>
      <x:c r="F143" s="108"/>
      <x:c r="G143" s="124"/>
      <x:c r="H143" s="129" t="str">
        <x:f>IF(G143="","",G143-TODAY())</x:f>
      </x:c>
      <x:c r="I143" s="108"/>
      <x:c r="J143" s="108"/>
      <x:c r="K143" s="108"/>
      <x:c r="L143" s="161"/>
      <x:c r="M143" s="161"/>
      <x:c r="N143" s="161"/>
      <x:c r="O143" s="161"/>
      <x:c r="P143" s="161"/>
      <x:c r="Q143" s="161"/>
      <x:c r="R143" s="161"/>
      <x:c r="S143" s="161"/>
      <x:c r="T143" s="161"/>
      <x:c r="U143" s="161"/>
      <x:c r="V143" s="161"/>
      <x:c r="W143" s="161"/>
      <x:c r="X143" s="161"/>
      <x:c r="Y143" s="161"/>
      <x:c r="Z143" s="161"/>
    </x:row>
    <x:row r="144">
      <x:c r="A144" s="129" t="str">
        <x:f>IF(B144&lt;&gt;"","PROP-"&amp;TEXT(ROW()-5,"000"),"")</x:f>
      </x:c>
      <x:c r="B144" s="108"/>
      <x:c r="C144" s="129" t="str">
        <x:f>IFERROR(VLOOKUP(B144,'06 Oportunidades'!$A$6:$M$200,3,FALSE),"")</x:f>
      </x:c>
      <x:c r="D144" s="124"/>
      <x:c r="E144" s="112"/>
      <x:c r="F144" s="108"/>
      <x:c r="G144" s="124"/>
      <x:c r="H144" s="129" t="str">
        <x:f>IF(G144="","",G144-TODAY())</x:f>
      </x:c>
      <x:c r="I144" s="108"/>
      <x:c r="J144" s="108"/>
      <x:c r="K144" s="108"/>
      <x:c r="L144" s="161"/>
      <x:c r="M144" s="161"/>
      <x:c r="N144" s="161"/>
      <x:c r="O144" s="161"/>
      <x:c r="P144" s="161"/>
      <x:c r="Q144" s="161"/>
      <x:c r="R144" s="161"/>
      <x:c r="S144" s="161"/>
      <x:c r="T144" s="161"/>
      <x:c r="U144" s="161"/>
      <x:c r="V144" s="161"/>
      <x:c r="W144" s="161"/>
      <x:c r="X144" s="161"/>
      <x:c r="Y144" s="161"/>
      <x:c r="Z144" s="161"/>
    </x:row>
    <x:row r="145">
      <x:c r="A145" s="129" t="str">
        <x:f>IF(B145&lt;&gt;"","PROP-"&amp;TEXT(ROW()-5,"000"),"")</x:f>
      </x:c>
      <x:c r="B145" s="108"/>
      <x:c r="C145" s="129" t="str">
        <x:f>IFERROR(VLOOKUP(B145,'06 Oportunidades'!$A$6:$M$200,3,FALSE),"")</x:f>
      </x:c>
      <x:c r="D145" s="124"/>
      <x:c r="E145" s="112"/>
      <x:c r="F145" s="108"/>
      <x:c r="G145" s="124"/>
      <x:c r="H145" s="129" t="str">
        <x:f>IF(G145="","",G145-TODAY())</x:f>
      </x:c>
      <x:c r="I145" s="108"/>
      <x:c r="J145" s="108"/>
      <x:c r="K145" s="108"/>
      <x:c r="L145" s="161"/>
      <x:c r="M145" s="161"/>
      <x:c r="N145" s="161"/>
      <x:c r="O145" s="161"/>
      <x:c r="P145" s="161"/>
      <x:c r="Q145" s="161"/>
      <x:c r="R145" s="161"/>
      <x:c r="S145" s="161"/>
      <x:c r="T145" s="161"/>
      <x:c r="U145" s="161"/>
      <x:c r="V145" s="161"/>
      <x:c r="W145" s="161"/>
      <x:c r="X145" s="161"/>
      <x:c r="Y145" s="161"/>
      <x:c r="Z145" s="161"/>
    </x:row>
    <x:row r="146">
      <x:c r="A146" s="129" t="str">
        <x:f>IF(B146&lt;&gt;"","PROP-"&amp;TEXT(ROW()-5,"000"),"")</x:f>
      </x:c>
      <x:c r="B146" s="108"/>
      <x:c r="C146" s="129" t="str">
        <x:f>IFERROR(VLOOKUP(B146,'06 Oportunidades'!$A$6:$M$200,3,FALSE),"")</x:f>
      </x:c>
      <x:c r="D146" s="124"/>
      <x:c r="E146" s="112"/>
      <x:c r="F146" s="108"/>
      <x:c r="G146" s="124"/>
      <x:c r="H146" s="129" t="str">
        <x:f>IF(G146="","",G146-TODAY())</x:f>
      </x:c>
      <x:c r="I146" s="108"/>
      <x:c r="J146" s="108"/>
      <x:c r="K146" s="108"/>
      <x:c r="L146" s="161"/>
      <x:c r="M146" s="161"/>
      <x:c r="N146" s="161"/>
      <x:c r="O146" s="161"/>
      <x:c r="P146" s="161"/>
      <x:c r="Q146" s="161"/>
      <x:c r="R146" s="161"/>
      <x:c r="S146" s="161"/>
      <x:c r="T146" s="161"/>
      <x:c r="U146" s="161"/>
      <x:c r="V146" s="161"/>
      <x:c r="W146" s="161"/>
      <x:c r="X146" s="161"/>
      <x:c r="Y146" s="161"/>
      <x:c r="Z146" s="161"/>
    </x:row>
    <x:row r="147">
      <x:c r="A147" s="129" t="str">
        <x:f>IF(B147&lt;&gt;"","PROP-"&amp;TEXT(ROW()-5,"000"),"")</x:f>
      </x:c>
      <x:c r="B147" s="108"/>
      <x:c r="C147" s="129" t="str">
        <x:f>IFERROR(VLOOKUP(B147,'06 Oportunidades'!$A$6:$M$200,3,FALSE),"")</x:f>
      </x:c>
      <x:c r="D147" s="124"/>
      <x:c r="E147" s="112"/>
      <x:c r="F147" s="108"/>
      <x:c r="G147" s="124"/>
      <x:c r="H147" s="129" t="str">
        <x:f>IF(G147="","",G147-TODAY())</x:f>
      </x:c>
      <x:c r="I147" s="108"/>
      <x:c r="J147" s="108"/>
      <x:c r="K147" s="108"/>
      <x:c r="L147" s="161"/>
      <x:c r="M147" s="161"/>
      <x:c r="N147" s="161"/>
      <x:c r="O147" s="161"/>
      <x:c r="P147" s="161"/>
      <x:c r="Q147" s="161"/>
      <x:c r="R147" s="161"/>
      <x:c r="S147" s="161"/>
      <x:c r="T147" s="161"/>
      <x:c r="U147" s="161"/>
      <x:c r="V147" s="161"/>
      <x:c r="W147" s="161"/>
      <x:c r="X147" s="161"/>
      <x:c r="Y147" s="161"/>
      <x:c r="Z147" s="161"/>
    </x:row>
    <x:row r="148">
      <x:c r="A148" s="129" t="str">
        <x:f>IF(B148&lt;&gt;"","PROP-"&amp;TEXT(ROW()-5,"000"),"")</x:f>
      </x:c>
      <x:c r="B148" s="108"/>
      <x:c r="C148" s="129" t="str">
        <x:f>IFERROR(VLOOKUP(B148,'06 Oportunidades'!$A$6:$M$200,3,FALSE),"")</x:f>
      </x:c>
      <x:c r="D148" s="124"/>
      <x:c r="E148" s="112"/>
      <x:c r="F148" s="108"/>
      <x:c r="G148" s="124"/>
      <x:c r="H148" s="129" t="str">
        <x:f>IF(G148="","",G148-TODAY())</x:f>
      </x:c>
      <x:c r="I148" s="108"/>
      <x:c r="J148" s="108"/>
      <x:c r="K148" s="108"/>
      <x:c r="L148" s="161"/>
      <x:c r="M148" s="161"/>
      <x:c r="N148" s="161"/>
      <x:c r="O148" s="161"/>
      <x:c r="P148" s="161"/>
      <x:c r="Q148" s="161"/>
      <x:c r="R148" s="161"/>
      <x:c r="S148" s="161"/>
      <x:c r="T148" s="161"/>
      <x:c r="U148" s="161"/>
      <x:c r="V148" s="161"/>
      <x:c r="W148" s="161"/>
      <x:c r="X148" s="161"/>
      <x:c r="Y148" s="161"/>
      <x:c r="Z148" s="161"/>
    </x:row>
    <x:row r="149">
      <x:c r="A149" s="129" t="str">
        <x:f>IF(B149&lt;&gt;"","PROP-"&amp;TEXT(ROW()-5,"000"),"")</x:f>
      </x:c>
      <x:c r="B149" s="108"/>
      <x:c r="C149" s="129" t="str">
        <x:f>IFERROR(VLOOKUP(B149,'06 Oportunidades'!$A$6:$M$200,3,FALSE),"")</x:f>
      </x:c>
      <x:c r="D149" s="124"/>
      <x:c r="E149" s="112"/>
      <x:c r="F149" s="108"/>
      <x:c r="G149" s="124"/>
      <x:c r="H149" s="129" t="str">
        <x:f>IF(G149="","",G149-TODAY())</x:f>
      </x:c>
      <x:c r="I149" s="108"/>
      <x:c r="J149" s="108"/>
      <x:c r="K149" s="108"/>
      <x:c r="L149" s="161"/>
      <x:c r="M149" s="161"/>
      <x:c r="N149" s="161"/>
      <x:c r="O149" s="161"/>
      <x:c r="P149" s="161"/>
      <x:c r="Q149" s="161"/>
      <x:c r="R149" s="161"/>
      <x:c r="S149" s="161"/>
      <x:c r="T149" s="161"/>
      <x:c r="U149" s="161"/>
      <x:c r="V149" s="161"/>
      <x:c r="W149" s="161"/>
      <x:c r="X149" s="161"/>
      <x:c r="Y149" s="161"/>
      <x:c r="Z149" s="161"/>
    </x:row>
    <x:row r="150">
      <x:c r="A150" s="129" t="str">
        <x:f>IF(B150&lt;&gt;"","PROP-"&amp;TEXT(ROW()-5,"000"),"")</x:f>
      </x:c>
      <x:c r="B150" s="108"/>
      <x:c r="C150" s="129" t="str">
        <x:f>IFERROR(VLOOKUP(B150,'06 Oportunidades'!$A$6:$M$200,3,FALSE),"")</x:f>
      </x:c>
      <x:c r="D150" s="124"/>
      <x:c r="E150" s="112"/>
      <x:c r="F150" s="108"/>
      <x:c r="G150" s="124"/>
      <x:c r="H150" s="129" t="str">
        <x:f>IF(G150="","",G150-TODAY())</x:f>
      </x:c>
      <x:c r="I150" s="108"/>
      <x:c r="J150" s="108"/>
      <x:c r="K150" s="108"/>
      <x:c r="L150" s="161"/>
      <x:c r="M150" s="161"/>
      <x:c r="N150" s="161"/>
      <x:c r="O150" s="161"/>
      <x:c r="P150" s="161"/>
      <x:c r="Q150" s="161"/>
      <x:c r="R150" s="161"/>
      <x:c r="S150" s="161"/>
      <x:c r="T150" s="161"/>
      <x:c r="U150" s="161"/>
      <x:c r="V150" s="161"/>
      <x:c r="W150" s="161"/>
      <x:c r="X150" s="161"/>
      <x:c r="Y150" s="161"/>
      <x:c r="Z150" s="161"/>
    </x:row>
    <x:row r="151">
      <x:c r="A151" s="129" t="str">
        <x:f>IF(B151&lt;&gt;"","PROP-"&amp;TEXT(ROW()-5,"000"),"")</x:f>
      </x:c>
      <x:c r="B151" s="108"/>
      <x:c r="C151" s="129" t="str">
        <x:f>IFERROR(VLOOKUP(B151,'06 Oportunidades'!$A$6:$M$200,3,FALSE),"")</x:f>
      </x:c>
      <x:c r="D151" s="124"/>
      <x:c r="E151" s="112"/>
      <x:c r="F151" s="108"/>
      <x:c r="G151" s="124"/>
      <x:c r="H151" s="129" t="str">
        <x:f>IF(G151="","",G151-TODAY())</x:f>
      </x:c>
      <x:c r="I151" s="108"/>
      <x:c r="J151" s="108"/>
      <x:c r="K151" s="108"/>
      <x:c r="L151" s="161"/>
      <x:c r="M151" s="161"/>
      <x:c r="N151" s="161"/>
      <x:c r="O151" s="161"/>
      <x:c r="P151" s="161"/>
      <x:c r="Q151" s="161"/>
      <x:c r="R151" s="161"/>
      <x:c r="S151" s="161"/>
      <x:c r="T151" s="161"/>
      <x:c r="U151" s="161"/>
      <x:c r="V151" s="161"/>
      <x:c r="W151" s="161"/>
      <x:c r="X151" s="161"/>
      <x:c r="Y151" s="161"/>
      <x:c r="Z151" s="161"/>
    </x:row>
    <x:row r="152">
      <x:c r="A152" s="129" t="str">
        <x:f>IF(B152&lt;&gt;"","PROP-"&amp;TEXT(ROW()-5,"000"),"")</x:f>
      </x:c>
      <x:c r="B152" s="108"/>
      <x:c r="C152" s="129" t="str">
        <x:f>IFERROR(VLOOKUP(B152,'06 Oportunidades'!$A$6:$M$200,3,FALSE),"")</x:f>
      </x:c>
      <x:c r="D152" s="124"/>
      <x:c r="E152" s="112"/>
      <x:c r="F152" s="108"/>
      <x:c r="G152" s="124"/>
      <x:c r="H152" s="129" t="str">
        <x:f>IF(G152="","",G152-TODAY())</x:f>
      </x:c>
      <x:c r="I152" s="108"/>
      <x:c r="J152" s="108"/>
      <x:c r="K152" s="108"/>
      <x:c r="L152" s="161"/>
      <x:c r="M152" s="161"/>
      <x:c r="N152" s="161"/>
      <x:c r="O152" s="161"/>
      <x:c r="P152" s="161"/>
      <x:c r="Q152" s="161"/>
      <x:c r="R152" s="161"/>
      <x:c r="S152" s="161"/>
      <x:c r="T152" s="161"/>
      <x:c r="U152" s="161"/>
      <x:c r="V152" s="161"/>
      <x:c r="W152" s="161"/>
      <x:c r="X152" s="161"/>
      <x:c r="Y152" s="161"/>
      <x:c r="Z152" s="161"/>
    </x:row>
    <x:row r="153">
      <x:c r="A153" s="129" t="str">
        <x:f>IF(B153&lt;&gt;"","PROP-"&amp;TEXT(ROW()-5,"000"),"")</x:f>
      </x:c>
      <x:c r="B153" s="108"/>
      <x:c r="C153" s="129" t="str">
        <x:f>IFERROR(VLOOKUP(B153,'06 Oportunidades'!$A$6:$M$200,3,FALSE),"")</x:f>
      </x:c>
      <x:c r="D153" s="124"/>
      <x:c r="E153" s="112"/>
      <x:c r="F153" s="108"/>
      <x:c r="G153" s="124"/>
      <x:c r="H153" s="129" t="str">
        <x:f>IF(G153="","",G153-TODAY())</x:f>
      </x:c>
      <x:c r="I153" s="108"/>
      <x:c r="J153" s="108"/>
      <x:c r="K153" s="108"/>
      <x:c r="L153" s="161"/>
      <x:c r="M153" s="161"/>
      <x:c r="N153" s="161"/>
      <x:c r="O153" s="161"/>
      <x:c r="P153" s="161"/>
      <x:c r="Q153" s="161"/>
      <x:c r="R153" s="161"/>
      <x:c r="S153" s="161"/>
      <x:c r="T153" s="161"/>
      <x:c r="U153" s="161"/>
      <x:c r="V153" s="161"/>
      <x:c r="W153" s="161"/>
      <x:c r="X153" s="161"/>
      <x:c r="Y153" s="161"/>
      <x:c r="Z153" s="161"/>
    </x:row>
    <x:row r="154">
      <x:c r="A154" s="129" t="str">
        <x:f>IF(B154&lt;&gt;"","PROP-"&amp;TEXT(ROW()-5,"000"),"")</x:f>
      </x:c>
      <x:c r="B154" s="108"/>
      <x:c r="C154" s="129" t="str">
        <x:f>IFERROR(VLOOKUP(B154,'06 Oportunidades'!$A$6:$M$200,3,FALSE),"")</x:f>
      </x:c>
      <x:c r="D154" s="124"/>
      <x:c r="E154" s="112"/>
      <x:c r="F154" s="108"/>
      <x:c r="G154" s="124"/>
      <x:c r="H154" s="129" t="str">
        <x:f>IF(G154="","",G154-TODAY())</x:f>
      </x:c>
      <x:c r="I154" s="108"/>
      <x:c r="J154" s="108"/>
      <x:c r="K154" s="108"/>
      <x:c r="L154" s="161"/>
      <x:c r="M154" s="161"/>
      <x:c r="N154" s="161"/>
      <x:c r="O154" s="161"/>
      <x:c r="P154" s="161"/>
      <x:c r="Q154" s="161"/>
      <x:c r="R154" s="161"/>
      <x:c r="S154" s="161"/>
      <x:c r="T154" s="161"/>
      <x:c r="U154" s="161"/>
      <x:c r="V154" s="161"/>
      <x:c r="W154" s="161"/>
      <x:c r="X154" s="161"/>
      <x:c r="Y154" s="161"/>
      <x:c r="Z154" s="161"/>
    </x:row>
    <x:row r="155">
      <x:c r="A155" s="129" t="str">
        <x:f>IF(B155&lt;&gt;"","PROP-"&amp;TEXT(ROW()-5,"000"),"")</x:f>
      </x:c>
      <x:c r="B155" s="108"/>
      <x:c r="C155" s="129" t="str">
        <x:f>IFERROR(VLOOKUP(B155,'06 Oportunidades'!$A$6:$M$200,3,FALSE),"")</x:f>
      </x:c>
      <x:c r="D155" s="124"/>
      <x:c r="E155" s="112"/>
      <x:c r="F155" s="108"/>
      <x:c r="G155" s="124"/>
      <x:c r="H155" s="129" t="str">
        <x:f>IF(G155="","",G155-TODAY())</x:f>
      </x:c>
      <x:c r="I155" s="108"/>
      <x:c r="J155" s="108"/>
      <x:c r="K155" s="108"/>
      <x:c r="L155" s="161"/>
      <x:c r="M155" s="161"/>
      <x:c r="N155" s="161"/>
      <x:c r="O155" s="161"/>
      <x:c r="P155" s="161"/>
      <x:c r="Q155" s="161"/>
      <x:c r="R155" s="161"/>
      <x:c r="S155" s="161"/>
      <x:c r="T155" s="161"/>
      <x:c r="U155" s="161"/>
      <x:c r="V155" s="161"/>
      <x:c r="W155" s="161"/>
      <x:c r="X155" s="161"/>
      <x:c r="Y155" s="161"/>
      <x:c r="Z155" s="161"/>
    </x:row>
    <x:row r="156">
      <x:c r="A156" s="129" t="str">
        <x:f>IF(B156&lt;&gt;"","PROP-"&amp;TEXT(ROW()-5,"000"),"")</x:f>
      </x:c>
      <x:c r="B156" s="108"/>
      <x:c r="C156" s="129" t="str">
        <x:f>IFERROR(VLOOKUP(B156,'06 Oportunidades'!$A$6:$M$200,3,FALSE),"")</x:f>
      </x:c>
      <x:c r="D156" s="124"/>
      <x:c r="E156" s="112"/>
      <x:c r="F156" s="108"/>
      <x:c r="G156" s="124"/>
      <x:c r="H156" s="129" t="str">
        <x:f>IF(G156="","",G156-TODAY())</x:f>
      </x:c>
      <x:c r="I156" s="108"/>
      <x:c r="J156" s="108"/>
      <x:c r="K156" s="108"/>
      <x:c r="L156" s="161"/>
      <x:c r="M156" s="161"/>
      <x:c r="N156" s="161"/>
      <x:c r="O156" s="161"/>
      <x:c r="P156" s="161"/>
      <x:c r="Q156" s="161"/>
      <x:c r="R156" s="161"/>
      <x:c r="S156" s="161"/>
      <x:c r="T156" s="161"/>
      <x:c r="U156" s="161"/>
      <x:c r="V156" s="161"/>
      <x:c r="W156" s="161"/>
      <x:c r="X156" s="161"/>
      <x:c r="Y156" s="161"/>
      <x:c r="Z156" s="161"/>
    </x:row>
    <x:row r="157">
      <x:c r="A157" s="129" t="str">
        <x:f>IF(B157&lt;&gt;"","PROP-"&amp;TEXT(ROW()-5,"000"),"")</x:f>
      </x:c>
      <x:c r="B157" s="108"/>
      <x:c r="C157" s="129" t="str">
        <x:f>IFERROR(VLOOKUP(B157,'06 Oportunidades'!$A$6:$M$200,3,FALSE),"")</x:f>
      </x:c>
      <x:c r="D157" s="124"/>
      <x:c r="E157" s="112"/>
      <x:c r="F157" s="108"/>
      <x:c r="G157" s="124"/>
      <x:c r="H157" s="129" t="str">
        <x:f>IF(G157="","",G157-TODAY())</x:f>
      </x:c>
      <x:c r="I157" s="108"/>
      <x:c r="J157" s="108"/>
      <x:c r="K157" s="108"/>
      <x:c r="L157" s="161"/>
      <x:c r="M157" s="161"/>
      <x:c r="N157" s="161"/>
      <x:c r="O157" s="161"/>
      <x:c r="P157" s="161"/>
      <x:c r="Q157" s="161"/>
      <x:c r="R157" s="161"/>
      <x:c r="S157" s="161"/>
      <x:c r="T157" s="161"/>
      <x:c r="U157" s="161"/>
      <x:c r="V157" s="161"/>
      <x:c r="W157" s="161"/>
      <x:c r="X157" s="161"/>
      <x:c r="Y157" s="161"/>
      <x:c r="Z157" s="161"/>
    </x:row>
    <x:row r="158">
      <x:c r="A158" s="129" t="str">
        <x:f>IF(B158&lt;&gt;"","PROP-"&amp;TEXT(ROW()-5,"000"),"")</x:f>
      </x:c>
      <x:c r="B158" s="108"/>
      <x:c r="C158" s="129" t="str">
        <x:f>IFERROR(VLOOKUP(B158,'06 Oportunidades'!$A$6:$M$200,3,FALSE),"")</x:f>
      </x:c>
      <x:c r="D158" s="124"/>
      <x:c r="E158" s="112"/>
      <x:c r="F158" s="108"/>
      <x:c r="G158" s="124"/>
      <x:c r="H158" s="129" t="str">
        <x:f>IF(G158="","",G158-TODAY())</x:f>
      </x:c>
      <x:c r="I158" s="108"/>
      <x:c r="J158" s="108"/>
      <x:c r="K158" s="108"/>
      <x:c r="L158" s="161"/>
      <x:c r="M158" s="161"/>
      <x:c r="N158" s="161"/>
      <x:c r="O158" s="161"/>
      <x:c r="P158" s="161"/>
      <x:c r="Q158" s="161"/>
      <x:c r="R158" s="161"/>
      <x:c r="S158" s="161"/>
      <x:c r="T158" s="161"/>
      <x:c r="U158" s="161"/>
      <x:c r="V158" s="161"/>
      <x:c r="W158" s="161"/>
      <x:c r="X158" s="161"/>
      <x:c r="Y158" s="161"/>
      <x:c r="Z158" s="161"/>
    </x:row>
    <x:row r="159">
      <x:c r="A159" s="129" t="str">
        <x:f>IF(B159&lt;&gt;"","PROP-"&amp;TEXT(ROW()-5,"000"),"")</x:f>
      </x:c>
      <x:c r="B159" s="108"/>
      <x:c r="C159" s="129" t="str">
        <x:f>IFERROR(VLOOKUP(B159,'06 Oportunidades'!$A$6:$M$200,3,FALSE),"")</x:f>
      </x:c>
      <x:c r="D159" s="124"/>
      <x:c r="E159" s="112"/>
      <x:c r="F159" s="108"/>
      <x:c r="G159" s="124"/>
      <x:c r="H159" s="129" t="str">
        <x:f>IF(G159="","",G159-TODAY())</x:f>
      </x:c>
      <x:c r="I159" s="108"/>
      <x:c r="J159" s="108"/>
      <x:c r="K159" s="108"/>
      <x:c r="L159" s="161"/>
      <x:c r="M159" s="161"/>
      <x:c r="N159" s="161"/>
      <x:c r="O159" s="161"/>
      <x:c r="P159" s="161"/>
      <x:c r="Q159" s="161"/>
      <x:c r="R159" s="161"/>
      <x:c r="S159" s="161"/>
      <x:c r="T159" s="161"/>
      <x:c r="U159" s="161"/>
      <x:c r="V159" s="161"/>
      <x:c r="W159" s="161"/>
      <x:c r="X159" s="161"/>
      <x:c r="Y159" s="161"/>
      <x:c r="Z159" s="161"/>
    </x:row>
    <x:row r="160">
      <x:c r="A160" s="129" t="str">
        <x:f>IF(B160&lt;&gt;"","PROP-"&amp;TEXT(ROW()-5,"000"),"")</x:f>
      </x:c>
      <x:c r="B160" s="108"/>
      <x:c r="C160" s="129" t="str">
        <x:f>IFERROR(VLOOKUP(B160,'06 Oportunidades'!$A$6:$M$200,3,FALSE),"")</x:f>
      </x:c>
      <x:c r="D160" s="124"/>
      <x:c r="E160" s="112"/>
      <x:c r="F160" s="108"/>
      <x:c r="G160" s="124"/>
      <x:c r="H160" s="129" t="str">
        <x:f>IF(G160="","",G160-TODAY())</x:f>
      </x:c>
      <x:c r="I160" s="108"/>
      <x:c r="J160" s="108"/>
      <x:c r="K160" s="108"/>
      <x:c r="L160" s="161"/>
      <x:c r="M160" s="161"/>
      <x:c r="N160" s="161"/>
      <x:c r="O160" s="161"/>
      <x:c r="P160" s="161"/>
      <x:c r="Q160" s="161"/>
      <x:c r="R160" s="161"/>
      <x:c r="S160" s="161"/>
      <x:c r="T160" s="161"/>
      <x:c r="U160" s="161"/>
      <x:c r="V160" s="161"/>
      <x:c r="W160" s="161"/>
      <x:c r="X160" s="161"/>
      <x:c r="Y160" s="161"/>
      <x:c r="Z160" s="161"/>
    </x:row>
    <x:row r="161">
      <x:c r="A161" s="129" t="str">
        <x:f>IF(B161&lt;&gt;"","PROP-"&amp;TEXT(ROW()-5,"000"),"")</x:f>
      </x:c>
      <x:c r="B161" s="108"/>
      <x:c r="C161" s="129" t="str">
        <x:f>IFERROR(VLOOKUP(B161,'06 Oportunidades'!$A$6:$M$200,3,FALSE),"")</x:f>
      </x:c>
      <x:c r="D161" s="124"/>
      <x:c r="E161" s="112"/>
      <x:c r="F161" s="108"/>
      <x:c r="G161" s="124"/>
      <x:c r="H161" s="129" t="str">
        <x:f>IF(G161="","",G161-TODAY())</x:f>
      </x:c>
      <x:c r="I161" s="108"/>
      <x:c r="J161" s="108"/>
      <x:c r="K161" s="108"/>
      <x:c r="L161" s="161"/>
      <x:c r="M161" s="161"/>
      <x:c r="N161" s="161"/>
      <x:c r="O161" s="161"/>
      <x:c r="P161" s="161"/>
      <x:c r="Q161" s="161"/>
      <x:c r="R161" s="161"/>
      <x:c r="S161" s="161"/>
      <x:c r="T161" s="161"/>
      <x:c r="U161" s="161"/>
      <x:c r="V161" s="161"/>
      <x:c r="W161" s="161"/>
      <x:c r="X161" s="161"/>
      <x:c r="Y161" s="161"/>
      <x:c r="Z161" s="161"/>
    </x:row>
    <x:row r="162">
      <x:c r="A162" s="129" t="str">
        <x:f>IF(B162&lt;&gt;"","PROP-"&amp;TEXT(ROW()-5,"000"),"")</x:f>
      </x:c>
      <x:c r="B162" s="108"/>
      <x:c r="C162" s="129" t="str">
        <x:f>IFERROR(VLOOKUP(B162,'06 Oportunidades'!$A$6:$M$200,3,FALSE),"")</x:f>
      </x:c>
      <x:c r="D162" s="124"/>
      <x:c r="E162" s="112"/>
      <x:c r="F162" s="108"/>
      <x:c r="G162" s="124"/>
      <x:c r="H162" s="129" t="str">
        <x:f>IF(G162="","",G162-TODAY())</x:f>
      </x:c>
      <x:c r="I162" s="108"/>
      <x:c r="J162" s="108"/>
      <x:c r="K162" s="108"/>
      <x:c r="L162" s="161"/>
      <x:c r="M162" s="161"/>
      <x:c r="N162" s="161"/>
      <x:c r="O162" s="161"/>
      <x:c r="P162" s="161"/>
      <x:c r="Q162" s="161"/>
      <x:c r="R162" s="161"/>
      <x:c r="S162" s="161"/>
      <x:c r="T162" s="161"/>
      <x:c r="U162" s="161"/>
      <x:c r="V162" s="161"/>
      <x:c r="W162" s="161"/>
      <x:c r="X162" s="161"/>
      <x:c r="Y162" s="161"/>
      <x:c r="Z162" s="161"/>
    </x:row>
    <x:row r="163">
      <x:c r="A163" s="129" t="str">
        <x:f>IF(B163&lt;&gt;"","PROP-"&amp;TEXT(ROW()-5,"000"),"")</x:f>
      </x:c>
      <x:c r="B163" s="108"/>
      <x:c r="C163" s="129" t="str">
        <x:f>IFERROR(VLOOKUP(B163,'06 Oportunidades'!$A$6:$M$200,3,FALSE),"")</x:f>
      </x:c>
      <x:c r="D163" s="124"/>
      <x:c r="E163" s="112"/>
      <x:c r="F163" s="108"/>
      <x:c r="G163" s="124"/>
      <x:c r="H163" s="129" t="str">
        <x:f>IF(G163="","",G163-TODAY())</x:f>
      </x:c>
      <x:c r="I163" s="108"/>
      <x:c r="J163" s="108"/>
      <x:c r="K163" s="108"/>
      <x:c r="L163" s="161"/>
      <x:c r="M163" s="161"/>
      <x:c r="N163" s="161"/>
      <x:c r="O163" s="161"/>
      <x:c r="P163" s="161"/>
      <x:c r="Q163" s="161"/>
      <x:c r="R163" s="161"/>
      <x:c r="S163" s="161"/>
      <x:c r="T163" s="161"/>
      <x:c r="U163" s="161"/>
      <x:c r="V163" s="161"/>
      <x:c r="W163" s="161"/>
      <x:c r="X163" s="161"/>
      <x:c r="Y163" s="161"/>
      <x:c r="Z163" s="161"/>
    </x:row>
    <x:row r="164">
      <x:c r="A164" s="129" t="str">
        <x:f>IF(B164&lt;&gt;"","PROP-"&amp;TEXT(ROW()-5,"000"),"")</x:f>
      </x:c>
      <x:c r="B164" s="108"/>
      <x:c r="C164" s="129" t="str">
        <x:f>IFERROR(VLOOKUP(B164,'06 Oportunidades'!$A$6:$M$200,3,FALSE),"")</x:f>
      </x:c>
      <x:c r="D164" s="124"/>
      <x:c r="E164" s="112"/>
      <x:c r="F164" s="108"/>
      <x:c r="G164" s="124"/>
      <x:c r="H164" s="129" t="str">
        <x:f>IF(G164="","",G164-TODAY())</x:f>
      </x:c>
      <x:c r="I164" s="108"/>
      <x:c r="J164" s="108"/>
      <x:c r="K164" s="108"/>
      <x:c r="L164" s="161"/>
      <x:c r="M164" s="161"/>
      <x:c r="N164" s="161"/>
      <x:c r="O164" s="161"/>
      <x:c r="P164" s="161"/>
      <x:c r="Q164" s="161"/>
      <x:c r="R164" s="161"/>
      <x:c r="S164" s="161"/>
      <x:c r="T164" s="161"/>
      <x:c r="U164" s="161"/>
      <x:c r="V164" s="161"/>
      <x:c r="W164" s="161"/>
      <x:c r="X164" s="161"/>
      <x:c r="Y164" s="161"/>
      <x:c r="Z164" s="161"/>
    </x:row>
    <x:row r="165">
      <x:c r="A165" s="129" t="str">
        <x:f>IF(B165&lt;&gt;"","PROP-"&amp;TEXT(ROW()-5,"000"),"")</x:f>
      </x:c>
      <x:c r="B165" s="108"/>
      <x:c r="C165" s="129" t="str">
        <x:f>IFERROR(VLOOKUP(B165,'06 Oportunidades'!$A$6:$M$200,3,FALSE),"")</x:f>
      </x:c>
      <x:c r="D165" s="124"/>
      <x:c r="E165" s="112"/>
      <x:c r="F165" s="108"/>
      <x:c r="G165" s="124"/>
      <x:c r="H165" s="129" t="str">
        <x:f>IF(G165="","",G165-TODAY())</x:f>
      </x:c>
      <x:c r="I165" s="108"/>
      <x:c r="J165" s="108"/>
      <x:c r="K165" s="108"/>
      <x:c r="L165" s="161"/>
      <x:c r="M165" s="161"/>
      <x:c r="N165" s="161"/>
      <x:c r="O165" s="161"/>
      <x:c r="P165" s="161"/>
      <x:c r="Q165" s="161"/>
      <x:c r="R165" s="161"/>
      <x:c r="S165" s="161"/>
      <x:c r="T165" s="161"/>
      <x:c r="U165" s="161"/>
      <x:c r="V165" s="161"/>
      <x:c r="W165" s="161"/>
      <x:c r="X165" s="161"/>
      <x:c r="Y165" s="161"/>
      <x:c r="Z165" s="161"/>
    </x:row>
    <x:row r="166">
      <x:c r="A166" s="129" t="str">
        <x:f>IF(B166&lt;&gt;"","PROP-"&amp;TEXT(ROW()-5,"000"),"")</x:f>
      </x:c>
      <x:c r="B166" s="108"/>
      <x:c r="C166" s="129" t="str">
        <x:f>IFERROR(VLOOKUP(B166,'06 Oportunidades'!$A$6:$M$200,3,FALSE),"")</x:f>
      </x:c>
      <x:c r="D166" s="124"/>
      <x:c r="E166" s="112"/>
      <x:c r="F166" s="108"/>
      <x:c r="G166" s="124"/>
      <x:c r="H166" s="129" t="str">
        <x:f>IF(G166="","",G166-TODAY())</x:f>
      </x:c>
      <x:c r="I166" s="108"/>
      <x:c r="J166" s="108"/>
      <x:c r="K166" s="108"/>
      <x:c r="L166" s="161"/>
      <x:c r="M166" s="161"/>
      <x:c r="N166" s="161"/>
      <x:c r="O166" s="161"/>
      <x:c r="P166" s="161"/>
      <x:c r="Q166" s="161"/>
      <x:c r="R166" s="161"/>
      <x:c r="S166" s="161"/>
      <x:c r="T166" s="161"/>
      <x:c r="U166" s="161"/>
      <x:c r="V166" s="161"/>
      <x:c r="W166" s="161"/>
      <x:c r="X166" s="161"/>
      <x:c r="Y166" s="161"/>
      <x:c r="Z166" s="161"/>
    </x:row>
    <x:row r="167">
      <x:c r="A167" s="129" t="str">
        <x:f>IF(B167&lt;&gt;"","PROP-"&amp;TEXT(ROW()-5,"000"),"")</x:f>
      </x:c>
      <x:c r="B167" s="108"/>
      <x:c r="C167" s="129" t="str">
        <x:f>IFERROR(VLOOKUP(B167,'06 Oportunidades'!$A$6:$M$200,3,FALSE),"")</x:f>
      </x:c>
      <x:c r="D167" s="124"/>
      <x:c r="E167" s="112"/>
      <x:c r="F167" s="108"/>
      <x:c r="G167" s="124"/>
      <x:c r="H167" s="129" t="str">
        <x:f>IF(G167="","",G167-TODAY())</x:f>
      </x:c>
      <x:c r="I167" s="108"/>
      <x:c r="J167" s="108"/>
      <x:c r="K167" s="108"/>
      <x:c r="L167" s="161"/>
      <x:c r="M167" s="161"/>
      <x:c r="N167" s="161"/>
      <x:c r="O167" s="161"/>
      <x:c r="P167" s="161"/>
      <x:c r="Q167" s="161"/>
      <x:c r="R167" s="161"/>
      <x:c r="S167" s="161"/>
      <x:c r="T167" s="161"/>
      <x:c r="U167" s="161"/>
      <x:c r="V167" s="161"/>
      <x:c r="W167" s="161"/>
      <x:c r="X167" s="161"/>
      <x:c r="Y167" s="161"/>
      <x:c r="Z167" s="161"/>
    </x:row>
    <x:row r="168">
      <x:c r="A168" s="129" t="str">
        <x:f>IF(B168&lt;&gt;"","PROP-"&amp;TEXT(ROW()-5,"000"),"")</x:f>
      </x:c>
      <x:c r="B168" s="108"/>
      <x:c r="C168" s="129" t="str">
        <x:f>IFERROR(VLOOKUP(B168,'06 Oportunidades'!$A$6:$M$200,3,FALSE),"")</x:f>
      </x:c>
      <x:c r="D168" s="124"/>
      <x:c r="E168" s="112"/>
      <x:c r="F168" s="108"/>
      <x:c r="G168" s="124"/>
      <x:c r="H168" s="129" t="str">
        <x:f>IF(G168="","",G168-TODAY())</x:f>
      </x:c>
      <x:c r="I168" s="108"/>
      <x:c r="J168" s="108"/>
      <x:c r="K168" s="108"/>
      <x:c r="L168" s="161"/>
      <x:c r="M168" s="161"/>
      <x:c r="N168" s="161"/>
      <x:c r="O168" s="161"/>
      <x:c r="P168" s="161"/>
      <x:c r="Q168" s="161"/>
      <x:c r="R168" s="161"/>
      <x:c r="S168" s="161"/>
      <x:c r="T168" s="161"/>
      <x:c r="U168" s="161"/>
      <x:c r="V168" s="161"/>
      <x:c r="W168" s="161"/>
      <x:c r="X168" s="161"/>
      <x:c r="Y168" s="161"/>
      <x:c r="Z168" s="161"/>
    </x:row>
    <x:row r="169">
      <x:c r="A169" s="129" t="str">
        <x:f>IF(B169&lt;&gt;"","PROP-"&amp;TEXT(ROW()-5,"000"),"")</x:f>
      </x:c>
      <x:c r="B169" s="108"/>
      <x:c r="C169" s="129" t="str">
        <x:f>IFERROR(VLOOKUP(B169,'06 Oportunidades'!$A$6:$M$200,3,FALSE),"")</x:f>
      </x:c>
      <x:c r="D169" s="124"/>
      <x:c r="E169" s="112"/>
      <x:c r="F169" s="108"/>
      <x:c r="G169" s="124"/>
      <x:c r="H169" s="129" t="str">
        <x:f>IF(G169="","",G169-TODAY())</x:f>
      </x:c>
      <x:c r="I169" s="108"/>
      <x:c r="J169" s="108"/>
      <x:c r="K169" s="108"/>
      <x:c r="L169" s="161"/>
      <x:c r="M169" s="161"/>
      <x:c r="N169" s="161"/>
      <x:c r="O169" s="161"/>
      <x:c r="P169" s="161"/>
      <x:c r="Q169" s="161"/>
      <x:c r="R169" s="161"/>
      <x:c r="S169" s="161"/>
      <x:c r="T169" s="161"/>
      <x:c r="U169" s="161"/>
      <x:c r="V169" s="161"/>
      <x:c r="W169" s="161"/>
      <x:c r="X169" s="161"/>
      <x:c r="Y169" s="161"/>
      <x:c r="Z169" s="161"/>
    </x:row>
    <x:row r="170">
      <x:c r="A170" s="129" t="str">
        <x:f>IF(B170&lt;&gt;"","PROP-"&amp;TEXT(ROW()-5,"000"),"")</x:f>
      </x:c>
      <x:c r="B170" s="108"/>
      <x:c r="C170" s="129" t="str">
        <x:f>IFERROR(VLOOKUP(B170,'06 Oportunidades'!$A$6:$M$200,3,FALSE),"")</x:f>
      </x:c>
      <x:c r="D170" s="124"/>
      <x:c r="E170" s="112"/>
      <x:c r="F170" s="108"/>
      <x:c r="G170" s="124"/>
      <x:c r="H170" s="129" t="str">
        <x:f>IF(G170="","",G170-TODAY())</x:f>
      </x:c>
      <x:c r="I170" s="108"/>
      <x:c r="J170" s="108"/>
      <x:c r="K170" s="108"/>
      <x:c r="L170" s="161"/>
      <x:c r="M170" s="161"/>
      <x:c r="N170" s="161"/>
      <x:c r="O170" s="161"/>
      <x:c r="P170" s="161"/>
      <x:c r="Q170" s="161"/>
      <x:c r="R170" s="161"/>
      <x:c r="S170" s="161"/>
      <x:c r="T170" s="161"/>
      <x:c r="U170" s="161"/>
      <x:c r="V170" s="161"/>
      <x:c r="W170" s="161"/>
      <x:c r="X170" s="161"/>
      <x:c r="Y170" s="161"/>
      <x:c r="Z170" s="161"/>
    </x:row>
    <x:row r="171">
      <x:c r="A171" s="129" t="str">
        <x:f>IF(B171&lt;&gt;"","PROP-"&amp;TEXT(ROW()-5,"000"),"")</x:f>
      </x:c>
      <x:c r="B171" s="108"/>
      <x:c r="C171" s="129" t="str">
        <x:f>IFERROR(VLOOKUP(B171,'06 Oportunidades'!$A$6:$M$200,3,FALSE),"")</x:f>
      </x:c>
      <x:c r="D171" s="124"/>
      <x:c r="E171" s="112"/>
      <x:c r="F171" s="108"/>
      <x:c r="G171" s="124"/>
      <x:c r="H171" s="129" t="str">
        <x:f>IF(G171="","",G171-TODAY())</x:f>
      </x:c>
      <x:c r="I171" s="108"/>
      <x:c r="J171" s="108"/>
      <x:c r="K171" s="108"/>
      <x:c r="L171" s="161"/>
      <x:c r="M171" s="161"/>
      <x:c r="N171" s="161"/>
      <x:c r="O171" s="161"/>
      <x:c r="P171" s="161"/>
      <x:c r="Q171" s="161"/>
      <x:c r="R171" s="161"/>
      <x:c r="S171" s="161"/>
      <x:c r="T171" s="161"/>
      <x:c r="U171" s="161"/>
      <x:c r="V171" s="161"/>
      <x:c r="W171" s="161"/>
      <x:c r="X171" s="161"/>
      <x:c r="Y171" s="161"/>
      <x:c r="Z171" s="161"/>
    </x:row>
    <x:row r="172">
      <x:c r="A172" s="129" t="str">
        <x:f>IF(B172&lt;&gt;"","PROP-"&amp;TEXT(ROW()-5,"000"),"")</x:f>
      </x:c>
      <x:c r="B172" s="108"/>
      <x:c r="C172" s="129" t="str">
        <x:f>IFERROR(VLOOKUP(B172,'06 Oportunidades'!$A$6:$M$200,3,FALSE),"")</x:f>
      </x:c>
      <x:c r="D172" s="124"/>
      <x:c r="E172" s="112"/>
      <x:c r="F172" s="108"/>
      <x:c r="G172" s="124"/>
      <x:c r="H172" s="129" t="str">
        <x:f>IF(G172="","",G172-TODAY())</x:f>
      </x:c>
      <x:c r="I172" s="108"/>
      <x:c r="J172" s="108"/>
      <x:c r="K172" s="108"/>
      <x:c r="L172" s="161"/>
      <x:c r="M172" s="161"/>
      <x:c r="N172" s="161"/>
      <x:c r="O172" s="161"/>
      <x:c r="P172" s="161"/>
      <x:c r="Q172" s="161"/>
      <x:c r="R172" s="161"/>
      <x:c r="S172" s="161"/>
      <x:c r="T172" s="161"/>
      <x:c r="U172" s="161"/>
      <x:c r="V172" s="161"/>
      <x:c r="W172" s="161"/>
      <x:c r="X172" s="161"/>
      <x:c r="Y172" s="161"/>
      <x:c r="Z172" s="161"/>
    </x:row>
    <x:row r="173">
      <x:c r="A173" s="129" t="str">
        <x:f>IF(B173&lt;&gt;"","PROP-"&amp;TEXT(ROW()-5,"000"),"")</x:f>
      </x:c>
      <x:c r="B173" s="108"/>
      <x:c r="C173" s="129" t="str">
        <x:f>IFERROR(VLOOKUP(B173,'06 Oportunidades'!$A$6:$M$200,3,FALSE),"")</x:f>
      </x:c>
      <x:c r="D173" s="124"/>
      <x:c r="E173" s="112"/>
      <x:c r="F173" s="108"/>
      <x:c r="G173" s="124"/>
      <x:c r="H173" s="129" t="str">
        <x:f>IF(G173="","",G173-TODAY())</x:f>
      </x:c>
      <x:c r="I173" s="108"/>
      <x:c r="J173" s="108"/>
      <x:c r="K173" s="108"/>
      <x:c r="L173" s="161"/>
      <x:c r="M173" s="161"/>
      <x:c r="N173" s="161"/>
      <x:c r="O173" s="161"/>
      <x:c r="P173" s="161"/>
      <x:c r="Q173" s="161"/>
      <x:c r="R173" s="161"/>
      <x:c r="S173" s="161"/>
      <x:c r="T173" s="161"/>
      <x:c r="U173" s="161"/>
      <x:c r="V173" s="161"/>
      <x:c r="W173" s="161"/>
      <x:c r="X173" s="161"/>
      <x:c r="Y173" s="161"/>
      <x:c r="Z173" s="161"/>
    </x:row>
    <x:row r="174">
      <x:c r="A174" s="129" t="str">
        <x:f>IF(B174&lt;&gt;"","PROP-"&amp;TEXT(ROW()-5,"000"),"")</x:f>
      </x:c>
      <x:c r="B174" s="108"/>
      <x:c r="C174" s="129" t="str">
        <x:f>IFERROR(VLOOKUP(B174,'06 Oportunidades'!$A$6:$M$200,3,FALSE),"")</x:f>
      </x:c>
      <x:c r="D174" s="124"/>
      <x:c r="E174" s="112"/>
      <x:c r="F174" s="108"/>
      <x:c r="G174" s="124"/>
      <x:c r="H174" s="129" t="str">
        <x:f>IF(G174="","",G174-TODAY())</x:f>
      </x:c>
      <x:c r="I174" s="108"/>
      <x:c r="J174" s="108"/>
      <x:c r="K174" s="108"/>
      <x:c r="L174" s="161"/>
      <x:c r="M174" s="161"/>
      <x:c r="N174" s="161"/>
      <x:c r="O174" s="161"/>
      <x:c r="P174" s="161"/>
      <x:c r="Q174" s="161"/>
      <x:c r="R174" s="161"/>
      <x:c r="S174" s="161"/>
      <x:c r="T174" s="161"/>
      <x:c r="U174" s="161"/>
      <x:c r="V174" s="161"/>
      <x:c r="W174" s="161"/>
      <x:c r="X174" s="161"/>
      <x:c r="Y174" s="161"/>
      <x:c r="Z174" s="161"/>
    </x:row>
    <x:row r="175">
      <x:c r="A175" s="129" t="str">
        <x:f>IF(B175&lt;&gt;"","PROP-"&amp;TEXT(ROW()-5,"000"),"")</x:f>
      </x:c>
      <x:c r="B175" s="108"/>
      <x:c r="C175" s="129" t="str">
        <x:f>IFERROR(VLOOKUP(B175,'06 Oportunidades'!$A$6:$M$200,3,FALSE),"")</x:f>
      </x:c>
      <x:c r="D175" s="124"/>
      <x:c r="E175" s="112"/>
      <x:c r="F175" s="108"/>
      <x:c r="G175" s="124"/>
      <x:c r="H175" s="129" t="str">
        <x:f>IF(G175="","",G175-TODAY())</x:f>
      </x:c>
      <x:c r="I175" s="108"/>
      <x:c r="J175" s="108"/>
      <x:c r="K175" s="108"/>
      <x:c r="L175" s="161"/>
      <x:c r="M175" s="161"/>
      <x:c r="N175" s="161"/>
      <x:c r="O175" s="161"/>
      <x:c r="P175" s="161"/>
      <x:c r="Q175" s="161"/>
      <x:c r="R175" s="161"/>
      <x:c r="S175" s="161"/>
      <x:c r="T175" s="161"/>
      <x:c r="U175" s="161"/>
      <x:c r="V175" s="161"/>
      <x:c r="W175" s="161"/>
      <x:c r="X175" s="161"/>
      <x:c r="Y175" s="161"/>
      <x:c r="Z175" s="161"/>
    </x:row>
    <x:row r="176">
      <x:c r="A176" s="129" t="str">
        <x:f>IF(B176&lt;&gt;"","PROP-"&amp;TEXT(ROW()-5,"000"),"")</x:f>
      </x:c>
      <x:c r="B176" s="108"/>
      <x:c r="C176" s="129" t="str">
        <x:f>IFERROR(VLOOKUP(B176,'06 Oportunidades'!$A$6:$M$200,3,FALSE),"")</x:f>
      </x:c>
      <x:c r="D176" s="124"/>
      <x:c r="E176" s="112"/>
      <x:c r="F176" s="108"/>
      <x:c r="G176" s="124"/>
      <x:c r="H176" s="129" t="str">
        <x:f>IF(G176="","",G176-TODAY())</x:f>
      </x:c>
      <x:c r="I176" s="108"/>
      <x:c r="J176" s="108"/>
      <x:c r="K176" s="108"/>
      <x:c r="L176" s="161"/>
      <x:c r="M176" s="161"/>
      <x:c r="N176" s="161"/>
      <x:c r="O176" s="161"/>
      <x:c r="P176" s="161"/>
      <x:c r="Q176" s="161"/>
      <x:c r="R176" s="161"/>
      <x:c r="S176" s="161"/>
      <x:c r="T176" s="161"/>
      <x:c r="U176" s="161"/>
      <x:c r="V176" s="161"/>
      <x:c r="W176" s="161"/>
      <x:c r="X176" s="161"/>
      <x:c r="Y176" s="161"/>
      <x:c r="Z176" s="161"/>
    </x:row>
    <x:row r="177">
      <x:c r="A177" s="129" t="str">
        <x:f>IF(B177&lt;&gt;"","PROP-"&amp;TEXT(ROW()-5,"000"),"")</x:f>
      </x:c>
      <x:c r="B177" s="108"/>
      <x:c r="C177" s="129" t="str">
        <x:f>IFERROR(VLOOKUP(B177,'06 Oportunidades'!$A$6:$M$200,3,FALSE),"")</x:f>
      </x:c>
      <x:c r="D177" s="124"/>
      <x:c r="E177" s="112"/>
      <x:c r="F177" s="108"/>
      <x:c r="G177" s="124"/>
      <x:c r="H177" s="129" t="str">
        <x:f>IF(G177="","",G177-TODAY())</x:f>
      </x:c>
      <x:c r="I177" s="108"/>
      <x:c r="J177" s="108"/>
      <x:c r="K177" s="108"/>
      <x:c r="L177" s="161"/>
      <x:c r="M177" s="161"/>
      <x:c r="N177" s="161"/>
      <x:c r="O177" s="161"/>
      <x:c r="P177" s="161"/>
      <x:c r="Q177" s="161"/>
      <x:c r="R177" s="161"/>
      <x:c r="S177" s="161"/>
      <x:c r="T177" s="161"/>
      <x:c r="U177" s="161"/>
      <x:c r="V177" s="161"/>
      <x:c r="W177" s="161"/>
      <x:c r="X177" s="161"/>
      <x:c r="Y177" s="161"/>
      <x:c r="Z177" s="161"/>
    </x:row>
    <x:row r="178">
      <x:c r="A178" s="129" t="str">
        <x:f>IF(B178&lt;&gt;"","PROP-"&amp;TEXT(ROW()-5,"000"),"")</x:f>
      </x:c>
      <x:c r="B178" s="108"/>
      <x:c r="C178" s="129" t="str">
        <x:f>IFERROR(VLOOKUP(B178,'06 Oportunidades'!$A$6:$M$200,3,FALSE),"")</x:f>
      </x:c>
      <x:c r="D178" s="124"/>
      <x:c r="E178" s="112"/>
      <x:c r="F178" s="108"/>
      <x:c r="G178" s="124"/>
      <x:c r="H178" s="129" t="str">
        <x:f>IF(G178="","",G178-TODAY())</x:f>
      </x:c>
      <x:c r="I178" s="108"/>
      <x:c r="J178" s="108"/>
      <x:c r="K178" s="108"/>
      <x:c r="L178" s="161"/>
      <x:c r="M178" s="161"/>
      <x:c r="N178" s="161"/>
      <x:c r="O178" s="161"/>
      <x:c r="P178" s="161"/>
      <x:c r="Q178" s="161"/>
      <x:c r="R178" s="161"/>
      <x:c r="S178" s="161"/>
      <x:c r="T178" s="161"/>
      <x:c r="U178" s="161"/>
      <x:c r="V178" s="161"/>
      <x:c r="W178" s="161"/>
      <x:c r="X178" s="161"/>
      <x:c r="Y178" s="161"/>
      <x:c r="Z178" s="161"/>
    </x:row>
    <x:row r="179">
      <x:c r="A179" s="129" t="str">
        <x:f>IF(B179&lt;&gt;"","PROP-"&amp;TEXT(ROW()-5,"000"),"")</x:f>
      </x:c>
      <x:c r="B179" s="108"/>
      <x:c r="C179" s="129" t="str">
        <x:f>IFERROR(VLOOKUP(B179,'06 Oportunidades'!$A$6:$M$200,3,FALSE),"")</x:f>
      </x:c>
      <x:c r="D179" s="124"/>
      <x:c r="E179" s="112"/>
      <x:c r="F179" s="108"/>
      <x:c r="G179" s="124"/>
      <x:c r="H179" s="129" t="str">
        <x:f>IF(G179="","",G179-TODAY())</x:f>
      </x:c>
      <x:c r="I179" s="108"/>
      <x:c r="J179" s="108"/>
      <x:c r="K179" s="108"/>
      <x:c r="L179" s="161"/>
      <x:c r="M179" s="161"/>
      <x:c r="N179" s="161"/>
      <x:c r="O179" s="161"/>
      <x:c r="P179" s="161"/>
      <x:c r="Q179" s="161"/>
      <x:c r="R179" s="161"/>
      <x:c r="S179" s="161"/>
      <x:c r="T179" s="161"/>
      <x:c r="U179" s="161"/>
      <x:c r="V179" s="161"/>
      <x:c r="W179" s="161"/>
      <x:c r="X179" s="161"/>
      <x:c r="Y179" s="161"/>
      <x:c r="Z179" s="161"/>
    </x:row>
    <x:row r="180">
      <x:c r="A180" s="129" t="str">
        <x:f>IF(B180&lt;&gt;"","PROP-"&amp;TEXT(ROW()-5,"000"),"")</x:f>
      </x:c>
      <x:c r="B180" s="108"/>
      <x:c r="C180" s="129" t="str">
        <x:f>IFERROR(VLOOKUP(B180,'06 Oportunidades'!$A$6:$M$200,3,FALSE),"")</x:f>
      </x:c>
      <x:c r="D180" s="124"/>
      <x:c r="E180" s="112"/>
      <x:c r="F180" s="108"/>
      <x:c r="G180" s="124"/>
      <x:c r="H180" s="129" t="str">
        <x:f>IF(G180="","",G180-TODAY())</x:f>
      </x:c>
      <x:c r="I180" s="108"/>
      <x:c r="J180" s="108"/>
      <x:c r="K180" s="108"/>
      <x:c r="L180" s="161"/>
      <x:c r="M180" s="161"/>
      <x:c r="N180" s="161"/>
      <x:c r="O180" s="161"/>
      <x:c r="P180" s="161"/>
      <x:c r="Q180" s="161"/>
      <x:c r="R180" s="161"/>
      <x:c r="S180" s="161"/>
      <x:c r="T180" s="161"/>
      <x:c r="U180" s="161"/>
      <x:c r="V180" s="161"/>
      <x:c r="W180" s="161"/>
      <x:c r="X180" s="161"/>
      <x:c r="Y180" s="161"/>
      <x:c r="Z180" s="161"/>
    </x:row>
    <x:row r="181">
      <x:c r="A181" s="129" t="str">
        <x:f>IF(B181&lt;&gt;"","PROP-"&amp;TEXT(ROW()-5,"000"),"")</x:f>
      </x:c>
      <x:c r="B181" s="108"/>
      <x:c r="C181" s="129" t="str">
        <x:f>IFERROR(VLOOKUP(B181,'06 Oportunidades'!$A$6:$M$200,3,FALSE),"")</x:f>
      </x:c>
      <x:c r="D181" s="124"/>
      <x:c r="E181" s="112"/>
      <x:c r="F181" s="108"/>
      <x:c r="G181" s="124"/>
      <x:c r="H181" s="129" t="str">
        <x:f>IF(G181="","",G181-TODAY())</x:f>
      </x:c>
      <x:c r="I181" s="108"/>
      <x:c r="J181" s="108"/>
      <x:c r="K181" s="108"/>
      <x:c r="L181" s="161"/>
      <x:c r="M181" s="161"/>
      <x:c r="N181" s="161"/>
      <x:c r="O181" s="161"/>
      <x:c r="P181" s="161"/>
      <x:c r="Q181" s="161"/>
      <x:c r="R181" s="161"/>
      <x:c r="S181" s="161"/>
      <x:c r="T181" s="161"/>
      <x:c r="U181" s="161"/>
      <x:c r="V181" s="161"/>
      <x:c r="W181" s="161"/>
      <x:c r="X181" s="161"/>
      <x:c r="Y181" s="161"/>
      <x:c r="Z181" s="161"/>
    </x:row>
    <x:row r="182">
      <x:c r="A182" s="129" t="str">
        <x:f>IF(B182&lt;&gt;"","PROP-"&amp;TEXT(ROW()-5,"000"),"")</x:f>
      </x:c>
      <x:c r="B182" s="108"/>
      <x:c r="C182" s="129" t="str">
        <x:f>IFERROR(VLOOKUP(B182,'06 Oportunidades'!$A$6:$M$200,3,FALSE),"")</x:f>
      </x:c>
      <x:c r="D182" s="124"/>
      <x:c r="E182" s="112"/>
      <x:c r="F182" s="108"/>
      <x:c r="G182" s="124"/>
      <x:c r="H182" s="129" t="str">
        <x:f>IF(G182="","",G182-TODAY())</x:f>
      </x:c>
      <x:c r="I182" s="108"/>
      <x:c r="J182" s="108"/>
      <x:c r="K182" s="108"/>
      <x:c r="L182" s="161"/>
      <x:c r="M182" s="161"/>
      <x:c r="N182" s="161"/>
      <x:c r="O182" s="161"/>
      <x:c r="P182" s="161"/>
      <x:c r="Q182" s="161"/>
      <x:c r="R182" s="161"/>
      <x:c r="S182" s="161"/>
      <x:c r="T182" s="161"/>
      <x:c r="U182" s="161"/>
      <x:c r="V182" s="161"/>
      <x:c r="W182" s="161"/>
      <x:c r="X182" s="161"/>
      <x:c r="Y182" s="161"/>
      <x:c r="Z182" s="161"/>
    </x:row>
    <x:row r="183">
      <x:c r="A183" s="129" t="str">
        <x:f>IF(B183&lt;&gt;"","PROP-"&amp;TEXT(ROW()-5,"000"),"")</x:f>
      </x:c>
      <x:c r="B183" s="108"/>
      <x:c r="C183" s="129" t="str">
        <x:f>IFERROR(VLOOKUP(B183,'06 Oportunidades'!$A$6:$M$200,3,FALSE),"")</x:f>
      </x:c>
      <x:c r="D183" s="124"/>
      <x:c r="E183" s="112"/>
      <x:c r="F183" s="108"/>
      <x:c r="G183" s="124"/>
      <x:c r="H183" s="129" t="str">
        <x:f>IF(G183="","",G183-TODAY())</x:f>
      </x:c>
      <x:c r="I183" s="108"/>
      <x:c r="J183" s="108"/>
      <x:c r="K183" s="108"/>
      <x:c r="L183" s="161"/>
      <x:c r="M183" s="161"/>
      <x:c r="N183" s="161"/>
      <x:c r="O183" s="161"/>
      <x:c r="P183" s="161"/>
      <x:c r="Q183" s="161"/>
      <x:c r="R183" s="161"/>
      <x:c r="S183" s="161"/>
      <x:c r="T183" s="161"/>
      <x:c r="U183" s="161"/>
      <x:c r="V183" s="161"/>
      <x:c r="W183" s="161"/>
      <x:c r="X183" s="161"/>
      <x:c r="Y183" s="161"/>
      <x:c r="Z183" s="161"/>
    </x:row>
    <x:row r="184">
      <x:c r="A184" s="129" t="str">
        <x:f>IF(B184&lt;&gt;"","PROP-"&amp;TEXT(ROW()-5,"000"),"")</x:f>
      </x:c>
      <x:c r="B184" s="108"/>
      <x:c r="C184" s="129" t="str">
        <x:f>IFERROR(VLOOKUP(B184,'06 Oportunidades'!$A$6:$M$200,3,FALSE),"")</x:f>
      </x:c>
      <x:c r="D184" s="124"/>
      <x:c r="E184" s="112"/>
      <x:c r="F184" s="108"/>
      <x:c r="G184" s="124"/>
      <x:c r="H184" s="129" t="str">
        <x:f>IF(G184="","",G184-TODAY())</x:f>
      </x:c>
      <x:c r="I184" s="108"/>
      <x:c r="J184" s="108"/>
      <x:c r="K184" s="108"/>
      <x:c r="L184" s="161"/>
      <x:c r="M184" s="161"/>
      <x:c r="N184" s="161"/>
      <x:c r="O184" s="161"/>
      <x:c r="P184" s="161"/>
      <x:c r="Q184" s="161"/>
      <x:c r="R184" s="161"/>
      <x:c r="S184" s="161"/>
      <x:c r="T184" s="161"/>
      <x:c r="U184" s="161"/>
      <x:c r="V184" s="161"/>
      <x:c r="W184" s="161"/>
      <x:c r="X184" s="161"/>
      <x:c r="Y184" s="161"/>
      <x:c r="Z184" s="161"/>
    </x:row>
    <x:row r="185">
      <x:c r="A185" s="129" t="str">
        <x:f>IF(B185&lt;&gt;"","PROP-"&amp;TEXT(ROW()-5,"000"),"")</x:f>
      </x:c>
      <x:c r="B185" s="108"/>
      <x:c r="C185" s="129" t="str">
        <x:f>IFERROR(VLOOKUP(B185,'06 Oportunidades'!$A$6:$M$200,3,FALSE),"")</x:f>
      </x:c>
      <x:c r="D185" s="124"/>
      <x:c r="E185" s="112"/>
      <x:c r="F185" s="108"/>
      <x:c r="G185" s="124"/>
      <x:c r="H185" s="129" t="str">
        <x:f>IF(G185="","",G185-TODAY())</x:f>
      </x:c>
      <x:c r="I185" s="108"/>
      <x:c r="J185" s="108"/>
      <x:c r="K185" s="108"/>
      <x:c r="L185" s="161"/>
      <x:c r="M185" s="161"/>
      <x:c r="N185" s="161"/>
      <x:c r="O185" s="161"/>
      <x:c r="P185" s="161"/>
      <x:c r="Q185" s="161"/>
      <x:c r="R185" s="161"/>
      <x:c r="S185" s="161"/>
      <x:c r="T185" s="161"/>
      <x:c r="U185" s="161"/>
      <x:c r="V185" s="161"/>
      <x:c r="W185" s="161"/>
      <x:c r="X185" s="161"/>
      <x:c r="Y185" s="161"/>
      <x:c r="Z185" s="161"/>
    </x:row>
    <x:row r="186">
      <x:c r="A186" s="129" t="str">
        <x:f>IF(B186&lt;&gt;"","PROP-"&amp;TEXT(ROW()-5,"000"),"")</x:f>
      </x:c>
      <x:c r="B186" s="108"/>
      <x:c r="C186" s="129" t="str">
        <x:f>IFERROR(VLOOKUP(B186,'06 Oportunidades'!$A$6:$M$200,3,FALSE),"")</x:f>
      </x:c>
      <x:c r="D186" s="124"/>
      <x:c r="E186" s="112"/>
      <x:c r="F186" s="108"/>
      <x:c r="G186" s="124"/>
      <x:c r="H186" s="129" t="str">
        <x:f>IF(G186="","",G186-TODAY())</x:f>
      </x:c>
      <x:c r="I186" s="108"/>
      <x:c r="J186" s="108"/>
      <x:c r="K186" s="108"/>
      <x:c r="L186" s="161"/>
      <x:c r="M186" s="161"/>
      <x:c r="N186" s="161"/>
      <x:c r="O186" s="161"/>
      <x:c r="P186" s="161"/>
      <x:c r="Q186" s="161"/>
      <x:c r="R186" s="161"/>
      <x:c r="S186" s="161"/>
      <x:c r="T186" s="161"/>
      <x:c r="U186" s="161"/>
      <x:c r="V186" s="161"/>
      <x:c r="W186" s="161"/>
      <x:c r="X186" s="161"/>
      <x:c r="Y186" s="161"/>
      <x:c r="Z186" s="161"/>
    </x:row>
    <x:row r="187">
      <x:c r="A187" s="129" t="str">
        <x:f>IF(B187&lt;&gt;"","PROP-"&amp;TEXT(ROW()-5,"000"),"")</x:f>
      </x:c>
      <x:c r="B187" s="108"/>
      <x:c r="C187" s="129" t="str">
        <x:f>IFERROR(VLOOKUP(B187,'06 Oportunidades'!$A$6:$M$200,3,FALSE),"")</x:f>
      </x:c>
      <x:c r="D187" s="124"/>
      <x:c r="E187" s="112"/>
      <x:c r="F187" s="108"/>
      <x:c r="G187" s="124"/>
      <x:c r="H187" s="129" t="str">
        <x:f>IF(G187="","",G187-TODAY())</x:f>
      </x:c>
      <x:c r="I187" s="108"/>
      <x:c r="J187" s="108"/>
      <x:c r="K187" s="108"/>
      <x:c r="L187" s="161"/>
      <x:c r="M187" s="161"/>
      <x:c r="N187" s="161"/>
      <x:c r="O187" s="161"/>
      <x:c r="P187" s="161"/>
      <x:c r="Q187" s="161"/>
      <x:c r="R187" s="161"/>
      <x:c r="S187" s="161"/>
      <x:c r="T187" s="161"/>
      <x:c r="U187" s="161"/>
      <x:c r="V187" s="161"/>
      <x:c r="W187" s="161"/>
      <x:c r="X187" s="161"/>
      <x:c r="Y187" s="161"/>
      <x:c r="Z187" s="161"/>
    </x:row>
    <x:row r="188">
      <x:c r="A188" s="129" t="str">
        <x:f>IF(B188&lt;&gt;"","PROP-"&amp;TEXT(ROW()-5,"000"),"")</x:f>
      </x:c>
      <x:c r="B188" s="108"/>
      <x:c r="C188" s="129" t="str">
        <x:f>IFERROR(VLOOKUP(B188,'06 Oportunidades'!$A$6:$M$200,3,FALSE),"")</x:f>
      </x:c>
      <x:c r="D188" s="124"/>
      <x:c r="E188" s="112"/>
      <x:c r="F188" s="108"/>
      <x:c r="G188" s="124"/>
      <x:c r="H188" s="129" t="str">
        <x:f>IF(G188="","",G188-TODAY())</x:f>
      </x:c>
      <x:c r="I188" s="108"/>
      <x:c r="J188" s="108"/>
      <x:c r="K188" s="108"/>
      <x:c r="L188" s="161"/>
      <x:c r="M188" s="161"/>
      <x:c r="N188" s="161"/>
      <x:c r="O188" s="161"/>
      <x:c r="P188" s="161"/>
      <x:c r="Q188" s="161"/>
      <x:c r="R188" s="161"/>
      <x:c r="S188" s="161"/>
      <x:c r="T188" s="161"/>
      <x:c r="U188" s="161"/>
      <x:c r="V188" s="161"/>
      <x:c r="W188" s="161"/>
      <x:c r="X188" s="161"/>
      <x:c r="Y188" s="161"/>
      <x:c r="Z188" s="161"/>
    </x:row>
    <x:row r="189">
      <x:c r="A189" s="129" t="str">
        <x:f>IF(B189&lt;&gt;"","PROP-"&amp;TEXT(ROW()-5,"000"),"")</x:f>
      </x:c>
      <x:c r="B189" s="108"/>
      <x:c r="C189" s="129" t="str">
        <x:f>IFERROR(VLOOKUP(B189,'06 Oportunidades'!$A$6:$M$200,3,FALSE),"")</x:f>
      </x:c>
      <x:c r="D189" s="124"/>
      <x:c r="E189" s="112"/>
      <x:c r="F189" s="108"/>
      <x:c r="G189" s="124"/>
      <x:c r="H189" s="129" t="str">
        <x:f>IF(G189="","",G189-TODAY())</x:f>
      </x:c>
      <x:c r="I189" s="108"/>
      <x:c r="J189" s="108"/>
      <x:c r="K189" s="108"/>
      <x:c r="L189" s="161"/>
      <x:c r="M189" s="161"/>
      <x:c r="N189" s="161"/>
      <x:c r="O189" s="161"/>
      <x:c r="P189" s="161"/>
      <x:c r="Q189" s="161"/>
      <x:c r="R189" s="161"/>
      <x:c r="S189" s="161"/>
      <x:c r="T189" s="161"/>
      <x:c r="U189" s="161"/>
      <x:c r="V189" s="161"/>
      <x:c r="W189" s="161"/>
      <x:c r="X189" s="161"/>
      <x:c r="Y189" s="161"/>
      <x:c r="Z189" s="161"/>
    </x:row>
    <x:row r="190">
      <x:c r="A190" s="129" t="str">
        <x:f>IF(B190&lt;&gt;"","PROP-"&amp;TEXT(ROW()-5,"000"),"")</x:f>
      </x:c>
      <x:c r="B190" s="108"/>
      <x:c r="C190" s="129" t="str">
        <x:f>IFERROR(VLOOKUP(B190,'06 Oportunidades'!$A$6:$M$200,3,FALSE),"")</x:f>
      </x:c>
      <x:c r="D190" s="124"/>
      <x:c r="E190" s="112"/>
      <x:c r="F190" s="108"/>
      <x:c r="G190" s="124"/>
      <x:c r="H190" s="129" t="str">
        <x:f>IF(G190="","",G190-TODAY())</x:f>
      </x:c>
      <x:c r="I190" s="108"/>
      <x:c r="J190" s="108"/>
      <x:c r="K190" s="108"/>
      <x:c r="L190" s="161"/>
      <x:c r="M190" s="161"/>
      <x:c r="N190" s="161"/>
      <x:c r="O190" s="161"/>
      <x:c r="P190" s="161"/>
      <x:c r="Q190" s="161"/>
      <x:c r="R190" s="161"/>
      <x:c r="S190" s="161"/>
      <x:c r="T190" s="161"/>
      <x:c r="U190" s="161"/>
      <x:c r="V190" s="161"/>
      <x:c r="W190" s="161"/>
      <x:c r="X190" s="161"/>
      <x:c r="Y190" s="161"/>
      <x:c r="Z190" s="161"/>
    </x:row>
    <x:row r="191">
      <x:c r="A191" s="129" t="str">
        <x:f>IF(B191&lt;&gt;"","PROP-"&amp;TEXT(ROW()-5,"000"),"")</x:f>
      </x:c>
      <x:c r="B191" s="108"/>
      <x:c r="C191" s="129" t="str">
        <x:f>IFERROR(VLOOKUP(B191,'06 Oportunidades'!$A$6:$M$200,3,FALSE),"")</x:f>
      </x:c>
      <x:c r="D191" s="124"/>
      <x:c r="E191" s="112"/>
      <x:c r="F191" s="108"/>
      <x:c r="G191" s="124"/>
      <x:c r="H191" s="129" t="str">
        <x:f>IF(G191="","",G191-TODAY())</x:f>
      </x:c>
      <x:c r="I191" s="108"/>
      <x:c r="J191" s="108"/>
      <x:c r="K191" s="108"/>
      <x:c r="L191" s="161"/>
      <x:c r="M191" s="161"/>
      <x:c r="N191" s="161"/>
      <x:c r="O191" s="161"/>
      <x:c r="P191" s="161"/>
      <x:c r="Q191" s="161"/>
      <x:c r="R191" s="161"/>
      <x:c r="S191" s="161"/>
      <x:c r="T191" s="161"/>
      <x:c r="U191" s="161"/>
      <x:c r="V191" s="161"/>
      <x:c r="W191" s="161"/>
      <x:c r="X191" s="161"/>
      <x:c r="Y191" s="161"/>
      <x:c r="Z191" s="161"/>
    </x:row>
    <x:row r="192">
      <x:c r="A192" s="129" t="str">
        <x:f>IF(B192&lt;&gt;"","PROP-"&amp;TEXT(ROW()-5,"000"),"")</x:f>
      </x:c>
      <x:c r="B192" s="108"/>
      <x:c r="C192" s="129" t="str">
        <x:f>IFERROR(VLOOKUP(B192,'06 Oportunidades'!$A$6:$M$200,3,FALSE),"")</x:f>
      </x:c>
      <x:c r="D192" s="124"/>
      <x:c r="E192" s="112"/>
      <x:c r="F192" s="108"/>
      <x:c r="G192" s="124"/>
      <x:c r="H192" s="129" t="str">
        <x:f>IF(G192="","",G192-TODAY())</x:f>
      </x:c>
      <x:c r="I192" s="108"/>
      <x:c r="J192" s="108"/>
      <x:c r="K192" s="108"/>
      <x:c r="L192" s="161"/>
      <x:c r="M192" s="161"/>
      <x:c r="N192" s="161"/>
      <x:c r="O192" s="161"/>
      <x:c r="P192" s="161"/>
      <x:c r="Q192" s="161"/>
      <x:c r="R192" s="161"/>
      <x:c r="S192" s="161"/>
      <x:c r="T192" s="161"/>
      <x:c r="U192" s="161"/>
      <x:c r="V192" s="161"/>
      <x:c r="W192" s="161"/>
      <x:c r="X192" s="161"/>
      <x:c r="Y192" s="161"/>
      <x:c r="Z192" s="161"/>
    </x:row>
    <x:row r="193">
      <x:c r="A193" s="129" t="str">
        <x:f>IF(B193&lt;&gt;"","PROP-"&amp;TEXT(ROW()-5,"000"),"")</x:f>
      </x:c>
      <x:c r="B193" s="108"/>
      <x:c r="C193" s="129" t="str">
        <x:f>IFERROR(VLOOKUP(B193,'06 Oportunidades'!$A$6:$M$200,3,FALSE),"")</x:f>
      </x:c>
      <x:c r="D193" s="124"/>
      <x:c r="E193" s="112"/>
      <x:c r="F193" s="108"/>
      <x:c r="G193" s="124"/>
      <x:c r="H193" s="129" t="str">
        <x:f>IF(G193="","",G193-TODAY())</x:f>
      </x:c>
      <x:c r="I193" s="108"/>
      <x:c r="J193" s="108"/>
      <x:c r="K193" s="108"/>
      <x:c r="L193" s="161"/>
      <x:c r="M193" s="161"/>
      <x:c r="N193" s="161"/>
      <x:c r="O193" s="161"/>
      <x:c r="P193" s="161"/>
      <x:c r="Q193" s="161"/>
      <x:c r="R193" s="161"/>
      <x:c r="S193" s="161"/>
      <x:c r="T193" s="161"/>
      <x:c r="U193" s="161"/>
      <x:c r="V193" s="161"/>
      <x:c r="W193" s="161"/>
      <x:c r="X193" s="161"/>
      <x:c r="Y193" s="161"/>
      <x:c r="Z193" s="161"/>
    </x:row>
    <x:row r="194">
      <x:c r="A194" s="129" t="str">
        <x:f>IF(B194&lt;&gt;"","PROP-"&amp;TEXT(ROW()-5,"000"),"")</x:f>
      </x:c>
      <x:c r="B194" s="108"/>
      <x:c r="C194" s="129" t="str">
        <x:f>IFERROR(VLOOKUP(B194,'06 Oportunidades'!$A$6:$M$200,3,FALSE),"")</x:f>
      </x:c>
      <x:c r="D194" s="124"/>
      <x:c r="E194" s="112"/>
      <x:c r="F194" s="108"/>
      <x:c r="G194" s="124"/>
      <x:c r="H194" s="129" t="str">
        <x:f>IF(G194="","",G194-TODAY())</x:f>
      </x:c>
      <x:c r="I194" s="108"/>
      <x:c r="J194" s="108"/>
      <x:c r="K194" s="108"/>
      <x:c r="L194" s="161"/>
      <x:c r="M194" s="161"/>
      <x:c r="N194" s="161"/>
      <x:c r="O194" s="161"/>
      <x:c r="P194" s="161"/>
      <x:c r="Q194" s="161"/>
      <x:c r="R194" s="161"/>
      <x:c r="S194" s="161"/>
      <x:c r="T194" s="161"/>
      <x:c r="U194" s="161"/>
      <x:c r="V194" s="161"/>
      <x:c r="W194" s="161"/>
      <x:c r="X194" s="161"/>
      <x:c r="Y194" s="161"/>
      <x:c r="Z194" s="161"/>
    </x:row>
    <x:row r="195">
      <x:c r="A195" s="129" t="str">
        <x:f>IF(B195&lt;&gt;"","PROP-"&amp;TEXT(ROW()-5,"000"),"")</x:f>
      </x:c>
      <x:c r="B195" s="108"/>
      <x:c r="C195" s="129" t="str">
        <x:f>IFERROR(VLOOKUP(B195,'06 Oportunidades'!$A$6:$M$200,3,FALSE),"")</x:f>
      </x:c>
      <x:c r="D195" s="124"/>
      <x:c r="E195" s="112"/>
      <x:c r="F195" s="108"/>
      <x:c r="G195" s="124"/>
      <x:c r="H195" s="129" t="str">
        <x:f>IF(G195="","",G195-TODAY())</x:f>
      </x:c>
      <x:c r="I195" s="108"/>
      <x:c r="J195" s="108"/>
      <x:c r="K195" s="108"/>
      <x:c r="L195" s="161"/>
      <x:c r="M195" s="161"/>
      <x:c r="N195" s="161"/>
      <x:c r="O195" s="161"/>
      <x:c r="P195" s="161"/>
      <x:c r="Q195" s="161"/>
      <x:c r="R195" s="161"/>
      <x:c r="S195" s="161"/>
      <x:c r="T195" s="161"/>
      <x:c r="U195" s="161"/>
      <x:c r="V195" s="161"/>
      <x:c r="W195" s="161"/>
      <x:c r="X195" s="161"/>
      <x:c r="Y195" s="161"/>
      <x:c r="Z195" s="161"/>
    </x:row>
    <x:row r="196">
      <x:c r="A196" s="129" t="str">
        <x:f>IF(B196&lt;&gt;"","PROP-"&amp;TEXT(ROW()-5,"000"),"")</x:f>
      </x:c>
      <x:c r="B196" s="108"/>
      <x:c r="C196" s="129" t="str">
        <x:f>IFERROR(VLOOKUP(B196,'06 Oportunidades'!$A$6:$M$200,3,FALSE),"")</x:f>
      </x:c>
      <x:c r="D196" s="124"/>
      <x:c r="E196" s="112"/>
      <x:c r="F196" s="108"/>
      <x:c r="G196" s="124"/>
      <x:c r="H196" s="129" t="str">
        <x:f>IF(G196="","",G196-TODAY())</x:f>
      </x:c>
      <x:c r="I196" s="108"/>
      <x:c r="J196" s="108"/>
      <x:c r="K196" s="108"/>
      <x:c r="L196" s="161"/>
      <x:c r="M196" s="161"/>
      <x:c r="N196" s="161"/>
      <x:c r="O196" s="161"/>
      <x:c r="P196" s="161"/>
      <x:c r="Q196" s="161"/>
      <x:c r="R196" s="161"/>
      <x:c r="S196" s="161"/>
      <x:c r="T196" s="161"/>
      <x:c r="U196" s="161"/>
      <x:c r="V196" s="161"/>
      <x:c r="W196" s="161"/>
      <x:c r="X196" s="161"/>
      <x:c r="Y196" s="161"/>
      <x:c r="Z196" s="161"/>
    </x:row>
    <x:row r="197">
      <x:c r="A197" s="129" t="str">
        <x:f>IF(B197&lt;&gt;"","PROP-"&amp;TEXT(ROW()-5,"000"),"")</x:f>
      </x:c>
      <x:c r="B197" s="108"/>
      <x:c r="C197" s="129" t="str">
        <x:f>IFERROR(VLOOKUP(B197,'06 Oportunidades'!$A$6:$M$200,3,FALSE),"")</x:f>
      </x:c>
      <x:c r="D197" s="124"/>
      <x:c r="E197" s="112"/>
      <x:c r="F197" s="108"/>
      <x:c r="G197" s="124"/>
      <x:c r="H197" s="129" t="str">
        <x:f>IF(G197="","",G197-TODAY())</x:f>
      </x:c>
      <x:c r="I197" s="108"/>
      <x:c r="J197" s="108"/>
      <x:c r="K197" s="108"/>
      <x:c r="L197" s="161"/>
      <x:c r="M197" s="161"/>
      <x:c r="N197" s="161"/>
      <x:c r="O197" s="161"/>
      <x:c r="P197" s="161"/>
      <x:c r="Q197" s="161"/>
      <x:c r="R197" s="161"/>
      <x:c r="S197" s="161"/>
      <x:c r="T197" s="161"/>
      <x:c r="U197" s="161"/>
      <x:c r="V197" s="161"/>
      <x:c r="W197" s="161"/>
      <x:c r="X197" s="161"/>
      <x:c r="Y197" s="161"/>
      <x:c r="Z197" s="161"/>
    </x:row>
    <x:row r="198">
      <x:c r="A198" s="129" t="str">
        <x:f>IF(B198&lt;&gt;"","PROP-"&amp;TEXT(ROW()-5,"000"),"")</x:f>
      </x:c>
      <x:c r="B198" s="108"/>
      <x:c r="C198" s="129" t="str">
        <x:f>IFERROR(VLOOKUP(B198,'06 Oportunidades'!$A$6:$M$200,3,FALSE),"")</x:f>
      </x:c>
      <x:c r="D198" s="124"/>
      <x:c r="E198" s="112"/>
      <x:c r="F198" s="108"/>
      <x:c r="G198" s="124"/>
      <x:c r="H198" s="129" t="str">
        <x:f>IF(G198="","",G198-TODAY())</x:f>
      </x:c>
      <x:c r="I198" s="108"/>
      <x:c r="J198" s="108"/>
      <x:c r="K198" s="108"/>
      <x:c r="L198" s="161"/>
      <x:c r="M198" s="161"/>
      <x:c r="N198" s="161"/>
      <x:c r="O198" s="161"/>
      <x:c r="P198" s="161"/>
      <x:c r="Q198" s="161"/>
      <x:c r="R198" s="161"/>
      <x:c r="S198" s="161"/>
      <x:c r="T198" s="161"/>
      <x:c r="U198" s="161"/>
      <x:c r="V198" s="161"/>
      <x:c r="W198" s="161"/>
      <x:c r="X198" s="161"/>
      <x:c r="Y198" s="161"/>
      <x:c r="Z198" s="161"/>
    </x:row>
    <x:row r="199">
      <x:c r="A199" s="129" t="str">
        <x:f>IF(B199&lt;&gt;"","PROP-"&amp;TEXT(ROW()-5,"000"),"")</x:f>
      </x:c>
      <x:c r="B199" s="108"/>
      <x:c r="C199" s="129" t="str">
        <x:f>IFERROR(VLOOKUP(B199,'06 Oportunidades'!$A$6:$M$200,3,FALSE),"")</x:f>
      </x:c>
      <x:c r="D199" s="124"/>
      <x:c r="E199" s="112"/>
      <x:c r="F199" s="108"/>
      <x:c r="G199" s="124"/>
      <x:c r="H199" s="129" t="str">
        <x:f>IF(G199="","",G199-TODAY())</x:f>
      </x:c>
      <x:c r="I199" s="108"/>
      <x:c r="J199" s="108"/>
      <x:c r="K199" s="108"/>
      <x:c r="L199" s="161"/>
      <x:c r="M199" s="161"/>
      <x:c r="N199" s="161"/>
      <x:c r="O199" s="161"/>
      <x:c r="P199" s="161"/>
      <x:c r="Q199" s="161"/>
      <x:c r="R199" s="161"/>
      <x:c r="S199" s="161"/>
      <x:c r="T199" s="161"/>
      <x:c r="U199" s="161"/>
      <x:c r="V199" s="161"/>
      <x:c r="W199" s="161"/>
      <x:c r="X199" s="161"/>
      <x:c r="Y199" s="161"/>
      <x:c r="Z199" s="161"/>
    </x:row>
    <x:row r="200">
      <x:c r="A200" s="129" t="str">
        <x:f>IF(B200&lt;&gt;"","PROP-"&amp;TEXT(ROW()-5,"000"),"")</x:f>
      </x:c>
      <x:c r="B200" s="108"/>
      <x:c r="C200" s="129" t="str">
        <x:f>IFERROR(VLOOKUP(B200,'06 Oportunidades'!$A$6:$M$200,3,FALSE),"")</x:f>
      </x:c>
      <x:c r="D200" s="124"/>
      <x:c r="E200" s="112"/>
      <x:c r="F200" s="108"/>
      <x:c r="G200" s="124"/>
      <x:c r="H200" s="129" t="str">
        <x:f>IF(G200="","",G200-TODAY())</x:f>
      </x:c>
      <x:c r="I200" s="108"/>
      <x:c r="J200" s="108"/>
      <x:c r="K200" s="108"/>
      <x:c r="L200" s="161"/>
      <x:c r="M200" s="161"/>
      <x:c r="N200" s="161"/>
      <x:c r="O200" s="161"/>
      <x:c r="P200" s="161"/>
      <x:c r="Q200" s="161"/>
      <x:c r="R200" s="161"/>
      <x:c r="S200" s="161"/>
      <x:c r="T200" s="161"/>
      <x:c r="U200" s="161"/>
      <x:c r="V200" s="161"/>
      <x:c r="W200" s="161"/>
      <x:c r="X200" s="161"/>
      <x:c r="Y200" s="161"/>
      <x:c r="Z200" s="161"/>
    </x:row>
    <x:row r="201">
      <x:c r="A201" s="160"/>
      <x:c r="B201" s="160"/>
      <x:c r="C201" s="160"/>
      <x:c r="D201" s="160"/>
      <x:c r="E201" s="160"/>
      <x:c r="F201" s="160"/>
      <x:c r="G201" s="160"/>
      <x:c r="H201" s="160"/>
      <x:c r="I201" s="160"/>
      <x:c r="J201" s="160"/>
      <x:c r="K201" s="160"/>
      <x:c r="L201" s="161"/>
      <x:c r="M201" s="161"/>
      <x:c r="N201" s="161"/>
      <x:c r="O201" s="161"/>
      <x:c r="P201" s="161"/>
      <x:c r="Q201" s="161"/>
      <x:c r="R201" s="161"/>
      <x:c r="S201" s="161"/>
      <x:c r="T201" s="161"/>
      <x:c r="U201" s="161"/>
      <x:c r="V201" s="161"/>
      <x:c r="W201" s="161"/>
      <x:c r="X201" s="161"/>
      <x:c r="Y201" s="161"/>
      <x:c r="Z201" s="161"/>
    </x:row>
    <x:row r="202">
      <x:c r="A202" s="160"/>
      <x:c r="B202" s="160"/>
      <x:c r="C202" s="160"/>
      <x:c r="D202" s="160"/>
      <x:c r="E202" s="160"/>
      <x:c r="F202" s="160"/>
      <x:c r="G202" s="160"/>
      <x:c r="H202" s="160"/>
      <x:c r="I202" s="160"/>
      <x:c r="J202" s="160"/>
      <x:c r="K202" s="160"/>
      <x:c r="L202" s="161"/>
      <x:c r="M202" s="161"/>
      <x:c r="N202" s="161"/>
      <x:c r="O202" s="161"/>
      <x:c r="P202" s="161"/>
      <x:c r="Q202" s="161"/>
      <x:c r="R202" s="161"/>
      <x:c r="S202" s="161"/>
      <x:c r="T202" s="161"/>
      <x:c r="U202" s="161"/>
      <x:c r="V202" s="161"/>
      <x:c r="W202" s="161"/>
      <x:c r="X202" s="161"/>
      <x:c r="Y202" s="161"/>
      <x:c r="Z202" s="161"/>
    </x:row>
    <x:row r="203">
      <x:c r="A203" s="160"/>
      <x:c r="B203" s="160"/>
      <x:c r="C203" s="160"/>
      <x:c r="D203" s="160"/>
      <x:c r="E203" s="160"/>
      <x:c r="F203" s="160"/>
      <x:c r="G203" s="160"/>
      <x:c r="H203" s="160"/>
      <x:c r="I203" s="160"/>
      <x:c r="J203" s="160"/>
      <x:c r="K203" s="160"/>
      <x:c r="L203" s="161"/>
      <x:c r="M203" s="161"/>
      <x:c r="N203" s="161"/>
      <x:c r="O203" s="161"/>
      <x:c r="P203" s="161"/>
      <x:c r="Q203" s="161"/>
      <x:c r="R203" s="161"/>
      <x:c r="S203" s="161"/>
      <x:c r="T203" s="161"/>
      <x:c r="U203" s="161"/>
      <x:c r="V203" s="161"/>
      <x:c r="W203" s="161"/>
      <x:c r="X203" s="161"/>
      <x:c r="Y203" s="161"/>
      <x:c r="Z203" s="161"/>
    </x:row>
    <x:row r="204">
      <x:c r="A204" s="160"/>
      <x:c r="B204" s="160"/>
      <x:c r="C204" s="160"/>
      <x:c r="D204" s="160"/>
      <x:c r="E204" s="160"/>
      <x:c r="F204" s="160"/>
      <x:c r="G204" s="160"/>
      <x:c r="H204" s="160"/>
      <x:c r="I204" s="160"/>
      <x:c r="J204" s="160"/>
      <x:c r="K204" s="160"/>
      <x:c r="L204" s="161"/>
      <x:c r="M204" s="161"/>
      <x:c r="N204" s="161"/>
      <x:c r="O204" s="161"/>
      <x:c r="P204" s="161"/>
      <x:c r="Q204" s="161"/>
      <x:c r="R204" s="161"/>
      <x:c r="S204" s="161"/>
      <x:c r="T204" s="161"/>
      <x:c r="U204" s="161"/>
      <x:c r="V204" s="161"/>
      <x:c r="W204" s="161"/>
      <x:c r="X204" s="161"/>
      <x:c r="Y204" s="161"/>
      <x:c r="Z204" s="161"/>
    </x:row>
    <x:row r="205">
      <x:c r="A205" s="160"/>
      <x:c r="B205" s="160"/>
      <x:c r="C205" s="160"/>
      <x:c r="D205" s="160"/>
      <x:c r="E205" s="160"/>
      <x:c r="F205" s="160"/>
      <x:c r="G205" s="160"/>
      <x:c r="H205" s="160"/>
      <x:c r="I205" s="160"/>
      <x:c r="J205" s="160"/>
      <x:c r="K205" s="160"/>
      <x:c r="L205" s="161"/>
      <x:c r="M205" s="161"/>
      <x:c r="N205" s="161"/>
      <x:c r="O205" s="161"/>
      <x:c r="P205" s="161"/>
      <x:c r="Q205" s="161"/>
      <x:c r="R205" s="161"/>
      <x:c r="S205" s="161"/>
      <x:c r="T205" s="161"/>
      <x:c r="U205" s="161"/>
      <x:c r="V205" s="161"/>
      <x:c r="W205" s="161"/>
      <x:c r="X205" s="161"/>
      <x:c r="Y205" s="161"/>
      <x:c r="Z205" s="161"/>
    </x:row>
    <x:row r="206">
      <x:c r="A206" s="160"/>
      <x:c r="B206" s="160"/>
      <x:c r="C206" s="160"/>
      <x:c r="D206" s="160"/>
      <x:c r="E206" s="160"/>
      <x:c r="F206" s="160"/>
      <x:c r="G206" s="160"/>
      <x:c r="H206" s="160"/>
      <x:c r="I206" s="160"/>
      <x:c r="J206" s="160"/>
      <x:c r="K206" s="160"/>
      <x:c r="L206" s="161"/>
      <x:c r="M206" s="161"/>
      <x:c r="N206" s="161"/>
      <x:c r="O206" s="161"/>
      <x:c r="P206" s="161"/>
      <x:c r="Q206" s="161"/>
      <x:c r="R206" s="161"/>
      <x:c r="S206" s="161"/>
      <x:c r="T206" s="161"/>
      <x:c r="U206" s="161"/>
      <x:c r="V206" s="161"/>
      <x:c r="W206" s="161"/>
      <x:c r="X206" s="161"/>
      <x:c r="Y206" s="161"/>
      <x:c r="Z206" s="161"/>
    </x:row>
    <x:row r="207">
      <x:c r="A207" s="160"/>
      <x:c r="B207" s="160"/>
      <x:c r="C207" s="160"/>
      <x:c r="D207" s="160"/>
      <x:c r="E207" s="160"/>
      <x:c r="F207" s="160"/>
      <x:c r="G207" s="160"/>
      <x:c r="H207" s="160"/>
      <x:c r="I207" s="160"/>
      <x:c r="J207" s="160"/>
      <x:c r="K207" s="160"/>
      <x:c r="L207" s="161"/>
      <x:c r="M207" s="161"/>
      <x:c r="N207" s="161"/>
      <x:c r="O207" s="161"/>
      <x:c r="P207" s="161"/>
      <x:c r="Q207" s="161"/>
      <x:c r="R207" s="161"/>
      <x:c r="S207" s="161"/>
      <x:c r="T207" s="161"/>
      <x:c r="U207" s="161"/>
      <x:c r="V207" s="161"/>
      <x:c r="W207" s="161"/>
      <x:c r="X207" s="161"/>
      <x:c r="Y207" s="161"/>
      <x:c r="Z207" s="161"/>
    </x:row>
    <x:row r="208">
      <x:c r="A208" s="160"/>
      <x:c r="B208" s="160"/>
      <x:c r="C208" s="160"/>
      <x:c r="D208" s="160"/>
      <x:c r="E208" s="160"/>
      <x:c r="F208" s="160"/>
      <x:c r="G208" s="160"/>
      <x:c r="H208" s="160"/>
      <x:c r="I208" s="160"/>
      <x:c r="J208" s="160"/>
      <x:c r="K208" s="160"/>
      <x:c r="L208" s="161"/>
      <x:c r="M208" s="161"/>
      <x:c r="N208" s="161"/>
      <x:c r="O208" s="161"/>
      <x:c r="P208" s="161"/>
      <x:c r="Q208" s="161"/>
      <x:c r="R208" s="161"/>
      <x:c r="S208" s="161"/>
      <x:c r="T208" s="161"/>
      <x:c r="U208" s="161"/>
      <x:c r="V208" s="161"/>
      <x:c r="W208" s="161"/>
      <x:c r="X208" s="161"/>
      <x:c r="Y208" s="161"/>
      <x:c r="Z208" s="161"/>
    </x:row>
    <x:row r="209">
      <x:c r="A209" s="160"/>
      <x:c r="B209" s="160"/>
      <x:c r="C209" s="160"/>
      <x:c r="D209" s="160"/>
      <x:c r="E209" s="160"/>
      <x:c r="F209" s="160"/>
      <x:c r="G209" s="160"/>
      <x:c r="H209" s="160"/>
      <x:c r="I209" s="160"/>
      <x:c r="J209" s="160"/>
      <x:c r="K209" s="160"/>
      <x:c r="L209" s="161"/>
      <x:c r="M209" s="161"/>
      <x:c r="N209" s="161"/>
      <x:c r="O209" s="161"/>
      <x:c r="P209" s="161"/>
      <x:c r="Q209" s="161"/>
      <x:c r="R209" s="161"/>
      <x:c r="S209" s="161"/>
      <x:c r="T209" s="161"/>
      <x:c r="U209" s="161"/>
      <x:c r="V209" s="161"/>
      <x:c r="W209" s="161"/>
      <x:c r="X209" s="161"/>
      <x:c r="Y209" s="161"/>
      <x:c r="Z209" s="161"/>
    </x:row>
    <x:row r="210">
      <x:c r="A210" s="160"/>
      <x:c r="B210" s="160"/>
      <x:c r="C210" s="160"/>
      <x:c r="D210" s="160"/>
      <x:c r="E210" s="160"/>
      <x:c r="F210" s="160"/>
      <x:c r="G210" s="160"/>
      <x:c r="H210" s="160"/>
      <x:c r="I210" s="160"/>
      <x:c r="J210" s="160"/>
      <x:c r="K210" s="160"/>
      <x:c r="L210" s="161"/>
      <x:c r="M210" s="161"/>
      <x:c r="N210" s="161"/>
      <x:c r="O210" s="161"/>
      <x:c r="P210" s="161"/>
      <x:c r="Q210" s="161"/>
      <x:c r="R210" s="161"/>
      <x:c r="S210" s="161"/>
      <x:c r="T210" s="161"/>
      <x:c r="U210" s="161"/>
      <x:c r="V210" s="161"/>
      <x:c r="W210" s="161"/>
      <x:c r="X210" s="161"/>
      <x:c r="Y210" s="161"/>
      <x:c r="Z210" s="161"/>
    </x:row>
    <x:row r="211">
      <x:c r="A211" s="160"/>
      <x:c r="B211" s="160"/>
      <x:c r="C211" s="160"/>
      <x:c r="D211" s="160"/>
      <x:c r="E211" s="160"/>
      <x:c r="F211" s="160"/>
      <x:c r="G211" s="160"/>
      <x:c r="H211" s="160"/>
      <x:c r="I211" s="160"/>
      <x:c r="J211" s="160"/>
      <x:c r="K211" s="160"/>
      <x:c r="L211" s="161"/>
      <x:c r="M211" s="161"/>
      <x:c r="N211" s="161"/>
      <x:c r="O211" s="161"/>
      <x:c r="P211" s="161"/>
      <x:c r="Q211" s="161"/>
      <x:c r="R211" s="161"/>
      <x:c r="S211" s="161"/>
      <x:c r="T211" s="161"/>
      <x:c r="U211" s="161"/>
      <x:c r="V211" s="161"/>
      <x:c r="W211" s="161"/>
      <x:c r="X211" s="161"/>
      <x:c r="Y211" s="161"/>
      <x:c r="Z211" s="161"/>
    </x:row>
    <x:row r="212">
      <x:c r="A212" s="160"/>
      <x:c r="B212" s="160"/>
      <x:c r="C212" s="160"/>
      <x:c r="D212" s="160"/>
      <x:c r="E212" s="160"/>
      <x:c r="F212" s="160"/>
      <x:c r="G212" s="160"/>
      <x:c r="H212" s="160"/>
      <x:c r="I212" s="160"/>
      <x:c r="J212" s="160"/>
      <x:c r="K212" s="160"/>
      <x:c r="L212" s="161"/>
      <x:c r="M212" s="161"/>
      <x:c r="N212" s="161"/>
      <x:c r="O212" s="161"/>
      <x:c r="P212" s="161"/>
      <x:c r="Q212" s="161"/>
      <x:c r="R212" s="161"/>
      <x:c r="S212" s="161"/>
      <x:c r="T212" s="161"/>
      <x:c r="U212" s="161"/>
      <x:c r="V212" s="161"/>
      <x:c r="W212" s="161"/>
      <x:c r="X212" s="161"/>
      <x:c r="Y212" s="161"/>
      <x:c r="Z212" s="161"/>
    </x:row>
    <x:row r="213">
      <x:c r="A213" s="160"/>
      <x:c r="B213" s="160"/>
      <x:c r="C213" s="160"/>
      <x:c r="D213" s="160"/>
      <x:c r="E213" s="160"/>
      <x:c r="F213" s="160"/>
      <x:c r="G213" s="160"/>
      <x:c r="H213" s="160"/>
      <x:c r="I213" s="160"/>
      <x:c r="J213" s="160"/>
      <x:c r="K213" s="160"/>
      <x:c r="L213" s="161"/>
      <x:c r="M213" s="161"/>
      <x:c r="N213" s="161"/>
      <x:c r="O213" s="161"/>
      <x:c r="P213" s="161"/>
      <x:c r="Q213" s="161"/>
      <x:c r="R213" s="161"/>
      <x:c r="S213" s="161"/>
      <x:c r="T213" s="161"/>
      <x:c r="U213" s="161"/>
      <x:c r="V213" s="161"/>
      <x:c r="W213" s="161"/>
      <x:c r="X213" s="161"/>
      <x:c r="Y213" s="161"/>
      <x:c r="Z213" s="161"/>
    </x:row>
    <x:row r="214">
      <x:c r="A214" s="160"/>
      <x:c r="B214" s="160"/>
      <x:c r="C214" s="160"/>
      <x:c r="D214" s="160"/>
      <x:c r="E214" s="160"/>
      <x:c r="F214" s="160"/>
      <x:c r="G214" s="160"/>
      <x:c r="H214" s="160"/>
      <x:c r="I214" s="160"/>
      <x:c r="J214" s="160"/>
      <x:c r="K214" s="160"/>
      <x:c r="L214" s="161"/>
      <x:c r="M214" s="161"/>
      <x:c r="N214" s="161"/>
      <x:c r="O214" s="161"/>
      <x:c r="P214" s="161"/>
      <x:c r="Q214" s="161"/>
      <x:c r="R214" s="161"/>
      <x:c r="S214" s="161"/>
      <x:c r="T214" s="161"/>
      <x:c r="U214" s="161"/>
      <x:c r="V214" s="161"/>
      <x:c r="W214" s="161"/>
      <x:c r="X214" s="161"/>
      <x:c r="Y214" s="161"/>
      <x:c r="Z214" s="161"/>
    </x:row>
    <x:row r="215">
      <x:c r="A215" s="160"/>
      <x:c r="B215" s="160"/>
      <x:c r="C215" s="160"/>
      <x:c r="D215" s="160"/>
      <x:c r="E215" s="160"/>
      <x:c r="F215" s="160"/>
      <x:c r="G215" s="160"/>
      <x:c r="H215" s="160"/>
      <x:c r="I215" s="160"/>
      <x:c r="J215" s="160"/>
      <x:c r="K215" s="160"/>
      <x:c r="L215" s="161"/>
      <x:c r="M215" s="161"/>
      <x:c r="N215" s="161"/>
      <x:c r="O215" s="161"/>
      <x:c r="P215" s="161"/>
      <x:c r="Q215" s="161"/>
      <x:c r="R215" s="161"/>
      <x:c r="S215" s="161"/>
      <x:c r="T215" s="161"/>
      <x:c r="U215" s="161"/>
      <x:c r="V215" s="161"/>
      <x:c r="W215" s="161"/>
      <x:c r="X215" s="161"/>
      <x:c r="Y215" s="161"/>
      <x:c r="Z215" s="161"/>
    </x:row>
    <x:row r="216">
      <x:c r="A216" s="160"/>
      <x:c r="B216" s="160"/>
      <x:c r="C216" s="160"/>
      <x:c r="D216" s="160"/>
      <x:c r="E216" s="160"/>
      <x:c r="F216" s="160"/>
      <x:c r="G216" s="160"/>
      <x:c r="H216" s="160"/>
      <x:c r="I216" s="160"/>
      <x:c r="J216" s="160"/>
      <x:c r="K216" s="160"/>
      <x:c r="L216" s="161"/>
      <x:c r="M216" s="161"/>
      <x:c r="N216" s="161"/>
      <x:c r="O216" s="161"/>
      <x:c r="P216" s="161"/>
      <x:c r="Q216" s="161"/>
      <x:c r="R216" s="161"/>
      <x:c r="S216" s="161"/>
      <x:c r="T216" s="161"/>
      <x:c r="U216" s="161"/>
      <x:c r="V216" s="161"/>
      <x:c r="W216" s="161"/>
      <x:c r="X216" s="161"/>
      <x:c r="Y216" s="161"/>
      <x:c r="Z216" s="161"/>
    </x:row>
    <x:row r="217">
      <x:c r="A217" s="160"/>
      <x:c r="B217" s="160"/>
      <x:c r="C217" s="160"/>
      <x:c r="D217" s="160"/>
      <x:c r="E217" s="160"/>
      <x:c r="F217" s="160"/>
      <x:c r="G217" s="160"/>
      <x:c r="H217" s="160"/>
      <x:c r="I217" s="160"/>
      <x:c r="J217" s="160"/>
      <x:c r="K217" s="160"/>
      <x:c r="L217" s="161"/>
      <x:c r="M217" s="161"/>
      <x:c r="N217" s="161"/>
      <x:c r="O217" s="161"/>
      <x:c r="P217" s="161"/>
      <x:c r="Q217" s="161"/>
      <x:c r="R217" s="161"/>
      <x:c r="S217" s="161"/>
      <x:c r="T217" s="161"/>
      <x:c r="U217" s="161"/>
      <x:c r="V217" s="161"/>
      <x:c r="W217" s="161"/>
      <x:c r="X217" s="161"/>
      <x:c r="Y217" s="161"/>
      <x:c r="Z217" s="161"/>
    </x:row>
    <x:row r="218">
      <x:c r="A218" s="160"/>
      <x:c r="B218" s="160"/>
      <x:c r="C218" s="160"/>
      <x:c r="D218" s="160"/>
      <x:c r="E218" s="160"/>
      <x:c r="F218" s="160"/>
      <x:c r="G218" s="160"/>
      <x:c r="H218" s="160"/>
      <x:c r="I218" s="160"/>
      <x:c r="J218" s="160"/>
      <x:c r="K218" s="160"/>
      <x:c r="L218" s="161"/>
      <x:c r="M218" s="161"/>
      <x:c r="N218" s="161"/>
      <x:c r="O218" s="161"/>
      <x:c r="P218" s="161"/>
      <x:c r="Q218" s="161"/>
      <x:c r="R218" s="161"/>
      <x:c r="S218" s="161"/>
      <x:c r="T218" s="161"/>
      <x:c r="U218" s="161"/>
      <x:c r="V218" s="161"/>
      <x:c r="W218" s="161"/>
      <x:c r="X218" s="161"/>
      <x:c r="Y218" s="161"/>
      <x:c r="Z218" s="161"/>
    </x:row>
    <x:row r="219">
      <x:c r="A219" s="160"/>
      <x:c r="B219" s="160"/>
      <x:c r="C219" s="160"/>
      <x:c r="D219" s="160"/>
      <x:c r="E219" s="160"/>
      <x:c r="F219" s="160"/>
      <x:c r="G219" s="160"/>
      <x:c r="H219" s="160"/>
      <x:c r="I219" s="160"/>
      <x:c r="J219" s="160"/>
      <x:c r="K219" s="160"/>
      <x:c r="L219" s="161"/>
      <x:c r="M219" s="161"/>
      <x:c r="N219" s="161"/>
      <x:c r="O219" s="161"/>
      <x:c r="P219" s="161"/>
      <x:c r="Q219" s="161"/>
      <x:c r="R219" s="161"/>
      <x:c r="S219" s="161"/>
      <x:c r="T219" s="161"/>
      <x:c r="U219" s="161"/>
      <x:c r="V219" s="161"/>
      <x:c r="W219" s="161"/>
      <x:c r="X219" s="161"/>
      <x:c r="Y219" s="161"/>
      <x:c r="Z219" s="161"/>
    </x:row>
    <x:row r="220">
      <x:c r="A220" s="160"/>
      <x:c r="B220" s="160"/>
      <x:c r="C220" s="160"/>
      <x:c r="D220" s="160"/>
      <x:c r="E220" s="160"/>
      <x:c r="F220" s="160"/>
      <x:c r="G220" s="160"/>
      <x:c r="H220" s="160"/>
      <x:c r="I220" s="160"/>
      <x:c r="J220" s="160"/>
      <x:c r="K220" s="160"/>
      <x:c r="L220" s="161"/>
      <x:c r="M220" s="161"/>
      <x:c r="N220" s="161"/>
      <x:c r="O220" s="161"/>
      <x:c r="P220" s="161"/>
      <x:c r="Q220" s="161"/>
      <x:c r="R220" s="161"/>
      <x:c r="S220" s="161"/>
      <x:c r="T220" s="161"/>
      <x:c r="U220" s="161"/>
      <x:c r="V220" s="161"/>
      <x:c r="W220" s="161"/>
      <x:c r="X220" s="161"/>
      <x:c r="Y220" s="161"/>
      <x:c r="Z220" s="161"/>
    </x:row>
    <x:row r="221">
      <x:c r="A221" s="161"/>
      <x:c r="B221" s="161"/>
      <x:c r="C221" s="161"/>
      <x:c r="D221" s="161"/>
      <x:c r="E221" s="161"/>
      <x:c r="F221" s="161"/>
      <x:c r="G221" s="161"/>
      <x:c r="H221" s="161"/>
      <x:c r="I221" s="161"/>
      <x:c r="J221" s="161"/>
      <x:c r="K221" s="161"/>
      <x:c r="L221" s="161"/>
      <x:c r="M221" s="161"/>
      <x:c r="N221" s="161"/>
      <x:c r="O221" s="161"/>
      <x:c r="P221" s="161"/>
      <x:c r="Q221" s="161"/>
      <x:c r="R221" s="161"/>
      <x:c r="S221" s="161"/>
      <x:c r="T221" s="161"/>
      <x:c r="U221" s="161"/>
      <x:c r="V221" s="161"/>
      <x:c r="W221" s="161"/>
      <x:c r="X221" s="161"/>
      <x:c r="Y221" s="161"/>
      <x:c r="Z221" s="161"/>
    </x:row>
    <x:row r="222">
      <x:c r="A222" s="161"/>
      <x:c r="B222" s="161"/>
      <x:c r="C222" s="161"/>
      <x:c r="D222" s="161"/>
      <x:c r="E222" s="161"/>
      <x:c r="F222" s="161"/>
      <x:c r="G222" s="161"/>
      <x:c r="H222" s="161"/>
      <x:c r="I222" s="161"/>
      <x:c r="J222" s="161"/>
      <x:c r="K222" s="161"/>
      <x:c r="L222" s="161"/>
      <x:c r="M222" s="161"/>
      <x:c r="N222" s="161"/>
      <x:c r="O222" s="161"/>
      <x:c r="P222" s="161"/>
      <x:c r="Q222" s="161"/>
      <x:c r="R222" s="161"/>
      <x:c r="S222" s="161"/>
      <x:c r="T222" s="161"/>
      <x:c r="U222" s="161"/>
      <x:c r="V222" s="161"/>
      <x:c r="W222" s="161"/>
      <x:c r="X222" s="161"/>
      <x:c r="Y222" s="161"/>
      <x:c r="Z222" s="161"/>
    </x:row>
    <x:row r="223">
      <x:c r="A223" s="161"/>
      <x:c r="B223" s="161"/>
      <x:c r="C223" s="161"/>
      <x:c r="D223" s="161"/>
      <x:c r="E223" s="161"/>
      <x:c r="F223" s="161"/>
      <x:c r="G223" s="161"/>
      <x:c r="H223" s="161"/>
      <x:c r="I223" s="161"/>
      <x:c r="J223" s="161"/>
      <x:c r="K223" s="161"/>
      <x:c r="L223" s="161"/>
      <x:c r="M223" s="161"/>
      <x:c r="N223" s="161"/>
      <x:c r="O223" s="161"/>
      <x:c r="P223" s="161"/>
      <x:c r="Q223" s="161"/>
      <x:c r="R223" s="161"/>
      <x:c r="S223" s="161"/>
      <x:c r="T223" s="161"/>
      <x:c r="U223" s="161"/>
      <x:c r="V223" s="161"/>
      <x:c r="W223" s="161"/>
      <x:c r="X223" s="161"/>
      <x:c r="Y223" s="161"/>
      <x:c r="Z223" s="161"/>
    </x:row>
    <x:row r="224">
      <x:c r="A224" s="161"/>
      <x:c r="B224" s="161"/>
      <x:c r="C224" s="161"/>
      <x:c r="D224" s="161"/>
      <x:c r="E224" s="161"/>
      <x:c r="F224" s="161"/>
      <x:c r="G224" s="161"/>
      <x:c r="H224" s="161"/>
      <x:c r="I224" s="161"/>
      <x:c r="J224" s="161"/>
      <x:c r="K224" s="161"/>
      <x:c r="L224" s="161"/>
      <x:c r="M224" s="161"/>
      <x:c r="N224" s="161"/>
      <x:c r="O224" s="161"/>
      <x:c r="P224" s="161"/>
      <x:c r="Q224" s="161"/>
      <x:c r="R224" s="161"/>
      <x:c r="S224" s="161"/>
      <x:c r="T224" s="161"/>
      <x:c r="U224" s="161"/>
      <x:c r="V224" s="161"/>
      <x:c r="W224" s="161"/>
      <x:c r="X224" s="161"/>
      <x:c r="Y224" s="161"/>
      <x:c r="Z224" s="161"/>
    </x:row>
    <x:row r="225">
      <x:c r="A225" s="161"/>
      <x:c r="B225" s="161"/>
      <x:c r="C225" s="161"/>
      <x:c r="D225" s="161"/>
      <x:c r="E225" s="161"/>
      <x:c r="F225" s="161"/>
      <x:c r="G225" s="161"/>
      <x:c r="H225" s="161"/>
      <x:c r="I225" s="161"/>
      <x:c r="J225" s="161"/>
      <x:c r="K225" s="161"/>
      <x:c r="L225" s="161"/>
      <x:c r="M225" s="161"/>
      <x:c r="N225" s="161"/>
      <x:c r="O225" s="161"/>
      <x:c r="P225" s="161"/>
      <x:c r="Q225" s="161"/>
      <x:c r="R225" s="161"/>
      <x:c r="S225" s="161"/>
      <x:c r="T225" s="161"/>
      <x:c r="U225" s="161"/>
      <x:c r="V225" s="161"/>
      <x:c r="W225" s="161"/>
      <x:c r="X225" s="161"/>
      <x:c r="Y225" s="161"/>
      <x:c r="Z225" s="161"/>
    </x:row>
    <x:row r="226">
      <x:c r="A226" s="161"/>
      <x:c r="B226" s="161"/>
      <x:c r="C226" s="161"/>
      <x:c r="D226" s="161"/>
      <x:c r="E226" s="161"/>
      <x:c r="F226" s="161"/>
      <x:c r="G226" s="161"/>
      <x:c r="H226" s="161"/>
      <x:c r="I226" s="161"/>
      <x:c r="J226" s="161"/>
      <x:c r="K226" s="161"/>
      <x:c r="L226" s="161"/>
      <x:c r="M226" s="161"/>
      <x:c r="N226" s="161"/>
      <x:c r="O226" s="161"/>
      <x:c r="P226" s="161"/>
      <x:c r="Q226" s="161"/>
      <x:c r="R226" s="161"/>
      <x:c r="S226" s="161"/>
      <x:c r="T226" s="161"/>
      <x:c r="U226" s="161"/>
      <x:c r="V226" s="161"/>
      <x:c r="W226" s="161"/>
      <x:c r="X226" s="161"/>
      <x:c r="Y226" s="161"/>
      <x:c r="Z226" s="161"/>
    </x:row>
    <x:row r="227">
      <x:c r="A227" s="161"/>
      <x:c r="B227" s="161"/>
      <x:c r="C227" s="161"/>
      <x:c r="D227" s="161"/>
      <x:c r="E227" s="161"/>
      <x:c r="F227" s="161"/>
      <x:c r="G227" s="161"/>
      <x:c r="H227" s="161"/>
      <x:c r="I227" s="161"/>
      <x:c r="J227" s="161"/>
      <x:c r="K227" s="161"/>
      <x:c r="L227" s="161"/>
      <x:c r="M227" s="161"/>
      <x:c r="N227" s="161"/>
      <x:c r="O227" s="161"/>
      <x:c r="P227" s="161"/>
      <x:c r="Q227" s="161"/>
      <x:c r="R227" s="161"/>
      <x:c r="S227" s="161"/>
      <x:c r="T227" s="161"/>
      <x:c r="U227" s="161"/>
      <x:c r="V227" s="161"/>
      <x:c r="W227" s="161"/>
      <x:c r="X227" s="161"/>
      <x:c r="Y227" s="161"/>
      <x:c r="Z227" s="161"/>
    </x:row>
    <x:row r="228">
      <x:c r="A228" s="161"/>
      <x:c r="B228" s="161"/>
      <x:c r="C228" s="161"/>
      <x:c r="D228" s="161"/>
      <x:c r="E228" s="161"/>
      <x:c r="F228" s="161"/>
      <x:c r="G228" s="161"/>
      <x:c r="H228" s="161"/>
      <x:c r="I228" s="161"/>
      <x:c r="J228" s="161"/>
      <x:c r="K228" s="161"/>
      <x:c r="L228" s="161"/>
      <x:c r="M228" s="161"/>
      <x:c r="N228" s="161"/>
      <x:c r="O228" s="161"/>
      <x:c r="P228" s="161"/>
      <x:c r="Q228" s="161"/>
      <x:c r="R228" s="161"/>
      <x:c r="S228" s="161"/>
      <x:c r="T228" s="161"/>
      <x:c r="U228" s="161"/>
      <x:c r="V228" s="161"/>
      <x:c r="W228" s="161"/>
      <x:c r="X228" s="161"/>
      <x:c r="Y228" s="161"/>
      <x:c r="Z228" s="161"/>
    </x:row>
    <x:row r="229">
      <x:c r="A229" s="161"/>
      <x:c r="B229" s="161"/>
      <x:c r="C229" s="161"/>
      <x:c r="D229" s="161"/>
      <x:c r="E229" s="161"/>
      <x:c r="F229" s="161"/>
      <x:c r="G229" s="161"/>
      <x:c r="H229" s="161"/>
      <x:c r="I229" s="161"/>
      <x:c r="J229" s="161"/>
      <x:c r="K229" s="161"/>
      <x:c r="L229" s="161"/>
      <x:c r="M229" s="161"/>
      <x:c r="N229" s="161"/>
      <x:c r="O229" s="161"/>
      <x:c r="P229" s="161"/>
      <x:c r="Q229" s="161"/>
      <x:c r="R229" s="161"/>
      <x:c r="S229" s="161"/>
      <x:c r="T229" s="161"/>
      <x:c r="U229" s="161"/>
      <x:c r="V229" s="161"/>
      <x:c r="W229" s="161"/>
      <x:c r="X229" s="161"/>
      <x:c r="Y229" s="161"/>
      <x:c r="Z229" s="161"/>
    </x:row>
    <x:row r="230">
      <x:c r="A230" s="161"/>
      <x:c r="B230" s="161"/>
      <x:c r="C230" s="161"/>
      <x:c r="D230" s="161"/>
      <x:c r="E230" s="161"/>
      <x:c r="F230" s="161"/>
      <x:c r="G230" s="161"/>
      <x:c r="H230" s="161"/>
      <x:c r="I230" s="161"/>
      <x:c r="J230" s="161"/>
      <x:c r="K230" s="161"/>
      <x:c r="L230" s="161"/>
      <x:c r="M230" s="161"/>
      <x:c r="N230" s="161"/>
      <x:c r="O230" s="161"/>
      <x:c r="P230" s="161"/>
      <x:c r="Q230" s="161"/>
      <x:c r="R230" s="161"/>
      <x:c r="S230" s="161"/>
      <x:c r="T230" s="161"/>
      <x:c r="U230" s="161"/>
      <x:c r="V230" s="161"/>
      <x:c r="W230" s="161"/>
      <x:c r="X230" s="161"/>
      <x:c r="Y230" s="161"/>
      <x:c r="Z230" s="161"/>
    </x:row>
    <x:row r="231">
      <x:c r="A231" s="161"/>
      <x:c r="B231" s="161"/>
      <x:c r="C231" s="161"/>
      <x:c r="D231" s="161"/>
      <x:c r="E231" s="161"/>
      <x:c r="F231" s="161"/>
      <x:c r="G231" s="161"/>
      <x:c r="H231" s="161"/>
      <x:c r="I231" s="161"/>
      <x:c r="J231" s="161"/>
      <x:c r="K231" s="161"/>
      <x:c r="L231" s="161"/>
      <x:c r="M231" s="161"/>
      <x:c r="N231" s="161"/>
      <x:c r="O231" s="161"/>
      <x:c r="P231" s="161"/>
      <x:c r="Q231" s="161"/>
      <x:c r="R231" s="161"/>
      <x:c r="S231" s="161"/>
      <x:c r="T231" s="161"/>
      <x:c r="U231" s="161"/>
      <x:c r="V231" s="161"/>
      <x:c r="W231" s="161"/>
      <x:c r="X231" s="161"/>
      <x:c r="Y231" s="161"/>
      <x:c r="Z231" s="161"/>
    </x:row>
    <x:row r="232">
      <x:c r="A232" s="161"/>
      <x:c r="B232" s="161"/>
      <x:c r="C232" s="161"/>
      <x:c r="D232" s="161"/>
      <x:c r="E232" s="161"/>
      <x:c r="F232" s="161"/>
      <x:c r="G232" s="161"/>
      <x:c r="H232" s="161"/>
      <x:c r="I232" s="161"/>
      <x:c r="J232" s="161"/>
      <x:c r="K232" s="161"/>
      <x:c r="L232" s="161"/>
      <x:c r="M232" s="161"/>
      <x:c r="N232" s="161"/>
      <x:c r="O232" s="161"/>
      <x:c r="P232" s="161"/>
      <x:c r="Q232" s="161"/>
      <x:c r="R232" s="161"/>
      <x:c r="S232" s="161"/>
      <x:c r="T232" s="161"/>
      <x:c r="U232" s="161"/>
      <x:c r="V232" s="161"/>
      <x:c r="W232" s="161"/>
      <x:c r="X232" s="161"/>
      <x:c r="Y232" s="161"/>
      <x:c r="Z232" s="161"/>
    </x:row>
    <x:row r="233">
      <x:c r="A233" s="161"/>
      <x:c r="B233" s="161"/>
      <x:c r="C233" s="161"/>
      <x:c r="D233" s="161"/>
      <x:c r="E233" s="161"/>
      <x:c r="F233" s="161"/>
      <x:c r="G233" s="161"/>
      <x:c r="H233" s="161"/>
      <x:c r="I233" s="161"/>
      <x:c r="J233" s="161"/>
      <x:c r="K233" s="161"/>
      <x:c r="L233" s="161"/>
      <x:c r="M233" s="161"/>
      <x:c r="N233" s="161"/>
      <x:c r="O233" s="161"/>
      <x:c r="P233" s="161"/>
      <x:c r="Q233" s="161"/>
      <x:c r="R233" s="161"/>
      <x:c r="S233" s="161"/>
      <x:c r="T233" s="161"/>
      <x:c r="U233" s="161"/>
      <x:c r="V233" s="161"/>
      <x:c r="W233" s="161"/>
      <x:c r="X233" s="161"/>
      <x:c r="Y233" s="161"/>
      <x:c r="Z233" s="161"/>
    </x:row>
    <x:row r="234">
      <x:c r="A234" s="161"/>
      <x:c r="B234" s="161"/>
      <x:c r="C234" s="161"/>
      <x:c r="D234" s="161"/>
      <x:c r="E234" s="161"/>
      <x:c r="F234" s="161"/>
      <x:c r="G234" s="161"/>
      <x:c r="H234" s="161"/>
      <x:c r="I234" s="161"/>
      <x:c r="J234" s="161"/>
      <x:c r="K234" s="161"/>
      <x:c r="L234" s="161"/>
      <x:c r="M234" s="161"/>
      <x:c r="N234" s="161"/>
      <x:c r="O234" s="161"/>
      <x:c r="P234" s="161"/>
      <x:c r="Q234" s="161"/>
      <x:c r="R234" s="161"/>
      <x:c r="S234" s="161"/>
      <x:c r="T234" s="161"/>
      <x:c r="U234" s="161"/>
      <x:c r="V234" s="161"/>
      <x:c r="W234" s="161"/>
      <x:c r="X234" s="161"/>
      <x:c r="Y234" s="161"/>
      <x:c r="Z234" s="161"/>
    </x:row>
    <x:row r="235">
      <x:c r="A235" s="161"/>
      <x:c r="B235" s="161"/>
      <x:c r="C235" s="161"/>
      <x:c r="D235" s="161"/>
      <x:c r="E235" s="161"/>
      <x:c r="F235" s="161"/>
      <x:c r="G235" s="161"/>
      <x:c r="H235" s="161"/>
      <x:c r="I235" s="161"/>
      <x:c r="J235" s="161"/>
      <x:c r="K235" s="161"/>
      <x:c r="L235" s="161"/>
      <x:c r="M235" s="161"/>
      <x:c r="N235" s="161"/>
      <x:c r="O235" s="161"/>
      <x:c r="P235" s="161"/>
      <x:c r="Q235" s="161"/>
      <x:c r="R235" s="161"/>
      <x:c r="S235" s="161"/>
      <x:c r="T235" s="161"/>
      <x:c r="U235" s="161"/>
      <x:c r="V235" s="161"/>
      <x:c r="W235" s="161"/>
      <x:c r="X235" s="161"/>
      <x:c r="Y235" s="161"/>
      <x:c r="Z235" s="161"/>
    </x:row>
    <x:row r="236">
      <x:c r="A236" s="161"/>
      <x:c r="B236" s="161"/>
      <x:c r="C236" s="161"/>
      <x:c r="D236" s="161"/>
      <x:c r="E236" s="161"/>
      <x:c r="F236" s="161"/>
      <x:c r="G236" s="161"/>
      <x:c r="H236" s="161"/>
      <x:c r="I236" s="161"/>
      <x:c r="J236" s="161"/>
      <x:c r="K236" s="161"/>
      <x:c r="L236" s="161"/>
      <x:c r="M236" s="161"/>
      <x:c r="N236" s="161"/>
      <x:c r="O236" s="161"/>
      <x:c r="P236" s="161"/>
      <x:c r="Q236" s="161"/>
      <x:c r="R236" s="161"/>
      <x:c r="S236" s="161"/>
      <x:c r="T236" s="161"/>
      <x:c r="U236" s="161"/>
      <x:c r="V236" s="161"/>
      <x:c r="W236" s="161"/>
      <x:c r="X236" s="161"/>
      <x:c r="Y236" s="161"/>
      <x:c r="Z236" s="161"/>
    </x:row>
    <x:row r="237">
      <x:c r="A237" s="161"/>
      <x:c r="B237" s="161"/>
      <x:c r="C237" s="161"/>
      <x:c r="D237" s="161"/>
      <x:c r="E237" s="161"/>
      <x:c r="F237" s="161"/>
      <x:c r="G237" s="161"/>
      <x:c r="H237" s="161"/>
      <x:c r="I237" s="161"/>
      <x:c r="J237" s="161"/>
      <x:c r="K237" s="161"/>
      <x:c r="L237" s="161"/>
      <x:c r="M237" s="161"/>
      <x:c r="N237" s="161"/>
      <x:c r="O237" s="161"/>
      <x:c r="P237" s="161"/>
      <x:c r="Q237" s="161"/>
      <x:c r="R237" s="161"/>
      <x:c r="S237" s="161"/>
      <x:c r="T237" s="161"/>
      <x:c r="U237" s="161"/>
      <x:c r="V237" s="161"/>
      <x:c r="W237" s="161"/>
      <x:c r="X237" s="161"/>
      <x:c r="Y237" s="161"/>
      <x:c r="Z237" s="161"/>
    </x:row>
    <x:row r="238">
      <x:c r="A238" s="161"/>
      <x:c r="B238" s="161"/>
      <x:c r="C238" s="161"/>
      <x:c r="D238" s="161"/>
      <x:c r="E238" s="161"/>
      <x:c r="F238" s="161"/>
      <x:c r="G238" s="161"/>
      <x:c r="H238" s="161"/>
      <x:c r="I238" s="161"/>
      <x:c r="J238" s="161"/>
      <x:c r="K238" s="161"/>
      <x:c r="L238" s="161"/>
      <x:c r="M238" s="161"/>
      <x:c r="N238" s="161"/>
      <x:c r="O238" s="161"/>
      <x:c r="P238" s="161"/>
      <x:c r="Q238" s="161"/>
      <x:c r="R238" s="161"/>
      <x:c r="S238" s="161"/>
      <x:c r="T238" s="161"/>
      <x:c r="U238" s="161"/>
      <x:c r="V238" s="161"/>
      <x:c r="W238" s="161"/>
      <x:c r="X238" s="161"/>
      <x:c r="Y238" s="161"/>
      <x:c r="Z238" s="161"/>
    </x:row>
    <x:row r="239">
      <x:c r="A239" s="161"/>
      <x:c r="B239" s="161"/>
      <x:c r="C239" s="161"/>
      <x:c r="D239" s="161"/>
      <x:c r="E239" s="161"/>
      <x:c r="F239" s="161"/>
      <x:c r="G239" s="161"/>
      <x:c r="H239" s="161"/>
      <x:c r="I239" s="161"/>
      <x:c r="J239" s="161"/>
      <x:c r="K239" s="161"/>
      <x:c r="L239" s="161"/>
      <x:c r="M239" s="161"/>
      <x:c r="N239" s="161"/>
      <x:c r="O239" s="161"/>
      <x:c r="P239" s="161"/>
      <x:c r="Q239" s="161"/>
      <x:c r="R239" s="161"/>
      <x:c r="S239" s="161"/>
      <x:c r="T239" s="161"/>
      <x:c r="U239" s="161"/>
      <x:c r="V239" s="161"/>
      <x:c r="W239" s="161"/>
      <x:c r="X239" s="161"/>
      <x:c r="Y239" s="161"/>
      <x:c r="Z239" s="161"/>
    </x:row>
    <x:row r="240">
      <x:c r="A240" s="161"/>
      <x:c r="B240" s="161"/>
      <x:c r="C240" s="161"/>
      <x:c r="D240" s="161"/>
      <x:c r="E240" s="161"/>
      <x:c r="F240" s="161"/>
      <x:c r="G240" s="161"/>
      <x:c r="H240" s="161"/>
      <x:c r="I240" s="161"/>
      <x:c r="J240" s="161"/>
      <x:c r="K240" s="161"/>
      <x:c r="L240" s="161"/>
      <x:c r="M240" s="161"/>
      <x:c r="N240" s="161"/>
      <x:c r="O240" s="161"/>
      <x:c r="P240" s="161"/>
      <x:c r="Q240" s="161"/>
      <x:c r="R240" s="161"/>
      <x:c r="S240" s="161"/>
      <x:c r="T240" s="161"/>
      <x:c r="U240" s="161"/>
      <x:c r="V240" s="161"/>
      <x:c r="W240" s="161"/>
      <x:c r="X240" s="161"/>
      <x:c r="Y240" s="161"/>
      <x:c r="Z240" s="161"/>
    </x:row>
    <x:row r="241">
      <x:c r="A241" s="161"/>
      <x:c r="B241" s="161"/>
      <x:c r="C241" s="161"/>
      <x:c r="D241" s="161"/>
      <x:c r="E241" s="161"/>
      <x:c r="F241" s="161"/>
      <x:c r="G241" s="161"/>
      <x:c r="H241" s="161"/>
      <x:c r="I241" s="161"/>
      <x:c r="J241" s="161"/>
      <x:c r="K241" s="161"/>
      <x:c r="L241" s="161"/>
      <x:c r="M241" s="161"/>
      <x:c r="N241" s="161"/>
      <x:c r="O241" s="161"/>
      <x:c r="P241" s="161"/>
      <x:c r="Q241" s="161"/>
      <x:c r="R241" s="161"/>
      <x:c r="S241" s="161"/>
      <x:c r="T241" s="161"/>
      <x:c r="U241" s="161"/>
      <x:c r="V241" s="161"/>
      <x:c r="W241" s="161"/>
      <x:c r="X241" s="161"/>
      <x:c r="Y241" s="161"/>
      <x:c r="Z241" s="161"/>
    </x:row>
    <x:row r="242">
      <x:c r="A242" s="161"/>
      <x:c r="B242" s="161"/>
      <x:c r="C242" s="161"/>
      <x:c r="D242" s="161"/>
      <x:c r="E242" s="161"/>
      <x:c r="F242" s="161"/>
      <x:c r="G242" s="161"/>
      <x:c r="H242" s="161"/>
      <x:c r="I242" s="161"/>
      <x:c r="J242" s="161"/>
      <x:c r="K242" s="161"/>
      <x:c r="L242" s="161"/>
      <x:c r="M242" s="161"/>
      <x:c r="N242" s="161"/>
      <x:c r="O242" s="161"/>
      <x:c r="P242" s="161"/>
      <x:c r="Q242" s="161"/>
      <x:c r="R242" s="161"/>
      <x:c r="S242" s="161"/>
      <x:c r="T242" s="161"/>
      <x:c r="U242" s="161"/>
      <x:c r="V242" s="161"/>
      <x:c r="W242" s="161"/>
      <x:c r="X242" s="161"/>
      <x:c r="Y242" s="161"/>
      <x:c r="Z242" s="161"/>
    </x:row>
    <x:row r="243">
      <x:c r="A243" s="161"/>
      <x:c r="B243" s="161"/>
      <x:c r="C243" s="161"/>
      <x:c r="D243" s="161"/>
      <x:c r="E243" s="161"/>
      <x:c r="F243" s="161"/>
      <x:c r="G243" s="161"/>
      <x:c r="H243" s="161"/>
      <x:c r="I243" s="161"/>
      <x:c r="J243" s="161"/>
      <x:c r="K243" s="161"/>
      <x:c r="L243" s="161"/>
      <x:c r="M243" s="161"/>
      <x:c r="N243" s="161"/>
      <x:c r="O243" s="161"/>
      <x:c r="P243" s="161"/>
      <x:c r="Q243" s="161"/>
      <x:c r="R243" s="161"/>
      <x:c r="S243" s="161"/>
      <x:c r="T243" s="161"/>
      <x:c r="U243" s="161"/>
      <x:c r="V243" s="161"/>
      <x:c r="W243" s="161"/>
      <x:c r="X243" s="161"/>
      <x:c r="Y243" s="161"/>
      <x:c r="Z243" s="161"/>
    </x:row>
    <x:row r="244">
      <x:c r="A244" s="161"/>
      <x:c r="B244" s="161"/>
      <x:c r="C244" s="161"/>
      <x:c r="D244" s="161"/>
      <x:c r="E244" s="161"/>
      <x:c r="F244" s="161"/>
      <x:c r="G244" s="161"/>
      <x:c r="H244" s="161"/>
      <x:c r="I244" s="161"/>
      <x:c r="J244" s="161"/>
      <x:c r="K244" s="161"/>
      <x:c r="L244" s="161"/>
      <x:c r="M244" s="161"/>
      <x:c r="N244" s="161"/>
      <x:c r="O244" s="161"/>
      <x:c r="P244" s="161"/>
      <x:c r="Q244" s="161"/>
      <x:c r="R244" s="161"/>
      <x:c r="S244" s="161"/>
      <x:c r="T244" s="161"/>
      <x:c r="U244" s="161"/>
      <x:c r="V244" s="161"/>
      <x:c r="W244" s="161"/>
      <x:c r="X244" s="161"/>
      <x:c r="Y244" s="161"/>
      <x:c r="Z244" s="161"/>
    </x:row>
    <x:row r="245">
      <x:c r="A245" s="161"/>
      <x:c r="B245" s="161"/>
      <x:c r="C245" s="161"/>
      <x:c r="D245" s="161"/>
      <x:c r="E245" s="161"/>
      <x:c r="F245" s="161"/>
      <x:c r="G245" s="161"/>
      <x:c r="H245" s="161"/>
      <x:c r="I245" s="161"/>
      <x:c r="J245" s="161"/>
      <x:c r="K245" s="161"/>
      <x:c r="L245" s="161"/>
      <x:c r="M245" s="161"/>
      <x:c r="N245" s="161"/>
      <x:c r="O245" s="161"/>
      <x:c r="P245" s="161"/>
      <x:c r="Q245" s="161"/>
      <x:c r="R245" s="161"/>
      <x:c r="S245" s="161"/>
      <x:c r="T245" s="161"/>
      <x:c r="U245" s="161"/>
      <x:c r="V245" s="161"/>
      <x:c r="W245" s="161"/>
      <x:c r="X245" s="161"/>
      <x:c r="Y245" s="161"/>
      <x:c r="Z245" s="161"/>
    </x:row>
    <x:row r="246">
      <x:c r="A246" s="161"/>
      <x:c r="B246" s="161"/>
      <x:c r="C246" s="161"/>
      <x:c r="D246" s="161"/>
      <x:c r="E246" s="161"/>
      <x:c r="F246" s="161"/>
      <x:c r="G246" s="161"/>
      <x:c r="H246" s="161"/>
      <x:c r="I246" s="161"/>
      <x:c r="J246" s="161"/>
      <x:c r="K246" s="161"/>
      <x:c r="L246" s="161"/>
      <x:c r="M246" s="161"/>
      <x:c r="N246" s="161"/>
      <x:c r="O246" s="161"/>
      <x:c r="P246" s="161"/>
      <x:c r="Q246" s="161"/>
      <x:c r="R246" s="161"/>
      <x:c r="S246" s="161"/>
      <x:c r="T246" s="161"/>
      <x:c r="U246" s="161"/>
      <x:c r="V246" s="161"/>
      <x:c r="W246" s="161"/>
      <x:c r="X246" s="161"/>
      <x:c r="Y246" s="161"/>
      <x:c r="Z246" s="161"/>
    </x:row>
    <x:row r="247">
      <x:c r="A247" s="161"/>
      <x:c r="B247" s="161"/>
      <x:c r="C247" s="161"/>
      <x:c r="D247" s="161"/>
      <x:c r="E247" s="161"/>
      <x:c r="F247" s="161"/>
      <x:c r="G247" s="161"/>
      <x:c r="H247" s="161"/>
      <x:c r="I247" s="161"/>
      <x:c r="J247" s="161"/>
      <x:c r="K247" s="161"/>
      <x:c r="L247" s="161"/>
      <x:c r="M247" s="161"/>
      <x:c r="N247" s="161"/>
      <x:c r="O247" s="161"/>
      <x:c r="P247" s="161"/>
      <x:c r="Q247" s="161"/>
      <x:c r="R247" s="161"/>
      <x:c r="S247" s="161"/>
      <x:c r="T247" s="161"/>
      <x:c r="U247" s="161"/>
      <x:c r="V247" s="161"/>
      <x:c r="W247" s="161"/>
      <x:c r="X247" s="161"/>
      <x:c r="Y247" s="161"/>
      <x:c r="Z247" s="161"/>
    </x:row>
    <x:row r="248">
      <x:c r="A248" s="161"/>
      <x:c r="B248" s="161"/>
      <x:c r="C248" s="161"/>
      <x:c r="D248" s="161"/>
      <x:c r="E248" s="161"/>
      <x:c r="F248" s="161"/>
      <x:c r="G248" s="161"/>
      <x:c r="H248" s="161"/>
      <x:c r="I248" s="161"/>
      <x:c r="J248" s="161"/>
      <x:c r="K248" s="161"/>
      <x:c r="L248" s="161"/>
      <x:c r="M248" s="161"/>
      <x:c r="N248" s="161"/>
      <x:c r="O248" s="161"/>
      <x:c r="P248" s="161"/>
      <x:c r="Q248" s="161"/>
      <x:c r="R248" s="161"/>
      <x:c r="S248" s="161"/>
      <x:c r="T248" s="161"/>
      <x:c r="U248" s="161"/>
      <x:c r="V248" s="161"/>
      <x:c r="W248" s="161"/>
      <x:c r="X248" s="161"/>
      <x:c r="Y248" s="161"/>
      <x:c r="Z248" s="161"/>
    </x:row>
    <x:row r="249">
      <x:c r="A249" s="161"/>
      <x:c r="B249" s="161"/>
      <x:c r="C249" s="161"/>
      <x:c r="D249" s="161"/>
      <x:c r="E249" s="161"/>
      <x:c r="F249" s="161"/>
      <x:c r="G249" s="161"/>
      <x:c r="H249" s="161"/>
      <x:c r="I249" s="161"/>
      <x:c r="J249" s="161"/>
      <x:c r="K249" s="161"/>
      <x:c r="L249" s="161"/>
      <x:c r="M249" s="161"/>
      <x:c r="N249" s="161"/>
      <x:c r="O249" s="161"/>
      <x:c r="P249" s="161"/>
      <x:c r="Q249" s="161"/>
      <x:c r="R249" s="161"/>
      <x:c r="S249" s="161"/>
      <x:c r="T249" s="161"/>
      <x:c r="U249" s="161"/>
      <x:c r="V249" s="161"/>
      <x:c r="W249" s="161"/>
      <x:c r="X249" s="161"/>
      <x:c r="Y249" s="161"/>
      <x:c r="Z249" s="161"/>
    </x:row>
    <x:row r="250">
      <x:c r="A250" s="161"/>
      <x:c r="B250" s="161"/>
      <x:c r="C250" s="161"/>
      <x:c r="D250" s="161"/>
      <x:c r="E250" s="161"/>
      <x:c r="F250" s="161"/>
      <x:c r="G250" s="161"/>
      <x:c r="H250" s="161"/>
      <x:c r="I250" s="161"/>
      <x:c r="J250" s="161"/>
      <x:c r="K250" s="161"/>
      <x:c r="L250" s="161"/>
      <x:c r="M250" s="161"/>
      <x:c r="N250" s="161"/>
      <x:c r="O250" s="161"/>
      <x:c r="P250" s="161"/>
      <x:c r="Q250" s="161"/>
      <x:c r="R250" s="161"/>
      <x:c r="S250" s="161"/>
      <x:c r="T250" s="161"/>
      <x:c r="U250" s="161"/>
      <x:c r="V250" s="161"/>
      <x:c r="W250" s="161"/>
      <x:c r="X250" s="161"/>
      <x:c r="Y250" s="161"/>
      <x:c r="Z250" s="161"/>
    </x:row>
  </x:sheetData>
  <x:mergeCells>
    <x:mergeCell ref="A1:H1"/>
    <x:mergeCell ref="A2:H3"/>
    <x:mergeCell ref="I1:J1"/>
  </x:mergeCells>
  <x:conditionalFormatting sqref="H6:H200">
    <x:cfRule type="cellIs" dxfId="1" priority="1" operator="lessThan">
      <x:formula>0</x:formula>
    </x:cfRule>
  </x:conditionalFormatting>
  <x:dataValidations count="3">
    <x:dataValidation type="list" sqref="B6:B200">
      <x:formula1>'06 Oportunidades'!$A$6:$A$200</x:formula1>
    </x:dataValidation>
    <x:dataValidation type="list" sqref="F6:F200">
      <x:formula1>"Borrador,Enviada,En revisión,Aceptada,Rechazada,Vencida"</x:formula1>
    </x:dataValidation>
    <x:dataValidation type="list" sqref="I6:I200">
      <x:formula1>'02 Config'!$D$6:$D$10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bf4365b31f493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18" hidden="0" customWidth="1"/>
    <x:col min="5" max="5" width="34" hidden="0" customWidth="1"/>
    <x:col min="6" max="6" width="12" hidden="0" customWidth="1"/>
    <x:col min="7" max="7" width="14" hidden="0" customWidth="1"/>
    <x:col min="8" max="8" width="13" hidden="0" customWidth="1"/>
    <x:col min="9" max="9" width="14" hidden="0" customWidth="1"/>
  </x:cols>
  <x:sheetData>
    <x:row r="1" ht="42" customHeight="1">
      <x:c r="A1" s="45" t="str">
        <x:v>Seguimiento ejecutivo</x:v>
      </x:c>
      <x:c r="B1" s="160"/>
      <x:c r="C1" s="160"/>
      <x:c r="D1" s="160"/>
      <x:c r="E1" s="160"/>
      <x:c r="F1" s="160"/>
      <x:c r="G1" s="160"/>
      <x:c r="H1" s="160"/>
      <x:c r="I1" s="58" t="str">
        <x:v>CONTROL</x:v>
      </x:c>
      <x:c r="J1" s="161"/>
      <x:c r="K1" s="161"/>
      <x:c r="L1" s="161"/>
      <x:c r="M1" s="161"/>
      <x:c r="N1" s="161"/>
      <x:c r="O1" s="161"/>
      <x:c r="P1" s="161"/>
      <x:c r="Q1" s="161"/>
      <x:c r="R1" s="161"/>
      <x:c r="S1" s="161"/>
      <x:c r="T1" s="161"/>
      <x:c r="U1" s="161"/>
      <x:c r="V1" s="161"/>
      <x:c r="W1" s="161"/>
      <x:c r="X1" s="161"/>
      <x:c r="Y1" s="161"/>
      <x:c r="Z1" s="161"/>
    </x:row>
    <x:row r="2">
      <x:c r="A2" s="166" t="str">
        <x:v>Vista de compromisos comerciales para priorizar acciones y evitar oportunidades frías.</x:v>
      </x:c>
      <x:c r="B2" s="160"/>
      <x:c r="C2" s="160"/>
      <x:c r="D2" s="160"/>
      <x:c r="E2" s="160"/>
      <x:c r="F2" s="160"/>
      <x:c r="G2" s="160"/>
      <x:c r="H2" s="160"/>
      <x:c r="I2" s="160"/>
      <x:c r="J2" s="161"/>
      <x:c r="K2" s="161"/>
      <x:c r="L2" s="161"/>
      <x:c r="M2" s="161"/>
      <x:c r="N2" s="161"/>
      <x:c r="O2" s="161"/>
      <x:c r="P2" s="161"/>
      <x:c r="Q2" s="161"/>
      <x:c r="R2" s="161"/>
      <x:c r="S2" s="161"/>
      <x:c r="T2" s="161"/>
      <x:c r="U2" s="161"/>
      <x:c r="V2" s="161"/>
      <x:c r="W2" s="161"/>
      <x:c r="X2" s="161"/>
      <x:c r="Y2" s="161"/>
      <x:c r="Z2" s="161"/>
    </x:row>
    <x:row r="3">
      <x:c r="A3" s="160"/>
      <x:c r="B3" s="160"/>
      <x:c r="C3" s="160"/>
      <x:c r="D3" s="160"/>
      <x:c r="E3" s="160"/>
      <x:c r="F3" s="160"/>
      <x:c r="G3" s="160"/>
      <x:c r="H3" s="160"/>
      <x:c r="I3" s="160"/>
      <x:c r="J3" s="161"/>
      <x:c r="K3" s="161"/>
      <x:c r="L3" s="161"/>
      <x:c r="M3" s="161"/>
      <x:c r="N3" s="161"/>
      <x:c r="O3" s="161"/>
      <x:c r="P3" s="161"/>
      <x:c r="Q3" s="161"/>
      <x:c r="R3" s="161"/>
      <x:c r="S3" s="161"/>
      <x:c r="T3" s="161"/>
      <x:c r="U3" s="161"/>
      <x:c r="V3" s="161"/>
      <x:c r="W3" s="161"/>
      <x:c r="X3" s="161"/>
      <x:c r="Y3" s="161"/>
      <x:c r="Z3" s="161"/>
    </x:row>
    <x:row r="4">
      <x:c r="A4" s="160"/>
      <x:c r="B4" s="160"/>
      <x:c r="C4" s="160"/>
      <x:c r="D4" s="160"/>
      <x:c r="E4" s="160"/>
      <x:c r="F4" s="160"/>
      <x:c r="G4" s="160"/>
      <x:c r="H4" s="160"/>
      <x:c r="I4" s="160"/>
      <x:c r="J4" s="161"/>
      <x:c r="K4" s="161"/>
      <x:c r="L4" s="161"/>
      <x:c r="M4" s="161"/>
      <x:c r="N4" s="161"/>
      <x:c r="O4" s="161"/>
      <x:c r="P4" s="161"/>
      <x:c r="Q4" s="161"/>
      <x:c r="R4" s="161"/>
      <x:c r="S4" s="161"/>
      <x:c r="T4" s="161"/>
      <x:c r="U4" s="161"/>
      <x:c r="V4" s="161"/>
      <x:c r="W4" s="161"/>
      <x:c r="X4" s="161"/>
      <x:c r="Y4" s="161"/>
      <x:c r="Z4" s="161"/>
    </x:row>
    <x:row r="5">
      <x:c r="A5" s="65" t="str">
        <x:v>Fecha acción</x:v>
      </x:c>
      <x:c r="B5" s="65" t="str">
        <x:v>Cliente</x:v>
      </x:c>
      <x:c r="C5" s="65" t="str">
        <x:v>Oportunidad</x:v>
      </x:c>
      <x:c r="D5" s="65" t="str">
        <x:v>Responsable</x:v>
      </x:c>
      <x:c r="E5" s="65" t="str">
        <x:v>Acción pendiente</x:v>
      </x:c>
      <x:c r="F5" s="65" t="str">
        <x:v>Prioridad</x:v>
      </x:c>
      <x:c r="G5" s="65" t="str">
        <x:v>Fecha límite</x:v>
      </x:c>
      <x:c r="H5" s="65" t="str">
        <x:v>Estatus</x:v>
      </x:c>
      <x:c r="I5" s="65" t="str">
        <x:v>Alerta</x:v>
      </x:c>
      <x:c r="J5" s="161"/>
      <x:c r="K5" s="161"/>
      <x:c r="L5" s="161"/>
      <x:c r="M5" s="161"/>
      <x:c r="N5" s="161"/>
      <x:c r="O5" s="161"/>
      <x:c r="P5" s="161"/>
      <x:c r="Q5" s="161"/>
      <x:c r="R5" s="161"/>
      <x:c r="S5" s="161"/>
      <x:c r="T5" s="161"/>
      <x:c r="U5" s="161"/>
      <x:c r="V5" s="161"/>
      <x:c r="W5" s="161"/>
      <x:c r="X5" s="161"/>
      <x:c r="Y5" s="161"/>
      <x:c r="Z5" s="161"/>
    </x:row>
    <x:row r="6">
      <x:c r="A6" s="124" t="n">
        <x:v>46154</x:v>
      </x:c>
      <x:c r="B6" s="108" t="str">
        <x:v>Clínica Dermalysse</x:v>
      </x:c>
      <x:c r="C6" s="108" t="str">
        <x:v>OPP-001</x:v>
      </x:c>
      <x:c r="D6" s="108" t="str">
        <x:v>Ejecutivo 1</x:v>
      </x:c>
      <x:c r="E6" s="108" t="str">
        <x:v>Confirmar cambios de propuesta</x:v>
      </x:c>
      <x:c r="F6" s="108" t="str">
        <x:v>Alta</x:v>
      </x:c>
      <x:c r="G6" s="124" t="n">
        <x:v>46158</x:v>
      </x:c>
      <x:c r="H6" s="108" t="str">
        <x:v>Pendiente</x:v>
      </x:c>
      <x:c r="I6" s="129" t="str">
        <x:f>IF(OR(G6="",H6=""),"",IF(H6="Completado","OK",IF(G6&lt;TODAY(),"VENCIDO",IF(G6&lt;=TODAY()+3,"PRÓXIMO","EN TIEMPO"))))</x:f>
        <x:v>EN TIEMPO</x:v>
      </x:c>
      <x:c r="J6" s="161"/>
      <x:c r="K6" s="161"/>
      <x:c r="L6" s="161"/>
      <x:c r="M6" s="161"/>
      <x:c r="N6" s="161"/>
      <x:c r="O6" s="161"/>
      <x:c r="P6" s="161"/>
      <x:c r="Q6" s="161"/>
      <x:c r="R6" s="161"/>
      <x:c r="S6" s="161"/>
      <x:c r="T6" s="161"/>
      <x:c r="U6" s="161"/>
      <x:c r="V6" s="161"/>
      <x:c r="W6" s="161"/>
      <x:c r="X6" s="161"/>
      <x:c r="Y6" s="161"/>
      <x:c r="Z6" s="161"/>
    </x:row>
    <x:row r="7">
      <x:c r="A7" s="124" t="n">
        <x:v>46155</x:v>
      </x:c>
      <x:c r="B7" s="108" t="str">
        <x:v>AgroMarket MX</x:v>
      </x:c>
      <x:c r="C7" s="108" t="str">
        <x:v>OPP-002</x:v>
      </x:c>
      <x:c r="D7" s="108" t="str">
        <x:v>Ejecutivo 2</x:v>
      </x:c>
      <x:c r="E7" s="108" t="str">
        <x:v>Enviar agenda de demo</x:v>
      </x:c>
      <x:c r="F7" s="108" t="str">
        <x:v>Media</x:v>
      </x:c>
      <x:c r="G7" s="124" t="n">
        <x:v>46160</x:v>
      </x:c>
      <x:c r="H7" s="108" t="str">
        <x:v>Pendiente</x:v>
      </x:c>
      <x:c r="I7" s="129" t="str">
        <x:f>IF(OR(G7="",H7=""),"",IF(H7="Completado","OK",IF(G7&lt;TODAY(),"VENCIDO",IF(G7&lt;=TODAY()+3,"PRÓXIMO","EN TIEMPO"))))</x:f>
        <x:v>EN TIEMPO</x:v>
      </x:c>
      <x:c r="J7" s="161"/>
      <x:c r="K7" s="161"/>
      <x:c r="L7" s="161"/>
      <x:c r="M7" s="161"/>
      <x:c r="N7" s="161"/>
      <x:c r="O7" s="161"/>
      <x:c r="P7" s="161"/>
      <x:c r="Q7" s="161"/>
      <x:c r="R7" s="161"/>
      <x:c r="S7" s="161"/>
      <x:c r="T7" s="161"/>
      <x:c r="U7" s="161"/>
      <x:c r="V7" s="161"/>
      <x:c r="W7" s="161"/>
      <x:c r="X7" s="161"/>
      <x:c r="Y7" s="161"/>
      <x:c r="Z7" s="161"/>
    </x:row>
    <x:row r="8">
      <x:c r="A8" s="124"/>
      <x:c r="B8" s="108"/>
      <x:c r="C8" s="108"/>
      <x:c r="D8" s="108"/>
      <x:c r="E8" s="108"/>
      <x:c r="F8" s="108"/>
      <x:c r="G8" s="124"/>
      <x:c r="H8" s="108"/>
      <x:c r="I8" s="129" t="str">
        <x:f>IF(OR(G8="",H8=""),"",IF(H8="Completado","OK",IF(G8&lt;TODAY(),"VENCIDO",IF(G8&lt;=TODAY()+3,"PRÓXIMO","EN TIEMPO"))))</x:f>
      </x:c>
      <x:c r="J8" s="161"/>
      <x:c r="K8" s="161"/>
      <x:c r="L8" s="161"/>
      <x:c r="M8" s="161"/>
      <x:c r="N8" s="161"/>
      <x:c r="O8" s="161"/>
      <x:c r="P8" s="161"/>
      <x:c r="Q8" s="161"/>
      <x:c r="R8" s="161"/>
      <x:c r="S8" s="161"/>
      <x:c r="T8" s="161"/>
      <x:c r="U8" s="161"/>
      <x:c r="V8" s="161"/>
      <x:c r="W8" s="161"/>
      <x:c r="X8" s="161"/>
      <x:c r="Y8" s="161"/>
      <x:c r="Z8" s="161"/>
    </x:row>
    <x:row r="9">
      <x:c r="A9" s="124"/>
      <x:c r="B9" s="108"/>
      <x:c r="C9" s="108"/>
      <x:c r="D9" s="108"/>
      <x:c r="E9" s="108"/>
      <x:c r="F9" s="108"/>
      <x:c r="G9" s="124"/>
      <x:c r="H9" s="108"/>
      <x:c r="I9" s="129" t="str">
        <x:f>IF(OR(G9="",H9=""),"",IF(H9="Completado","OK",IF(G9&lt;TODAY(),"VENCIDO",IF(G9&lt;=TODAY()+3,"PRÓXIMO","EN TIEMPO"))))</x:f>
      </x:c>
      <x:c r="J9" s="161"/>
      <x:c r="K9" s="161"/>
      <x:c r="L9" s="161"/>
      <x:c r="M9" s="161"/>
      <x:c r="N9" s="161"/>
      <x:c r="O9" s="161"/>
      <x:c r="P9" s="161"/>
      <x:c r="Q9" s="161"/>
      <x:c r="R9" s="161"/>
      <x:c r="S9" s="161"/>
      <x:c r="T9" s="161"/>
      <x:c r="U9" s="161"/>
      <x:c r="V9" s="161"/>
      <x:c r="W9" s="161"/>
      <x:c r="X9" s="161"/>
      <x:c r="Y9" s="161"/>
      <x:c r="Z9" s="161"/>
    </x:row>
    <x:row r="10">
      <x:c r="A10" s="124"/>
      <x:c r="B10" s="108"/>
      <x:c r="C10" s="108"/>
      <x:c r="D10" s="108"/>
      <x:c r="E10" s="108"/>
      <x:c r="F10" s="108"/>
      <x:c r="G10" s="124"/>
      <x:c r="H10" s="108"/>
      <x:c r="I10" s="129" t="str">
        <x:f>IF(OR(G10="",H10=""),"",IF(H10="Completado","OK",IF(G10&lt;TODAY(),"VENCIDO",IF(G10&lt;=TODAY()+3,"PRÓXIMO","EN TIEMPO"))))</x:f>
      </x:c>
      <x:c r="J10" s="161"/>
      <x:c r="K10" s="161"/>
      <x:c r="L10" s="161"/>
      <x:c r="M10" s="161"/>
      <x:c r="N10" s="161"/>
      <x:c r="O10" s="161"/>
      <x:c r="P10" s="161"/>
      <x:c r="Q10" s="161"/>
      <x:c r="R10" s="161"/>
      <x:c r="S10" s="161"/>
      <x:c r="T10" s="161"/>
      <x:c r="U10" s="161"/>
      <x:c r="V10" s="161"/>
      <x:c r="W10" s="161"/>
      <x:c r="X10" s="161"/>
      <x:c r="Y10" s="161"/>
      <x:c r="Z10" s="161"/>
    </x:row>
    <x:row r="11">
      <x:c r="A11" s="124"/>
      <x:c r="B11" s="108"/>
      <x:c r="C11" s="108"/>
      <x:c r="D11" s="108"/>
      <x:c r="E11" s="108"/>
      <x:c r="F11" s="108"/>
      <x:c r="G11" s="124"/>
      <x:c r="H11" s="108"/>
      <x:c r="I11" s="129" t="str">
        <x:f>IF(OR(G11="",H11=""),"",IF(H11="Completado","OK",IF(G11&lt;TODAY(),"VENCIDO",IF(G11&lt;=TODAY()+3,"PRÓXIMO","EN TIEMPO"))))</x:f>
      </x:c>
      <x:c r="J11" s="161"/>
      <x:c r="K11" s="161"/>
      <x:c r="L11" s="161"/>
      <x:c r="M11" s="161"/>
      <x:c r="N11" s="161"/>
      <x:c r="O11" s="161"/>
      <x:c r="P11" s="161"/>
      <x:c r="Q11" s="161"/>
      <x:c r="R11" s="161"/>
      <x:c r="S11" s="161"/>
      <x:c r="T11" s="161"/>
      <x:c r="U11" s="161"/>
      <x:c r="V11" s="161"/>
      <x:c r="W11" s="161"/>
      <x:c r="X11" s="161"/>
      <x:c r="Y11" s="161"/>
      <x:c r="Z11" s="161"/>
    </x:row>
    <x:row r="12">
      <x:c r="A12" s="124"/>
      <x:c r="B12" s="108"/>
      <x:c r="C12" s="108"/>
      <x:c r="D12" s="108"/>
      <x:c r="E12" s="108"/>
      <x:c r="F12" s="108"/>
      <x:c r="G12" s="124"/>
      <x:c r="H12" s="108"/>
      <x:c r="I12" s="129" t="str">
        <x:f>IF(OR(G12="",H12=""),"",IF(H12="Completado","OK",IF(G12&lt;TODAY(),"VENCIDO",IF(G12&lt;=TODAY()+3,"PRÓXIMO","EN TIEMPO"))))</x:f>
      </x:c>
      <x:c r="J12" s="161"/>
      <x:c r="K12" s="161"/>
      <x:c r="L12" s="161"/>
      <x:c r="M12" s="161"/>
      <x:c r="N12" s="161"/>
      <x:c r="O12" s="161"/>
      <x:c r="P12" s="161"/>
      <x:c r="Q12" s="161"/>
      <x:c r="R12" s="161"/>
      <x:c r="S12" s="161"/>
      <x:c r="T12" s="161"/>
      <x:c r="U12" s="161"/>
      <x:c r="V12" s="161"/>
      <x:c r="W12" s="161"/>
      <x:c r="X12" s="161"/>
      <x:c r="Y12" s="161"/>
      <x:c r="Z12" s="161"/>
    </x:row>
    <x:row r="13">
      <x:c r="A13" s="124"/>
      <x:c r="B13" s="108"/>
      <x:c r="C13" s="108"/>
      <x:c r="D13" s="108"/>
      <x:c r="E13" s="108"/>
      <x:c r="F13" s="108"/>
      <x:c r="G13" s="124"/>
      <x:c r="H13" s="108"/>
      <x:c r="I13" s="129" t="str">
        <x:f>IF(OR(G13="",H13=""),"",IF(H13="Completado","OK",IF(G13&lt;TODAY(),"VENCIDO",IF(G13&lt;=TODAY()+3,"PRÓXIMO","EN TIEMPO"))))</x:f>
      </x:c>
      <x:c r="J13" s="161"/>
      <x:c r="K13" s="161"/>
      <x:c r="L13" s="161"/>
      <x:c r="M13" s="161"/>
      <x:c r="N13" s="161"/>
      <x:c r="O13" s="161"/>
      <x:c r="P13" s="161"/>
      <x:c r="Q13" s="161"/>
      <x:c r="R13" s="161"/>
      <x:c r="S13" s="161"/>
      <x:c r="T13" s="161"/>
      <x:c r="U13" s="161"/>
      <x:c r="V13" s="161"/>
      <x:c r="W13" s="161"/>
      <x:c r="X13" s="161"/>
      <x:c r="Y13" s="161"/>
      <x:c r="Z13" s="161"/>
    </x:row>
    <x:row r="14">
      <x:c r="A14" s="124"/>
      <x:c r="B14" s="108"/>
      <x:c r="C14" s="108"/>
      <x:c r="D14" s="108"/>
      <x:c r="E14" s="108"/>
      <x:c r="F14" s="108"/>
      <x:c r="G14" s="124"/>
      <x:c r="H14" s="108"/>
      <x:c r="I14" s="129" t="str">
        <x:f>IF(OR(G14="",H14=""),"",IF(H14="Completado","OK",IF(G14&lt;TODAY(),"VENCIDO",IF(G14&lt;=TODAY()+3,"PRÓXIMO","EN TIEMPO"))))</x:f>
      </x:c>
      <x:c r="J14" s="161"/>
      <x:c r="K14" s="161"/>
      <x:c r="L14" s="161"/>
      <x:c r="M14" s="161"/>
      <x:c r="N14" s="161"/>
      <x:c r="O14" s="161"/>
      <x:c r="P14" s="161"/>
      <x:c r="Q14" s="161"/>
      <x:c r="R14" s="161"/>
      <x:c r="S14" s="161"/>
      <x:c r="T14" s="161"/>
      <x:c r="U14" s="161"/>
      <x:c r="V14" s="161"/>
      <x:c r="W14" s="161"/>
      <x:c r="X14" s="161"/>
      <x:c r="Y14" s="161"/>
      <x:c r="Z14" s="161"/>
    </x:row>
    <x:row r="15">
      <x:c r="A15" s="124"/>
      <x:c r="B15" s="108"/>
      <x:c r="C15" s="108"/>
      <x:c r="D15" s="108"/>
      <x:c r="E15" s="108"/>
      <x:c r="F15" s="108"/>
      <x:c r="G15" s="124"/>
      <x:c r="H15" s="108"/>
      <x:c r="I15" s="129" t="str">
        <x:f>IF(OR(G15="",H15=""),"",IF(H15="Completado","OK",IF(G15&lt;TODAY(),"VENCIDO",IF(G15&lt;=TODAY()+3,"PRÓXIMO","EN TIEMPO"))))</x:f>
      </x:c>
      <x:c r="J15" s="161"/>
      <x:c r="K15" s="161"/>
      <x:c r="L15" s="161"/>
      <x:c r="M15" s="161"/>
      <x:c r="N15" s="161"/>
      <x:c r="O15" s="161"/>
      <x:c r="P15" s="161"/>
      <x:c r="Q15" s="161"/>
      <x:c r="R15" s="161"/>
      <x:c r="S15" s="161"/>
      <x:c r="T15" s="161"/>
      <x:c r="U15" s="161"/>
      <x:c r="V15" s="161"/>
      <x:c r="W15" s="161"/>
      <x:c r="X15" s="161"/>
      <x:c r="Y15" s="161"/>
      <x:c r="Z15" s="161"/>
    </x:row>
    <x:row r="16">
      <x:c r="A16" s="124"/>
      <x:c r="B16" s="108"/>
      <x:c r="C16" s="108"/>
      <x:c r="D16" s="108"/>
      <x:c r="E16" s="108"/>
      <x:c r="F16" s="108"/>
      <x:c r="G16" s="124"/>
      <x:c r="H16" s="108"/>
      <x:c r="I16" s="129" t="str">
        <x:f>IF(OR(G16="",H16=""),"",IF(H16="Completado","OK",IF(G16&lt;TODAY(),"VENCIDO",IF(G16&lt;=TODAY()+3,"PRÓXIMO","EN TIEMPO"))))</x:f>
      </x:c>
      <x:c r="J16" s="161"/>
      <x:c r="K16" s="161"/>
      <x:c r="L16" s="161"/>
      <x:c r="M16" s="161"/>
      <x:c r="N16" s="161"/>
      <x:c r="O16" s="161"/>
      <x:c r="P16" s="161"/>
      <x:c r="Q16" s="161"/>
      <x:c r="R16" s="161"/>
      <x:c r="S16" s="161"/>
      <x:c r="T16" s="161"/>
      <x:c r="U16" s="161"/>
      <x:c r="V16" s="161"/>
      <x:c r="W16" s="161"/>
      <x:c r="X16" s="161"/>
      <x:c r="Y16" s="161"/>
      <x:c r="Z16" s="161"/>
    </x:row>
    <x:row r="17">
      <x:c r="A17" s="124"/>
      <x:c r="B17" s="108"/>
      <x:c r="C17" s="108"/>
      <x:c r="D17" s="108"/>
      <x:c r="E17" s="108"/>
      <x:c r="F17" s="108"/>
      <x:c r="G17" s="124"/>
      <x:c r="H17" s="108"/>
      <x:c r="I17" s="129" t="str">
        <x:f>IF(OR(G17="",H17=""),"",IF(H17="Completado","OK",IF(G17&lt;TODAY(),"VENCIDO",IF(G17&lt;=TODAY()+3,"PRÓXIMO","EN TIEMPO"))))</x:f>
      </x:c>
      <x:c r="J17" s="161"/>
      <x:c r="K17" s="161"/>
      <x:c r="L17" s="161"/>
      <x:c r="M17" s="161"/>
      <x:c r="N17" s="161"/>
      <x:c r="O17" s="161"/>
      <x:c r="P17" s="161"/>
      <x:c r="Q17" s="161"/>
      <x:c r="R17" s="161"/>
      <x:c r="S17" s="161"/>
      <x:c r="T17" s="161"/>
      <x:c r="U17" s="161"/>
      <x:c r="V17" s="161"/>
      <x:c r="W17" s="161"/>
      <x:c r="X17" s="161"/>
      <x:c r="Y17" s="161"/>
      <x:c r="Z17" s="161"/>
    </x:row>
    <x:row r="18">
      <x:c r="A18" s="124"/>
      <x:c r="B18" s="108"/>
      <x:c r="C18" s="108"/>
      <x:c r="D18" s="108"/>
      <x:c r="E18" s="108"/>
      <x:c r="F18" s="108"/>
      <x:c r="G18" s="124"/>
      <x:c r="H18" s="108"/>
      <x:c r="I18" s="129" t="str">
        <x:f>IF(OR(G18="",H18=""),"",IF(H18="Completado","OK",IF(G18&lt;TODAY(),"VENCIDO",IF(G18&lt;=TODAY()+3,"PRÓXIMO","EN TIEMPO"))))</x:f>
      </x:c>
      <x:c r="J18" s="161"/>
      <x:c r="K18" s="161"/>
      <x:c r="L18" s="161"/>
      <x:c r="M18" s="161"/>
      <x:c r="N18" s="161"/>
      <x:c r="O18" s="161"/>
      <x:c r="P18" s="161"/>
      <x:c r="Q18" s="161"/>
      <x:c r="R18" s="161"/>
      <x:c r="S18" s="161"/>
      <x:c r="T18" s="161"/>
      <x:c r="U18" s="161"/>
      <x:c r="V18" s="161"/>
      <x:c r="W18" s="161"/>
      <x:c r="X18" s="161"/>
      <x:c r="Y18" s="161"/>
      <x:c r="Z18" s="161"/>
    </x:row>
    <x:row r="19">
      <x:c r="A19" s="124"/>
      <x:c r="B19" s="108"/>
      <x:c r="C19" s="108"/>
      <x:c r="D19" s="108"/>
      <x:c r="E19" s="108"/>
      <x:c r="F19" s="108"/>
      <x:c r="G19" s="124"/>
      <x:c r="H19" s="108"/>
      <x:c r="I19" s="129" t="str">
        <x:f>IF(OR(G19="",H19=""),"",IF(H19="Completado","OK",IF(G19&lt;TODAY(),"VENCIDO",IF(G19&lt;=TODAY()+3,"PRÓXIMO","EN TIEMPO"))))</x:f>
      </x:c>
      <x:c r="J19" s="161"/>
      <x:c r="K19" s="161"/>
      <x:c r="L19" s="161"/>
      <x:c r="M19" s="161"/>
      <x:c r="N19" s="161"/>
      <x:c r="O19" s="161"/>
      <x:c r="P19" s="161"/>
      <x:c r="Q19" s="161"/>
      <x:c r="R19" s="161"/>
      <x:c r="S19" s="161"/>
      <x:c r="T19" s="161"/>
      <x:c r="U19" s="161"/>
      <x:c r="V19" s="161"/>
      <x:c r="W19" s="161"/>
      <x:c r="X19" s="161"/>
      <x:c r="Y19" s="161"/>
      <x:c r="Z19" s="161"/>
    </x:row>
    <x:row r="20">
      <x:c r="A20" s="124"/>
      <x:c r="B20" s="108"/>
      <x:c r="C20" s="108"/>
      <x:c r="D20" s="108"/>
      <x:c r="E20" s="108"/>
      <x:c r="F20" s="108"/>
      <x:c r="G20" s="124"/>
      <x:c r="H20" s="108"/>
      <x:c r="I20" s="129" t="str">
        <x:f>IF(OR(G20="",H20=""),"",IF(H20="Completado","OK",IF(G20&lt;TODAY(),"VENCIDO",IF(G20&lt;=TODAY()+3,"PRÓXIMO","EN TIEMPO"))))</x:f>
      </x:c>
      <x:c r="J20" s="161"/>
      <x:c r="K20" s="161"/>
      <x:c r="L20" s="161"/>
      <x:c r="M20" s="161"/>
      <x:c r="N20" s="161"/>
      <x:c r="O20" s="161"/>
      <x:c r="P20" s="161"/>
      <x:c r="Q20" s="161"/>
      <x:c r="R20" s="161"/>
      <x:c r="S20" s="161"/>
      <x:c r="T20" s="161"/>
      <x:c r="U20" s="161"/>
      <x:c r="V20" s="161"/>
      <x:c r="W20" s="161"/>
      <x:c r="X20" s="161"/>
      <x:c r="Y20" s="161"/>
      <x:c r="Z20" s="161"/>
    </x:row>
    <x:row r="21">
      <x:c r="A21" s="124"/>
      <x:c r="B21" s="108"/>
      <x:c r="C21" s="108"/>
      <x:c r="D21" s="108"/>
      <x:c r="E21" s="108"/>
      <x:c r="F21" s="108"/>
      <x:c r="G21" s="124"/>
      <x:c r="H21" s="108"/>
      <x:c r="I21" s="129" t="str">
        <x:f>IF(OR(G21="",H21=""),"",IF(H21="Completado","OK",IF(G21&lt;TODAY(),"VENCIDO",IF(G21&lt;=TODAY()+3,"PRÓXIMO","EN TIEMPO"))))</x:f>
      </x:c>
      <x:c r="J21" s="161"/>
      <x:c r="K21" s="161"/>
      <x:c r="L21" s="161"/>
      <x:c r="M21" s="161"/>
      <x:c r="N21" s="161"/>
      <x:c r="O21" s="161"/>
      <x:c r="P21" s="161"/>
      <x:c r="Q21" s="161"/>
      <x:c r="R21" s="161"/>
      <x:c r="S21" s="161"/>
      <x:c r="T21" s="161"/>
      <x:c r="U21" s="161"/>
      <x:c r="V21" s="161"/>
      <x:c r="W21" s="161"/>
      <x:c r="X21" s="161"/>
      <x:c r="Y21" s="161"/>
      <x:c r="Z21" s="161"/>
    </x:row>
    <x:row r="22">
      <x:c r="A22" s="124"/>
      <x:c r="B22" s="108"/>
      <x:c r="C22" s="108"/>
      <x:c r="D22" s="108"/>
      <x:c r="E22" s="108"/>
      <x:c r="F22" s="108"/>
      <x:c r="G22" s="124"/>
      <x:c r="H22" s="108"/>
      <x:c r="I22" s="129" t="str">
        <x:f>IF(OR(G22="",H22=""),"",IF(H22="Completado","OK",IF(G22&lt;TODAY(),"VENCIDO",IF(G22&lt;=TODAY()+3,"PRÓXIMO","EN TIEMPO"))))</x:f>
      </x:c>
      <x:c r="J22" s="161"/>
      <x:c r="K22" s="161"/>
      <x:c r="L22" s="161"/>
      <x:c r="M22" s="161"/>
      <x:c r="N22" s="161"/>
      <x:c r="O22" s="161"/>
      <x:c r="P22" s="161"/>
      <x:c r="Q22" s="161"/>
      <x:c r="R22" s="161"/>
      <x:c r="S22" s="161"/>
      <x:c r="T22" s="161"/>
      <x:c r="U22" s="161"/>
      <x:c r="V22" s="161"/>
      <x:c r="W22" s="161"/>
      <x:c r="X22" s="161"/>
      <x:c r="Y22" s="161"/>
      <x:c r="Z22" s="161"/>
    </x:row>
    <x:row r="23">
      <x:c r="A23" s="124"/>
      <x:c r="B23" s="108"/>
      <x:c r="C23" s="108"/>
      <x:c r="D23" s="108"/>
      <x:c r="E23" s="108"/>
      <x:c r="F23" s="108"/>
      <x:c r="G23" s="124"/>
      <x:c r="H23" s="108"/>
      <x:c r="I23" s="129" t="str">
        <x:f>IF(OR(G23="",H23=""),"",IF(H23="Completado","OK",IF(G23&lt;TODAY(),"VENCIDO",IF(G23&lt;=TODAY()+3,"PRÓXIMO","EN TIEMPO"))))</x:f>
      </x:c>
      <x:c r="J23" s="161"/>
      <x:c r="K23" s="161"/>
      <x:c r="L23" s="161"/>
      <x:c r="M23" s="161"/>
      <x:c r="N23" s="161"/>
      <x:c r="O23" s="161"/>
      <x:c r="P23" s="161"/>
      <x:c r="Q23" s="161"/>
      <x:c r="R23" s="161"/>
      <x:c r="S23" s="161"/>
      <x:c r="T23" s="161"/>
      <x:c r="U23" s="161"/>
      <x:c r="V23" s="161"/>
      <x:c r="W23" s="161"/>
      <x:c r="X23" s="161"/>
      <x:c r="Y23" s="161"/>
      <x:c r="Z23" s="161"/>
    </x:row>
    <x:row r="24">
      <x:c r="A24" s="124"/>
      <x:c r="B24" s="108"/>
      <x:c r="C24" s="108"/>
      <x:c r="D24" s="108"/>
      <x:c r="E24" s="108"/>
      <x:c r="F24" s="108"/>
      <x:c r="G24" s="124"/>
      <x:c r="H24" s="108"/>
      <x:c r="I24" s="129" t="str">
        <x:f>IF(OR(G24="",H24=""),"",IF(H24="Completado","OK",IF(G24&lt;TODAY(),"VENCIDO",IF(G24&lt;=TODAY()+3,"PRÓXIMO","EN TIEMPO"))))</x:f>
      </x:c>
      <x:c r="J24" s="161"/>
      <x:c r="K24" s="161"/>
      <x:c r="L24" s="161"/>
      <x:c r="M24" s="161"/>
      <x:c r="N24" s="161"/>
      <x:c r="O24" s="161"/>
      <x:c r="P24" s="161"/>
      <x:c r="Q24" s="161"/>
      <x:c r="R24" s="161"/>
      <x:c r="S24" s="161"/>
      <x:c r="T24" s="161"/>
      <x:c r="U24" s="161"/>
      <x:c r="V24" s="161"/>
      <x:c r="W24" s="161"/>
      <x:c r="X24" s="161"/>
      <x:c r="Y24" s="161"/>
      <x:c r="Z24" s="161"/>
    </x:row>
    <x:row r="25">
      <x:c r="A25" s="124"/>
      <x:c r="B25" s="108"/>
      <x:c r="C25" s="108"/>
      <x:c r="D25" s="108"/>
      <x:c r="E25" s="108"/>
      <x:c r="F25" s="108"/>
      <x:c r="G25" s="124"/>
      <x:c r="H25" s="108"/>
      <x:c r="I25" s="129" t="str">
        <x:f>IF(OR(G25="",H25=""),"",IF(H25="Completado","OK",IF(G25&lt;TODAY(),"VENCIDO",IF(G25&lt;=TODAY()+3,"PRÓXIMO","EN TIEMPO"))))</x:f>
      </x:c>
      <x:c r="J25" s="161"/>
      <x:c r="K25" s="161"/>
      <x:c r="L25" s="161"/>
      <x:c r="M25" s="161"/>
      <x:c r="N25" s="161"/>
      <x:c r="O25" s="161"/>
      <x:c r="P25" s="161"/>
      <x:c r="Q25" s="161"/>
      <x:c r="R25" s="161"/>
      <x:c r="S25" s="161"/>
      <x:c r="T25" s="161"/>
      <x:c r="U25" s="161"/>
      <x:c r="V25" s="161"/>
      <x:c r="W25" s="161"/>
      <x:c r="X25" s="161"/>
      <x:c r="Y25" s="161"/>
      <x:c r="Z25" s="161"/>
    </x:row>
    <x:row r="26">
      <x:c r="A26" s="124"/>
      <x:c r="B26" s="108"/>
      <x:c r="C26" s="108"/>
      <x:c r="D26" s="108"/>
      <x:c r="E26" s="108"/>
      <x:c r="F26" s="108"/>
      <x:c r="G26" s="124"/>
      <x:c r="H26" s="108"/>
      <x:c r="I26" s="129" t="str">
        <x:f>IF(OR(G26="",H26=""),"",IF(H26="Completado","OK",IF(G26&lt;TODAY(),"VENCIDO",IF(G26&lt;=TODAY()+3,"PRÓXIMO","EN TIEMPO"))))</x:f>
      </x:c>
      <x:c r="J26" s="161"/>
      <x:c r="K26" s="161"/>
      <x:c r="L26" s="161"/>
      <x:c r="M26" s="161"/>
      <x:c r="N26" s="161"/>
      <x:c r="O26" s="161"/>
      <x:c r="P26" s="161"/>
      <x:c r="Q26" s="161"/>
      <x:c r="R26" s="161"/>
      <x:c r="S26" s="161"/>
      <x:c r="T26" s="161"/>
      <x:c r="U26" s="161"/>
      <x:c r="V26" s="161"/>
      <x:c r="W26" s="161"/>
      <x:c r="X26" s="161"/>
      <x:c r="Y26" s="161"/>
      <x:c r="Z26" s="161"/>
    </x:row>
    <x:row r="27">
      <x:c r="A27" s="124"/>
      <x:c r="B27" s="108"/>
      <x:c r="C27" s="108"/>
      <x:c r="D27" s="108"/>
      <x:c r="E27" s="108"/>
      <x:c r="F27" s="108"/>
      <x:c r="G27" s="124"/>
      <x:c r="H27" s="108"/>
      <x:c r="I27" s="129" t="str">
        <x:f>IF(OR(G27="",H27=""),"",IF(H27="Completado","OK",IF(G27&lt;TODAY(),"VENCIDO",IF(G27&lt;=TODAY()+3,"PRÓXIMO","EN TIEMPO"))))</x:f>
      </x:c>
      <x:c r="J27" s="161"/>
      <x:c r="K27" s="161"/>
      <x:c r="L27" s="161"/>
      <x:c r="M27" s="161"/>
      <x:c r="N27" s="161"/>
      <x:c r="O27" s="161"/>
      <x:c r="P27" s="161"/>
      <x:c r="Q27" s="161"/>
      <x:c r="R27" s="161"/>
      <x:c r="S27" s="161"/>
      <x:c r="T27" s="161"/>
      <x:c r="U27" s="161"/>
      <x:c r="V27" s="161"/>
      <x:c r="W27" s="161"/>
      <x:c r="X27" s="161"/>
      <x:c r="Y27" s="161"/>
      <x:c r="Z27" s="161"/>
    </x:row>
    <x:row r="28">
      <x:c r="A28" s="124"/>
      <x:c r="B28" s="108"/>
      <x:c r="C28" s="108"/>
      <x:c r="D28" s="108"/>
      <x:c r="E28" s="108"/>
      <x:c r="F28" s="108"/>
      <x:c r="G28" s="124"/>
      <x:c r="H28" s="108"/>
      <x:c r="I28" s="129" t="str">
        <x:f>IF(OR(G28="",H28=""),"",IF(H28="Completado","OK",IF(G28&lt;TODAY(),"VENCIDO",IF(G28&lt;=TODAY()+3,"PRÓXIMO","EN TIEMPO"))))</x:f>
      </x:c>
      <x:c r="J28" s="161"/>
      <x:c r="K28" s="161"/>
      <x:c r="L28" s="161"/>
      <x:c r="M28" s="161"/>
      <x:c r="N28" s="161"/>
      <x:c r="O28" s="161"/>
      <x:c r="P28" s="161"/>
      <x:c r="Q28" s="161"/>
      <x:c r="R28" s="161"/>
      <x:c r="S28" s="161"/>
      <x:c r="T28" s="161"/>
      <x:c r="U28" s="161"/>
      <x:c r="V28" s="161"/>
      <x:c r="W28" s="161"/>
      <x:c r="X28" s="161"/>
      <x:c r="Y28" s="161"/>
      <x:c r="Z28" s="161"/>
    </x:row>
    <x:row r="29">
      <x:c r="A29" s="124"/>
      <x:c r="B29" s="108"/>
      <x:c r="C29" s="108"/>
      <x:c r="D29" s="108"/>
      <x:c r="E29" s="108"/>
      <x:c r="F29" s="108"/>
      <x:c r="G29" s="124"/>
      <x:c r="H29" s="108"/>
      <x:c r="I29" s="129" t="str">
        <x:f>IF(OR(G29="",H29=""),"",IF(H29="Completado","OK",IF(G29&lt;TODAY(),"VENCIDO",IF(G29&lt;=TODAY()+3,"PRÓXIMO","EN TIEMPO"))))</x:f>
      </x:c>
      <x:c r="J29" s="161"/>
      <x:c r="K29" s="161"/>
      <x:c r="L29" s="161"/>
      <x:c r="M29" s="161"/>
      <x:c r="N29" s="161"/>
      <x:c r="O29" s="161"/>
      <x:c r="P29" s="161"/>
      <x:c r="Q29" s="161"/>
      <x:c r="R29" s="161"/>
      <x:c r="S29" s="161"/>
      <x:c r="T29" s="161"/>
      <x:c r="U29" s="161"/>
      <x:c r="V29" s="161"/>
      <x:c r="W29" s="161"/>
      <x:c r="X29" s="161"/>
      <x:c r="Y29" s="161"/>
      <x:c r="Z29" s="161"/>
    </x:row>
    <x:row r="30">
      <x:c r="A30" s="124"/>
      <x:c r="B30" s="108"/>
      <x:c r="C30" s="108"/>
      <x:c r="D30" s="108"/>
      <x:c r="E30" s="108"/>
      <x:c r="F30" s="108"/>
      <x:c r="G30" s="124"/>
      <x:c r="H30" s="108"/>
      <x:c r="I30" s="129" t="str">
        <x:f>IF(OR(G30="",H30=""),"",IF(H30="Completado","OK",IF(G30&lt;TODAY(),"VENCIDO",IF(G30&lt;=TODAY()+3,"PRÓXIMO","EN TIEMPO"))))</x:f>
      </x:c>
      <x:c r="J30" s="161"/>
      <x:c r="K30" s="161"/>
      <x:c r="L30" s="161"/>
      <x:c r="M30" s="161"/>
      <x:c r="N30" s="161"/>
      <x:c r="O30" s="161"/>
      <x:c r="P30" s="161"/>
      <x:c r="Q30" s="161"/>
      <x:c r="R30" s="161"/>
      <x:c r="S30" s="161"/>
      <x:c r="T30" s="161"/>
      <x:c r="U30" s="161"/>
      <x:c r="V30" s="161"/>
      <x:c r="W30" s="161"/>
      <x:c r="X30" s="161"/>
      <x:c r="Y30" s="161"/>
      <x:c r="Z30" s="161"/>
    </x:row>
    <x:row r="31">
      <x:c r="A31" s="124"/>
      <x:c r="B31" s="108"/>
      <x:c r="C31" s="108"/>
      <x:c r="D31" s="108"/>
      <x:c r="E31" s="108"/>
      <x:c r="F31" s="108"/>
      <x:c r="G31" s="124"/>
      <x:c r="H31" s="108"/>
      <x:c r="I31" s="129" t="str">
        <x:f>IF(OR(G31="",H31=""),"",IF(H31="Completado","OK",IF(G31&lt;TODAY(),"VENCIDO",IF(G31&lt;=TODAY()+3,"PRÓXIMO","EN TIEMPO"))))</x:f>
      </x:c>
      <x:c r="J31" s="161"/>
      <x:c r="K31" s="161"/>
      <x:c r="L31" s="161"/>
      <x:c r="M31" s="161"/>
      <x:c r="N31" s="161"/>
      <x:c r="O31" s="161"/>
      <x:c r="P31" s="161"/>
      <x:c r="Q31" s="161"/>
      <x:c r="R31" s="161"/>
      <x:c r="S31" s="161"/>
      <x:c r="T31" s="161"/>
      <x:c r="U31" s="161"/>
      <x:c r="V31" s="161"/>
      <x:c r="W31" s="161"/>
      <x:c r="X31" s="161"/>
      <x:c r="Y31" s="161"/>
      <x:c r="Z31" s="161"/>
    </x:row>
    <x:row r="32">
      <x:c r="A32" s="124"/>
      <x:c r="B32" s="108"/>
      <x:c r="C32" s="108"/>
      <x:c r="D32" s="108"/>
      <x:c r="E32" s="108"/>
      <x:c r="F32" s="108"/>
      <x:c r="G32" s="124"/>
      <x:c r="H32" s="108"/>
      <x:c r="I32" s="129" t="str">
        <x:f>IF(OR(G32="",H32=""),"",IF(H32="Completado","OK",IF(G32&lt;TODAY(),"VENCIDO",IF(G32&lt;=TODAY()+3,"PRÓXIMO","EN TIEMPO"))))</x:f>
      </x:c>
      <x:c r="J32" s="161"/>
      <x:c r="K32" s="161"/>
      <x:c r="L32" s="161"/>
      <x:c r="M32" s="161"/>
      <x:c r="N32" s="161"/>
      <x:c r="O32" s="161"/>
      <x:c r="P32" s="161"/>
      <x:c r="Q32" s="161"/>
      <x:c r="R32" s="161"/>
      <x:c r="S32" s="161"/>
      <x:c r="T32" s="161"/>
      <x:c r="U32" s="161"/>
      <x:c r="V32" s="161"/>
      <x:c r="W32" s="161"/>
      <x:c r="X32" s="161"/>
      <x:c r="Y32" s="161"/>
      <x:c r="Z32" s="161"/>
    </x:row>
    <x:row r="33">
      <x:c r="A33" s="124"/>
      <x:c r="B33" s="108"/>
      <x:c r="C33" s="108"/>
      <x:c r="D33" s="108"/>
      <x:c r="E33" s="108"/>
      <x:c r="F33" s="108"/>
      <x:c r="G33" s="124"/>
      <x:c r="H33" s="108"/>
      <x:c r="I33" s="129" t="str">
        <x:f>IF(OR(G33="",H33=""),"",IF(H33="Completado","OK",IF(G33&lt;TODAY(),"VENCIDO",IF(G33&lt;=TODAY()+3,"PRÓXIMO","EN TIEMPO"))))</x:f>
      </x:c>
      <x:c r="J33" s="161"/>
      <x:c r="K33" s="161"/>
      <x:c r="L33" s="161"/>
      <x:c r="M33" s="161"/>
      <x:c r="N33" s="161"/>
      <x:c r="O33" s="161"/>
      <x:c r="P33" s="161"/>
      <x:c r="Q33" s="161"/>
      <x:c r="R33" s="161"/>
      <x:c r="S33" s="161"/>
      <x:c r="T33" s="161"/>
      <x:c r="U33" s="161"/>
      <x:c r="V33" s="161"/>
      <x:c r="W33" s="161"/>
      <x:c r="X33" s="161"/>
      <x:c r="Y33" s="161"/>
      <x:c r="Z33" s="161"/>
    </x:row>
    <x:row r="34">
      <x:c r="A34" s="124"/>
      <x:c r="B34" s="108"/>
      <x:c r="C34" s="108"/>
      <x:c r="D34" s="108"/>
      <x:c r="E34" s="108"/>
      <x:c r="F34" s="108"/>
      <x:c r="G34" s="124"/>
      <x:c r="H34" s="108"/>
      <x:c r="I34" s="129" t="str">
        <x:f>IF(OR(G34="",H34=""),"",IF(H34="Completado","OK",IF(G34&lt;TODAY(),"VENCIDO",IF(G34&lt;=TODAY()+3,"PRÓXIMO","EN TIEMPO"))))</x:f>
      </x:c>
      <x:c r="J34" s="161"/>
      <x:c r="K34" s="161"/>
      <x:c r="L34" s="161"/>
      <x:c r="M34" s="161"/>
      <x:c r="N34" s="161"/>
      <x:c r="O34" s="161"/>
      <x:c r="P34" s="161"/>
      <x:c r="Q34" s="161"/>
      <x:c r="R34" s="161"/>
      <x:c r="S34" s="161"/>
      <x:c r="T34" s="161"/>
      <x:c r="U34" s="161"/>
      <x:c r="V34" s="161"/>
      <x:c r="W34" s="161"/>
      <x:c r="X34" s="161"/>
      <x:c r="Y34" s="161"/>
      <x:c r="Z34" s="161"/>
    </x:row>
    <x:row r="35">
      <x:c r="A35" s="124"/>
      <x:c r="B35" s="108"/>
      <x:c r="C35" s="108"/>
      <x:c r="D35" s="108"/>
      <x:c r="E35" s="108"/>
      <x:c r="F35" s="108"/>
      <x:c r="G35" s="124"/>
      <x:c r="H35" s="108"/>
      <x:c r="I35" s="129" t="str">
        <x:f>IF(OR(G35="",H35=""),"",IF(H35="Completado","OK",IF(G35&lt;TODAY(),"VENCIDO",IF(G35&lt;=TODAY()+3,"PRÓXIMO","EN TIEMPO"))))</x:f>
      </x:c>
      <x:c r="J35" s="161"/>
      <x:c r="K35" s="161"/>
      <x:c r="L35" s="161"/>
      <x:c r="M35" s="161"/>
      <x:c r="N35" s="161"/>
      <x:c r="O35" s="161"/>
      <x:c r="P35" s="161"/>
      <x:c r="Q35" s="161"/>
      <x:c r="R35" s="161"/>
      <x:c r="S35" s="161"/>
      <x:c r="T35" s="161"/>
      <x:c r="U35" s="161"/>
      <x:c r="V35" s="161"/>
      <x:c r="W35" s="161"/>
      <x:c r="X35" s="161"/>
      <x:c r="Y35" s="161"/>
      <x:c r="Z35" s="161"/>
    </x:row>
    <x:row r="36">
      <x:c r="A36" s="124"/>
      <x:c r="B36" s="108"/>
      <x:c r="C36" s="108"/>
      <x:c r="D36" s="108"/>
      <x:c r="E36" s="108"/>
      <x:c r="F36" s="108"/>
      <x:c r="G36" s="124"/>
      <x:c r="H36" s="108"/>
      <x:c r="I36" s="129" t="str">
        <x:f>IF(OR(G36="",H36=""),"",IF(H36="Completado","OK",IF(G36&lt;TODAY(),"VENCIDO",IF(G36&lt;=TODAY()+3,"PRÓXIMO","EN TIEMPO"))))</x:f>
      </x:c>
      <x:c r="J36" s="161"/>
      <x:c r="K36" s="161"/>
      <x:c r="L36" s="161"/>
      <x:c r="M36" s="161"/>
      <x:c r="N36" s="161"/>
      <x:c r="O36" s="161"/>
      <x:c r="P36" s="161"/>
      <x:c r="Q36" s="161"/>
      <x:c r="R36" s="161"/>
      <x:c r="S36" s="161"/>
      <x:c r="T36" s="161"/>
      <x:c r="U36" s="161"/>
      <x:c r="V36" s="161"/>
      <x:c r="W36" s="161"/>
      <x:c r="X36" s="161"/>
      <x:c r="Y36" s="161"/>
      <x:c r="Z36" s="161"/>
    </x:row>
    <x:row r="37">
      <x:c r="A37" s="124"/>
      <x:c r="B37" s="108"/>
      <x:c r="C37" s="108"/>
      <x:c r="D37" s="108"/>
      <x:c r="E37" s="108"/>
      <x:c r="F37" s="108"/>
      <x:c r="G37" s="124"/>
      <x:c r="H37" s="108"/>
      <x:c r="I37" s="129" t="str">
        <x:f>IF(OR(G37="",H37=""),"",IF(H37="Completado","OK",IF(G37&lt;TODAY(),"VENCIDO",IF(G37&lt;=TODAY()+3,"PRÓXIMO","EN TIEMPO"))))</x:f>
      </x:c>
      <x:c r="J37" s="161"/>
      <x:c r="K37" s="161"/>
      <x:c r="L37" s="161"/>
      <x:c r="M37" s="161"/>
      <x:c r="N37" s="161"/>
      <x:c r="O37" s="161"/>
      <x:c r="P37" s="161"/>
      <x:c r="Q37" s="161"/>
      <x:c r="R37" s="161"/>
      <x:c r="S37" s="161"/>
      <x:c r="T37" s="161"/>
      <x:c r="U37" s="161"/>
      <x:c r="V37" s="161"/>
      <x:c r="W37" s="161"/>
      <x:c r="X37" s="161"/>
      <x:c r="Y37" s="161"/>
      <x:c r="Z37" s="161"/>
    </x:row>
    <x:row r="38">
      <x:c r="A38" s="124"/>
      <x:c r="B38" s="108"/>
      <x:c r="C38" s="108"/>
      <x:c r="D38" s="108"/>
      <x:c r="E38" s="108"/>
      <x:c r="F38" s="108"/>
      <x:c r="G38" s="124"/>
      <x:c r="H38" s="108"/>
      <x:c r="I38" s="129" t="str">
        <x:f>IF(OR(G38="",H38=""),"",IF(H38="Completado","OK",IF(G38&lt;TODAY(),"VENCIDO",IF(G38&lt;=TODAY()+3,"PRÓXIMO","EN TIEMPO"))))</x:f>
      </x:c>
      <x:c r="J38" s="161"/>
      <x:c r="K38" s="161"/>
      <x:c r="L38" s="161"/>
      <x:c r="M38" s="161"/>
      <x:c r="N38" s="161"/>
      <x:c r="O38" s="161"/>
      <x:c r="P38" s="161"/>
      <x:c r="Q38" s="161"/>
      <x:c r="R38" s="161"/>
      <x:c r="S38" s="161"/>
      <x:c r="T38" s="161"/>
      <x:c r="U38" s="161"/>
      <x:c r="V38" s="161"/>
      <x:c r="W38" s="161"/>
      <x:c r="X38" s="161"/>
      <x:c r="Y38" s="161"/>
      <x:c r="Z38" s="161"/>
    </x:row>
    <x:row r="39">
      <x:c r="A39" s="124"/>
      <x:c r="B39" s="108"/>
      <x:c r="C39" s="108"/>
      <x:c r="D39" s="108"/>
      <x:c r="E39" s="108"/>
      <x:c r="F39" s="108"/>
      <x:c r="G39" s="124"/>
      <x:c r="H39" s="108"/>
      <x:c r="I39" s="129" t="str">
        <x:f>IF(OR(G39="",H39=""),"",IF(H39="Completado","OK",IF(G39&lt;TODAY(),"VENCIDO",IF(G39&lt;=TODAY()+3,"PRÓXIMO","EN TIEMPO"))))</x:f>
      </x:c>
      <x:c r="J39" s="161"/>
      <x:c r="K39" s="161"/>
      <x:c r="L39" s="161"/>
      <x:c r="M39" s="161"/>
      <x:c r="N39" s="161"/>
      <x:c r="O39" s="161"/>
      <x:c r="P39" s="161"/>
      <x:c r="Q39" s="161"/>
      <x:c r="R39" s="161"/>
      <x:c r="S39" s="161"/>
      <x:c r="T39" s="161"/>
      <x:c r="U39" s="161"/>
      <x:c r="V39" s="161"/>
      <x:c r="W39" s="161"/>
      <x:c r="X39" s="161"/>
      <x:c r="Y39" s="161"/>
      <x:c r="Z39" s="161"/>
    </x:row>
    <x:row r="40">
      <x:c r="A40" s="124"/>
      <x:c r="B40" s="108"/>
      <x:c r="C40" s="108"/>
      <x:c r="D40" s="108"/>
      <x:c r="E40" s="108"/>
      <x:c r="F40" s="108"/>
      <x:c r="G40" s="124"/>
      <x:c r="H40" s="108"/>
      <x:c r="I40" s="129" t="str">
        <x:f>IF(OR(G40="",H40=""),"",IF(H40="Completado","OK",IF(G40&lt;TODAY(),"VENCIDO",IF(G40&lt;=TODAY()+3,"PRÓXIMO","EN TIEMPO"))))</x:f>
      </x:c>
      <x:c r="J40" s="161"/>
      <x:c r="K40" s="161"/>
      <x:c r="L40" s="161"/>
      <x:c r="M40" s="161"/>
      <x:c r="N40" s="161"/>
      <x:c r="O40" s="161"/>
      <x:c r="P40" s="161"/>
      <x:c r="Q40" s="161"/>
      <x:c r="R40" s="161"/>
      <x:c r="S40" s="161"/>
      <x:c r="T40" s="161"/>
      <x:c r="U40" s="161"/>
      <x:c r="V40" s="161"/>
      <x:c r="W40" s="161"/>
      <x:c r="X40" s="161"/>
      <x:c r="Y40" s="161"/>
      <x:c r="Z40" s="161"/>
    </x:row>
    <x:row r="41">
      <x:c r="A41" s="124"/>
      <x:c r="B41" s="108"/>
      <x:c r="C41" s="108"/>
      <x:c r="D41" s="108"/>
      <x:c r="E41" s="108"/>
      <x:c r="F41" s="108"/>
      <x:c r="G41" s="124"/>
      <x:c r="H41" s="108"/>
      <x:c r="I41" s="129" t="str">
        <x:f>IF(OR(G41="",H41=""),"",IF(H41="Completado","OK",IF(G41&lt;TODAY(),"VENCIDO",IF(G41&lt;=TODAY()+3,"PRÓXIMO","EN TIEMPO"))))</x:f>
      </x:c>
      <x:c r="J41" s="161"/>
      <x:c r="K41" s="161"/>
      <x:c r="L41" s="161"/>
      <x:c r="M41" s="161"/>
      <x:c r="N41" s="161"/>
      <x:c r="O41" s="161"/>
      <x:c r="P41" s="161"/>
      <x:c r="Q41" s="161"/>
      <x:c r="R41" s="161"/>
      <x:c r="S41" s="161"/>
      <x:c r="T41" s="161"/>
      <x:c r="U41" s="161"/>
      <x:c r="V41" s="161"/>
      <x:c r="W41" s="161"/>
      <x:c r="X41" s="161"/>
      <x:c r="Y41" s="161"/>
      <x:c r="Z41" s="161"/>
    </x:row>
    <x:row r="42">
      <x:c r="A42" s="124"/>
      <x:c r="B42" s="108"/>
      <x:c r="C42" s="108"/>
      <x:c r="D42" s="108"/>
      <x:c r="E42" s="108"/>
      <x:c r="F42" s="108"/>
      <x:c r="G42" s="124"/>
      <x:c r="H42" s="108"/>
      <x:c r="I42" s="129" t="str">
        <x:f>IF(OR(G42="",H42=""),"",IF(H42="Completado","OK",IF(G42&lt;TODAY(),"VENCIDO",IF(G42&lt;=TODAY()+3,"PRÓXIMO","EN TIEMPO"))))</x:f>
      </x:c>
      <x:c r="J42" s="161"/>
      <x:c r="K42" s="161"/>
      <x:c r="L42" s="161"/>
      <x:c r="M42" s="161"/>
      <x:c r="N42" s="161"/>
      <x:c r="O42" s="161"/>
      <x:c r="P42" s="161"/>
      <x:c r="Q42" s="161"/>
      <x:c r="R42" s="161"/>
      <x:c r="S42" s="161"/>
      <x:c r="T42" s="161"/>
      <x:c r="U42" s="161"/>
      <x:c r="V42" s="161"/>
      <x:c r="W42" s="161"/>
      <x:c r="X42" s="161"/>
      <x:c r="Y42" s="161"/>
      <x:c r="Z42" s="161"/>
    </x:row>
    <x:row r="43">
      <x:c r="A43" s="124"/>
      <x:c r="B43" s="108"/>
      <x:c r="C43" s="108"/>
      <x:c r="D43" s="108"/>
      <x:c r="E43" s="108"/>
      <x:c r="F43" s="108"/>
      <x:c r="G43" s="124"/>
      <x:c r="H43" s="108"/>
      <x:c r="I43" s="129" t="str">
        <x:f>IF(OR(G43="",H43=""),"",IF(H43="Completado","OK",IF(G43&lt;TODAY(),"VENCIDO",IF(G43&lt;=TODAY()+3,"PRÓXIMO","EN TIEMPO"))))</x:f>
      </x:c>
      <x:c r="J43" s="161"/>
      <x:c r="K43" s="161"/>
      <x:c r="L43" s="161"/>
      <x:c r="M43" s="161"/>
      <x:c r="N43" s="161"/>
      <x:c r="O43" s="161"/>
      <x:c r="P43" s="161"/>
      <x:c r="Q43" s="161"/>
      <x:c r="R43" s="161"/>
      <x:c r="S43" s="161"/>
      <x:c r="T43" s="161"/>
      <x:c r="U43" s="161"/>
      <x:c r="V43" s="161"/>
      <x:c r="W43" s="161"/>
      <x:c r="X43" s="161"/>
      <x:c r="Y43" s="161"/>
      <x:c r="Z43" s="161"/>
    </x:row>
    <x:row r="44">
      <x:c r="A44" s="124"/>
      <x:c r="B44" s="108"/>
      <x:c r="C44" s="108"/>
      <x:c r="D44" s="108"/>
      <x:c r="E44" s="108"/>
      <x:c r="F44" s="108"/>
      <x:c r="G44" s="124"/>
      <x:c r="H44" s="108"/>
      <x:c r="I44" s="129" t="str">
        <x:f>IF(OR(G44="",H44=""),"",IF(H44="Completado","OK",IF(G44&lt;TODAY(),"VENCIDO",IF(G44&lt;=TODAY()+3,"PRÓXIMO","EN TIEMPO"))))</x:f>
      </x:c>
      <x:c r="J44" s="161"/>
      <x:c r="K44" s="161"/>
      <x:c r="L44" s="161"/>
      <x:c r="M44" s="161"/>
      <x:c r="N44" s="161"/>
      <x:c r="O44" s="161"/>
      <x:c r="P44" s="161"/>
      <x:c r="Q44" s="161"/>
      <x:c r="R44" s="161"/>
      <x:c r="S44" s="161"/>
      <x:c r="T44" s="161"/>
      <x:c r="U44" s="161"/>
      <x:c r="V44" s="161"/>
      <x:c r="W44" s="161"/>
      <x:c r="X44" s="161"/>
      <x:c r="Y44" s="161"/>
      <x:c r="Z44" s="161"/>
    </x:row>
    <x:row r="45">
      <x:c r="A45" s="124"/>
      <x:c r="B45" s="108"/>
      <x:c r="C45" s="108"/>
      <x:c r="D45" s="108"/>
      <x:c r="E45" s="108"/>
      <x:c r="F45" s="108"/>
      <x:c r="G45" s="124"/>
      <x:c r="H45" s="108"/>
      <x:c r="I45" s="129" t="str">
        <x:f>IF(OR(G45="",H45=""),"",IF(H45="Completado","OK",IF(G45&lt;TODAY(),"VENCIDO",IF(G45&lt;=TODAY()+3,"PRÓXIMO","EN TIEMPO"))))</x:f>
      </x:c>
      <x:c r="J45" s="161"/>
      <x:c r="K45" s="161"/>
      <x:c r="L45" s="161"/>
      <x:c r="M45" s="161"/>
      <x:c r="N45" s="161"/>
      <x:c r="O45" s="161"/>
      <x:c r="P45" s="161"/>
      <x:c r="Q45" s="161"/>
      <x:c r="R45" s="161"/>
      <x:c r="S45" s="161"/>
      <x:c r="T45" s="161"/>
      <x:c r="U45" s="161"/>
      <x:c r="V45" s="161"/>
      <x:c r="W45" s="161"/>
      <x:c r="X45" s="161"/>
      <x:c r="Y45" s="161"/>
      <x:c r="Z45" s="161"/>
    </x:row>
    <x:row r="46">
      <x:c r="A46" s="124"/>
      <x:c r="B46" s="108"/>
      <x:c r="C46" s="108"/>
      <x:c r="D46" s="108"/>
      <x:c r="E46" s="108"/>
      <x:c r="F46" s="108"/>
      <x:c r="G46" s="124"/>
      <x:c r="H46" s="108"/>
      <x:c r="I46" s="129" t="str">
        <x:f>IF(OR(G46="",H46=""),"",IF(H46="Completado","OK",IF(G46&lt;TODAY(),"VENCIDO",IF(G46&lt;=TODAY()+3,"PRÓXIMO","EN TIEMPO"))))</x:f>
      </x:c>
      <x:c r="J46" s="161"/>
      <x:c r="K46" s="161"/>
      <x:c r="L46" s="161"/>
      <x:c r="M46" s="161"/>
      <x:c r="N46" s="161"/>
      <x:c r="O46" s="161"/>
      <x:c r="P46" s="161"/>
      <x:c r="Q46" s="161"/>
      <x:c r="R46" s="161"/>
      <x:c r="S46" s="161"/>
      <x:c r="T46" s="161"/>
      <x:c r="U46" s="161"/>
      <x:c r="V46" s="161"/>
      <x:c r="W46" s="161"/>
      <x:c r="X46" s="161"/>
      <x:c r="Y46" s="161"/>
      <x:c r="Z46" s="161"/>
    </x:row>
    <x:row r="47">
      <x:c r="A47" s="124"/>
      <x:c r="B47" s="108"/>
      <x:c r="C47" s="108"/>
      <x:c r="D47" s="108"/>
      <x:c r="E47" s="108"/>
      <x:c r="F47" s="108"/>
      <x:c r="G47" s="124"/>
      <x:c r="H47" s="108"/>
      <x:c r="I47" s="129" t="str">
        <x:f>IF(OR(G47="",H47=""),"",IF(H47="Completado","OK",IF(G47&lt;TODAY(),"VENCIDO",IF(G47&lt;=TODAY()+3,"PRÓXIMO","EN TIEMPO"))))</x:f>
      </x:c>
      <x:c r="J47" s="161"/>
      <x:c r="K47" s="161"/>
      <x:c r="L47" s="161"/>
      <x:c r="M47" s="161"/>
      <x:c r="N47" s="161"/>
      <x:c r="O47" s="161"/>
      <x:c r="P47" s="161"/>
      <x:c r="Q47" s="161"/>
      <x:c r="R47" s="161"/>
      <x:c r="S47" s="161"/>
      <x:c r="T47" s="161"/>
      <x:c r="U47" s="161"/>
      <x:c r="V47" s="161"/>
      <x:c r="W47" s="161"/>
      <x:c r="X47" s="161"/>
      <x:c r="Y47" s="161"/>
      <x:c r="Z47" s="161"/>
    </x:row>
    <x:row r="48">
      <x:c r="A48" s="124"/>
      <x:c r="B48" s="108"/>
      <x:c r="C48" s="108"/>
      <x:c r="D48" s="108"/>
      <x:c r="E48" s="108"/>
      <x:c r="F48" s="108"/>
      <x:c r="G48" s="124"/>
      <x:c r="H48" s="108"/>
      <x:c r="I48" s="129" t="str">
        <x:f>IF(OR(G48="",H48=""),"",IF(H48="Completado","OK",IF(G48&lt;TODAY(),"VENCIDO",IF(G48&lt;=TODAY()+3,"PRÓXIMO","EN TIEMPO"))))</x:f>
      </x:c>
      <x:c r="J48" s="161"/>
      <x:c r="K48" s="161"/>
      <x:c r="L48" s="161"/>
      <x:c r="M48" s="161"/>
      <x:c r="N48" s="161"/>
      <x:c r="O48" s="161"/>
      <x:c r="P48" s="161"/>
      <x:c r="Q48" s="161"/>
      <x:c r="R48" s="161"/>
      <x:c r="S48" s="161"/>
      <x:c r="T48" s="161"/>
      <x:c r="U48" s="161"/>
      <x:c r="V48" s="161"/>
      <x:c r="W48" s="161"/>
      <x:c r="X48" s="161"/>
      <x:c r="Y48" s="161"/>
      <x:c r="Z48" s="161"/>
    </x:row>
    <x:row r="49">
      <x:c r="A49" s="124"/>
      <x:c r="B49" s="108"/>
      <x:c r="C49" s="108"/>
      <x:c r="D49" s="108"/>
      <x:c r="E49" s="108"/>
      <x:c r="F49" s="108"/>
      <x:c r="G49" s="124"/>
      <x:c r="H49" s="108"/>
      <x:c r="I49" s="129" t="str">
        <x:f>IF(OR(G49="",H49=""),"",IF(H49="Completado","OK",IF(G49&lt;TODAY(),"VENCIDO",IF(G49&lt;=TODAY()+3,"PRÓXIMO","EN TIEMPO"))))</x:f>
      </x:c>
      <x:c r="J49" s="161"/>
      <x:c r="K49" s="161"/>
      <x:c r="L49" s="161"/>
      <x:c r="M49" s="161"/>
      <x:c r="N49" s="161"/>
      <x:c r="O49" s="161"/>
      <x:c r="P49" s="161"/>
      <x:c r="Q49" s="161"/>
      <x:c r="R49" s="161"/>
      <x:c r="S49" s="161"/>
      <x:c r="T49" s="161"/>
      <x:c r="U49" s="161"/>
      <x:c r="V49" s="161"/>
      <x:c r="W49" s="161"/>
      <x:c r="X49" s="161"/>
      <x:c r="Y49" s="161"/>
      <x:c r="Z49" s="161"/>
    </x:row>
    <x:row r="50">
      <x:c r="A50" s="124"/>
      <x:c r="B50" s="108"/>
      <x:c r="C50" s="108"/>
      <x:c r="D50" s="108"/>
      <x:c r="E50" s="108"/>
      <x:c r="F50" s="108"/>
      <x:c r="G50" s="124"/>
      <x:c r="H50" s="108"/>
      <x:c r="I50" s="129" t="str">
        <x:f>IF(OR(G50="",H50=""),"",IF(H50="Completado","OK",IF(G50&lt;TODAY(),"VENCIDO",IF(G50&lt;=TODAY()+3,"PRÓXIMO","EN TIEMPO"))))</x:f>
      </x:c>
      <x:c r="J50" s="161"/>
      <x:c r="K50" s="161"/>
      <x:c r="L50" s="161"/>
      <x:c r="M50" s="161"/>
      <x:c r="N50" s="161"/>
      <x:c r="O50" s="161"/>
      <x:c r="P50" s="161"/>
      <x:c r="Q50" s="161"/>
      <x:c r="R50" s="161"/>
      <x:c r="S50" s="161"/>
      <x:c r="T50" s="161"/>
      <x:c r="U50" s="161"/>
      <x:c r="V50" s="161"/>
      <x:c r="W50" s="161"/>
      <x:c r="X50" s="161"/>
      <x:c r="Y50" s="161"/>
      <x:c r="Z50" s="161"/>
    </x:row>
    <x:row r="51">
      <x:c r="A51" s="124"/>
      <x:c r="B51" s="108"/>
      <x:c r="C51" s="108"/>
      <x:c r="D51" s="108"/>
      <x:c r="E51" s="108"/>
      <x:c r="F51" s="108"/>
      <x:c r="G51" s="124"/>
      <x:c r="H51" s="108"/>
      <x:c r="I51" s="129" t="str">
        <x:f>IF(OR(G51="",H51=""),"",IF(H51="Completado","OK",IF(G51&lt;TODAY(),"VENCIDO",IF(G51&lt;=TODAY()+3,"PRÓXIMO","EN TIEMPO"))))</x:f>
      </x:c>
      <x:c r="J51" s="161"/>
      <x:c r="K51" s="161"/>
      <x:c r="L51" s="161"/>
      <x:c r="M51" s="161"/>
      <x:c r="N51" s="161"/>
      <x:c r="O51" s="161"/>
      <x:c r="P51" s="161"/>
      <x:c r="Q51" s="161"/>
      <x:c r="R51" s="161"/>
      <x:c r="S51" s="161"/>
      <x:c r="T51" s="161"/>
      <x:c r="U51" s="161"/>
      <x:c r="V51" s="161"/>
      <x:c r="W51" s="161"/>
      <x:c r="X51" s="161"/>
      <x:c r="Y51" s="161"/>
      <x:c r="Z51" s="161"/>
    </x:row>
    <x:row r="52">
      <x:c r="A52" s="124"/>
      <x:c r="B52" s="108"/>
      <x:c r="C52" s="108"/>
      <x:c r="D52" s="108"/>
      <x:c r="E52" s="108"/>
      <x:c r="F52" s="108"/>
      <x:c r="G52" s="124"/>
      <x:c r="H52" s="108"/>
      <x:c r="I52" s="129" t="str">
        <x:f>IF(OR(G52="",H52=""),"",IF(H52="Completado","OK",IF(G52&lt;TODAY(),"VENCIDO",IF(G52&lt;=TODAY()+3,"PRÓXIMO","EN TIEMPO"))))</x:f>
      </x:c>
      <x:c r="J52" s="161"/>
      <x:c r="K52" s="161"/>
      <x:c r="L52" s="161"/>
      <x:c r="M52" s="161"/>
      <x:c r="N52" s="161"/>
      <x:c r="O52" s="161"/>
      <x:c r="P52" s="161"/>
      <x:c r="Q52" s="161"/>
      <x:c r="R52" s="161"/>
      <x:c r="S52" s="161"/>
      <x:c r="T52" s="161"/>
      <x:c r="U52" s="161"/>
      <x:c r="V52" s="161"/>
      <x:c r="W52" s="161"/>
      <x:c r="X52" s="161"/>
      <x:c r="Y52" s="161"/>
      <x:c r="Z52" s="161"/>
    </x:row>
    <x:row r="53">
      <x:c r="A53" s="124"/>
      <x:c r="B53" s="108"/>
      <x:c r="C53" s="108"/>
      <x:c r="D53" s="108"/>
      <x:c r="E53" s="108"/>
      <x:c r="F53" s="108"/>
      <x:c r="G53" s="124"/>
      <x:c r="H53" s="108"/>
      <x:c r="I53" s="129" t="str">
        <x:f>IF(OR(G53="",H53=""),"",IF(H53="Completado","OK",IF(G53&lt;TODAY(),"VENCIDO",IF(G53&lt;=TODAY()+3,"PRÓXIMO","EN TIEMPO"))))</x:f>
      </x:c>
      <x:c r="J53" s="161"/>
      <x:c r="K53" s="161"/>
      <x:c r="L53" s="161"/>
      <x:c r="M53" s="161"/>
      <x:c r="N53" s="161"/>
      <x:c r="O53" s="161"/>
      <x:c r="P53" s="161"/>
      <x:c r="Q53" s="161"/>
      <x:c r="R53" s="161"/>
      <x:c r="S53" s="161"/>
      <x:c r="T53" s="161"/>
      <x:c r="U53" s="161"/>
      <x:c r="V53" s="161"/>
      <x:c r="W53" s="161"/>
      <x:c r="X53" s="161"/>
      <x:c r="Y53" s="161"/>
      <x:c r="Z53" s="161"/>
    </x:row>
    <x:row r="54">
      <x:c r="A54" s="124"/>
      <x:c r="B54" s="108"/>
      <x:c r="C54" s="108"/>
      <x:c r="D54" s="108"/>
      <x:c r="E54" s="108"/>
      <x:c r="F54" s="108"/>
      <x:c r="G54" s="124"/>
      <x:c r="H54" s="108"/>
      <x:c r="I54" s="129" t="str">
        <x:f>IF(OR(G54="",H54=""),"",IF(H54="Completado","OK",IF(G54&lt;TODAY(),"VENCIDO",IF(G54&lt;=TODAY()+3,"PRÓXIMO","EN TIEMPO"))))</x:f>
      </x:c>
      <x:c r="J54" s="161"/>
      <x:c r="K54" s="161"/>
      <x:c r="L54" s="161"/>
      <x:c r="M54" s="161"/>
      <x:c r="N54" s="161"/>
      <x:c r="O54" s="161"/>
      <x:c r="P54" s="161"/>
      <x:c r="Q54" s="161"/>
      <x:c r="R54" s="161"/>
      <x:c r="S54" s="161"/>
      <x:c r="T54" s="161"/>
      <x:c r="U54" s="161"/>
      <x:c r="V54" s="161"/>
      <x:c r="W54" s="161"/>
      <x:c r="X54" s="161"/>
      <x:c r="Y54" s="161"/>
      <x:c r="Z54" s="161"/>
    </x:row>
    <x:row r="55">
      <x:c r="A55" s="124"/>
      <x:c r="B55" s="108"/>
      <x:c r="C55" s="108"/>
      <x:c r="D55" s="108"/>
      <x:c r="E55" s="108"/>
      <x:c r="F55" s="108"/>
      <x:c r="G55" s="124"/>
      <x:c r="H55" s="108"/>
      <x:c r="I55" s="129" t="str">
        <x:f>IF(OR(G55="",H55=""),"",IF(H55="Completado","OK",IF(G55&lt;TODAY(),"VENCIDO",IF(G55&lt;=TODAY()+3,"PRÓXIMO","EN TIEMPO"))))</x:f>
      </x:c>
      <x:c r="J55" s="161"/>
      <x:c r="K55" s="161"/>
      <x:c r="L55" s="161"/>
      <x:c r="M55" s="161"/>
      <x:c r="N55" s="161"/>
      <x:c r="O55" s="161"/>
      <x:c r="P55" s="161"/>
      <x:c r="Q55" s="161"/>
      <x:c r="R55" s="161"/>
      <x:c r="S55" s="161"/>
      <x:c r="T55" s="161"/>
      <x:c r="U55" s="161"/>
      <x:c r="V55" s="161"/>
      <x:c r="W55" s="161"/>
      <x:c r="X55" s="161"/>
      <x:c r="Y55" s="161"/>
      <x:c r="Z55" s="161"/>
    </x:row>
    <x:row r="56">
      <x:c r="A56" s="124"/>
      <x:c r="B56" s="108"/>
      <x:c r="C56" s="108"/>
      <x:c r="D56" s="108"/>
      <x:c r="E56" s="108"/>
      <x:c r="F56" s="108"/>
      <x:c r="G56" s="124"/>
      <x:c r="H56" s="108"/>
      <x:c r="I56" s="129" t="str">
        <x:f>IF(OR(G56="",H56=""),"",IF(H56="Completado","OK",IF(G56&lt;TODAY(),"VENCIDO",IF(G56&lt;=TODAY()+3,"PRÓXIMO","EN TIEMPO"))))</x:f>
      </x:c>
      <x:c r="J56" s="161"/>
      <x:c r="K56" s="161"/>
      <x:c r="L56" s="161"/>
      <x:c r="M56" s="161"/>
      <x:c r="N56" s="161"/>
      <x:c r="O56" s="161"/>
      <x:c r="P56" s="161"/>
      <x:c r="Q56" s="161"/>
      <x:c r="R56" s="161"/>
      <x:c r="S56" s="161"/>
      <x:c r="T56" s="161"/>
      <x:c r="U56" s="161"/>
      <x:c r="V56" s="161"/>
      <x:c r="W56" s="161"/>
      <x:c r="X56" s="161"/>
      <x:c r="Y56" s="161"/>
      <x:c r="Z56" s="161"/>
    </x:row>
    <x:row r="57">
      <x:c r="A57" s="124"/>
      <x:c r="B57" s="108"/>
      <x:c r="C57" s="108"/>
      <x:c r="D57" s="108"/>
      <x:c r="E57" s="108"/>
      <x:c r="F57" s="108"/>
      <x:c r="G57" s="124"/>
      <x:c r="H57" s="108"/>
      <x:c r="I57" s="129" t="str">
        <x:f>IF(OR(G57="",H57=""),"",IF(H57="Completado","OK",IF(G57&lt;TODAY(),"VENCIDO",IF(G57&lt;=TODAY()+3,"PRÓXIMO","EN TIEMPO"))))</x:f>
      </x:c>
      <x:c r="J57" s="161"/>
      <x:c r="K57" s="161"/>
      <x:c r="L57" s="161"/>
      <x:c r="M57" s="161"/>
      <x:c r="N57" s="161"/>
      <x:c r="O57" s="161"/>
      <x:c r="P57" s="161"/>
      <x:c r="Q57" s="161"/>
      <x:c r="R57" s="161"/>
      <x:c r="S57" s="161"/>
      <x:c r="T57" s="161"/>
      <x:c r="U57" s="161"/>
      <x:c r="V57" s="161"/>
      <x:c r="W57" s="161"/>
      <x:c r="X57" s="161"/>
      <x:c r="Y57" s="161"/>
      <x:c r="Z57" s="161"/>
    </x:row>
    <x:row r="58">
      <x:c r="A58" s="124"/>
      <x:c r="B58" s="108"/>
      <x:c r="C58" s="108"/>
      <x:c r="D58" s="108"/>
      <x:c r="E58" s="108"/>
      <x:c r="F58" s="108"/>
      <x:c r="G58" s="124"/>
      <x:c r="H58" s="108"/>
      <x:c r="I58" s="129" t="str">
        <x:f>IF(OR(G58="",H58=""),"",IF(H58="Completado","OK",IF(G58&lt;TODAY(),"VENCIDO",IF(G58&lt;=TODAY()+3,"PRÓXIMO","EN TIEMPO"))))</x:f>
      </x:c>
      <x:c r="J58" s="161"/>
      <x:c r="K58" s="161"/>
      <x:c r="L58" s="161"/>
      <x:c r="M58" s="161"/>
      <x:c r="N58" s="161"/>
      <x:c r="O58" s="161"/>
      <x:c r="P58" s="161"/>
      <x:c r="Q58" s="161"/>
      <x:c r="R58" s="161"/>
      <x:c r="S58" s="161"/>
      <x:c r="T58" s="161"/>
      <x:c r="U58" s="161"/>
      <x:c r="V58" s="161"/>
      <x:c r="W58" s="161"/>
      <x:c r="X58" s="161"/>
      <x:c r="Y58" s="161"/>
      <x:c r="Z58" s="161"/>
    </x:row>
    <x:row r="59">
      <x:c r="A59" s="124"/>
      <x:c r="B59" s="108"/>
      <x:c r="C59" s="108"/>
      <x:c r="D59" s="108"/>
      <x:c r="E59" s="108"/>
      <x:c r="F59" s="108"/>
      <x:c r="G59" s="124"/>
      <x:c r="H59" s="108"/>
      <x:c r="I59" s="129" t="str">
        <x:f>IF(OR(G59="",H59=""),"",IF(H59="Completado","OK",IF(G59&lt;TODAY(),"VENCIDO",IF(G59&lt;=TODAY()+3,"PRÓXIMO","EN TIEMPO"))))</x:f>
      </x:c>
      <x:c r="J59" s="161"/>
      <x:c r="K59" s="161"/>
      <x:c r="L59" s="161"/>
      <x:c r="M59" s="161"/>
      <x:c r="N59" s="161"/>
      <x:c r="O59" s="161"/>
      <x:c r="P59" s="161"/>
      <x:c r="Q59" s="161"/>
      <x:c r="R59" s="161"/>
      <x:c r="S59" s="161"/>
      <x:c r="T59" s="161"/>
      <x:c r="U59" s="161"/>
      <x:c r="V59" s="161"/>
      <x:c r="W59" s="161"/>
      <x:c r="X59" s="161"/>
      <x:c r="Y59" s="161"/>
      <x:c r="Z59" s="161"/>
    </x:row>
    <x:row r="60">
      <x:c r="A60" s="124"/>
      <x:c r="B60" s="108"/>
      <x:c r="C60" s="108"/>
      <x:c r="D60" s="108"/>
      <x:c r="E60" s="108"/>
      <x:c r="F60" s="108"/>
      <x:c r="G60" s="124"/>
      <x:c r="H60" s="108"/>
      <x:c r="I60" s="129" t="str">
        <x:f>IF(OR(G60="",H60=""),"",IF(H60="Completado","OK",IF(G60&lt;TODAY(),"VENCIDO",IF(G60&lt;=TODAY()+3,"PRÓXIMO","EN TIEMPO"))))</x:f>
      </x:c>
      <x:c r="J60" s="161"/>
      <x:c r="K60" s="161"/>
      <x:c r="L60" s="161"/>
      <x:c r="M60" s="161"/>
      <x:c r="N60" s="161"/>
      <x:c r="O60" s="161"/>
      <x:c r="P60" s="161"/>
      <x:c r="Q60" s="161"/>
      <x:c r="R60" s="161"/>
      <x:c r="S60" s="161"/>
      <x:c r="T60" s="161"/>
      <x:c r="U60" s="161"/>
      <x:c r="V60" s="161"/>
      <x:c r="W60" s="161"/>
      <x:c r="X60" s="161"/>
      <x:c r="Y60" s="161"/>
      <x:c r="Z60" s="161"/>
    </x:row>
    <x:row r="61">
      <x:c r="A61" s="124"/>
      <x:c r="B61" s="108"/>
      <x:c r="C61" s="108"/>
      <x:c r="D61" s="108"/>
      <x:c r="E61" s="108"/>
      <x:c r="F61" s="108"/>
      <x:c r="G61" s="124"/>
      <x:c r="H61" s="108"/>
      <x:c r="I61" s="129" t="str">
        <x:f>IF(OR(G61="",H61=""),"",IF(H61="Completado","OK",IF(G61&lt;TODAY(),"VENCIDO",IF(G61&lt;=TODAY()+3,"PRÓXIMO","EN TIEMPO"))))</x:f>
      </x:c>
      <x:c r="J61" s="161"/>
      <x:c r="K61" s="161"/>
      <x:c r="L61" s="161"/>
      <x:c r="M61" s="161"/>
      <x:c r="N61" s="161"/>
      <x:c r="O61" s="161"/>
      <x:c r="P61" s="161"/>
      <x:c r="Q61" s="161"/>
      <x:c r="R61" s="161"/>
      <x:c r="S61" s="161"/>
      <x:c r="T61" s="161"/>
      <x:c r="U61" s="161"/>
      <x:c r="V61" s="161"/>
      <x:c r="W61" s="161"/>
      <x:c r="X61" s="161"/>
      <x:c r="Y61" s="161"/>
      <x:c r="Z61" s="161"/>
    </x:row>
    <x:row r="62">
      <x:c r="A62" s="124"/>
      <x:c r="B62" s="108"/>
      <x:c r="C62" s="108"/>
      <x:c r="D62" s="108"/>
      <x:c r="E62" s="108"/>
      <x:c r="F62" s="108"/>
      <x:c r="G62" s="124"/>
      <x:c r="H62" s="108"/>
      <x:c r="I62" s="129" t="str">
        <x:f>IF(OR(G62="",H62=""),"",IF(H62="Completado","OK",IF(G62&lt;TODAY(),"VENCIDO",IF(G62&lt;=TODAY()+3,"PRÓXIMO","EN TIEMPO"))))</x:f>
      </x:c>
      <x:c r="J62" s="161"/>
      <x:c r="K62" s="161"/>
      <x:c r="L62" s="161"/>
      <x:c r="M62" s="161"/>
      <x:c r="N62" s="161"/>
      <x:c r="O62" s="161"/>
      <x:c r="P62" s="161"/>
      <x:c r="Q62" s="161"/>
      <x:c r="R62" s="161"/>
      <x:c r="S62" s="161"/>
      <x:c r="T62" s="161"/>
      <x:c r="U62" s="161"/>
      <x:c r="V62" s="161"/>
      <x:c r="W62" s="161"/>
      <x:c r="X62" s="161"/>
      <x:c r="Y62" s="161"/>
      <x:c r="Z62" s="161"/>
    </x:row>
    <x:row r="63">
      <x:c r="A63" s="124"/>
      <x:c r="B63" s="108"/>
      <x:c r="C63" s="108"/>
      <x:c r="D63" s="108"/>
      <x:c r="E63" s="108"/>
      <x:c r="F63" s="108"/>
      <x:c r="G63" s="124"/>
      <x:c r="H63" s="108"/>
      <x:c r="I63" s="129" t="str">
        <x:f>IF(OR(G63="",H63=""),"",IF(H63="Completado","OK",IF(G63&lt;TODAY(),"VENCIDO",IF(G63&lt;=TODAY()+3,"PRÓXIMO","EN TIEMPO"))))</x:f>
      </x:c>
      <x:c r="J63" s="161"/>
      <x:c r="K63" s="161"/>
      <x:c r="L63" s="161"/>
      <x:c r="M63" s="161"/>
      <x:c r="N63" s="161"/>
      <x:c r="O63" s="161"/>
      <x:c r="P63" s="161"/>
      <x:c r="Q63" s="161"/>
      <x:c r="R63" s="161"/>
      <x:c r="S63" s="161"/>
      <x:c r="T63" s="161"/>
      <x:c r="U63" s="161"/>
      <x:c r="V63" s="161"/>
      <x:c r="W63" s="161"/>
      <x:c r="X63" s="161"/>
      <x:c r="Y63" s="161"/>
      <x:c r="Z63" s="161"/>
    </x:row>
    <x:row r="64">
      <x:c r="A64" s="124"/>
      <x:c r="B64" s="108"/>
      <x:c r="C64" s="108"/>
      <x:c r="D64" s="108"/>
      <x:c r="E64" s="108"/>
      <x:c r="F64" s="108"/>
      <x:c r="G64" s="124"/>
      <x:c r="H64" s="108"/>
      <x:c r="I64" s="129" t="str">
        <x:f>IF(OR(G64="",H64=""),"",IF(H64="Completado","OK",IF(G64&lt;TODAY(),"VENCIDO",IF(G64&lt;=TODAY()+3,"PRÓXIMO","EN TIEMPO"))))</x:f>
      </x:c>
      <x:c r="J64" s="161"/>
      <x:c r="K64" s="161"/>
      <x:c r="L64" s="161"/>
      <x:c r="M64" s="161"/>
      <x:c r="N64" s="161"/>
      <x:c r="O64" s="161"/>
      <x:c r="P64" s="161"/>
      <x:c r="Q64" s="161"/>
      <x:c r="R64" s="161"/>
      <x:c r="S64" s="161"/>
      <x:c r="T64" s="161"/>
      <x:c r="U64" s="161"/>
      <x:c r="V64" s="161"/>
      <x:c r="W64" s="161"/>
      <x:c r="X64" s="161"/>
      <x:c r="Y64" s="161"/>
      <x:c r="Z64" s="161"/>
    </x:row>
    <x:row r="65">
      <x:c r="A65" s="124"/>
      <x:c r="B65" s="108"/>
      <x:c r="C65" s="108"/>
      <x:c r="D65" s="108"/>
      <x:c r="E65" s="108"/>
      <x:c r="F65" s="108"/>
      <x:c r="G65" s="124"/>
      <x:c r="H65" s="108"/>
      <x:c r="I65" s="129" t="str">
        <x:f>IF(OR(G65="",H65=""),"",IF(H65="Completado","OK",IF(G65&lt;TODAY(),"VENCIDO",IF(G65&lt;=TODAY()+3,"PRÓXIMO","EN TIEMPO"))))</x:f>
      </x:c>
      <x:c r="J65" s="161"/>
      <x:c r="K65" s="161"/>
      <x:c r="L65" s="161"/>
      <x:c r="M65" s="161"/>
      <x:c r="N65" s="161"/>
      <x:c r="O65" s="161"/>
      <x:c r="P65" s="161"/>
      <x:c r="Q65" s="161"/>
      <x:c r="R65" s="161"/>
      <x:c r="S65" s="161"/>
      <x:c r="T65" s="161"/>
      <x:c r="U65" s="161"/>
      <x:c r="V65" s="161"/>
      <x:c r="W65" s="161"/>
      <x:c r="X65" s="161"/>
      <x:c r="Y65" s="161"/>
      <x:c r="Z65" s="161"/>
    </x:row>
    <x:row r="66">
      <x:c r="A66" s="124"/>
      <x:c r="B66" s="108"/>
      <x:c r="C66" s="108"/>
      <x:c r="D66" s="108"/>
      <x:c r="E66" s="108"/>
      <x:c r="F66" s="108"/>
      <x:c r="G66" s="124"/>
      <x:c r="H66" s="108"/>
      <x:c r="I66" s="129" t="str">
        <x:f>IF(OR(G66="",H66=""),"",IF(H66="Completado","OK",IF(G66&lt;TODAY(),"VENCIDO",IF(G66&lt;=TODAY()+3,"PRÓXIMO","EN TIEMPO"))))</x:f>
      </x:c>
      <x:c r="J66" s="161"/>
      <x:c r="K66" s="161"/>
      <x:c r="L66" s="161"/>
      <x:c r="M66" s="161"/>
      <x:c r="N66" s="161"/>
      <x:c r="O66" s="161"/>
      <x:c r="P66" s="161"/>
      <x:c r="Q66" s="161"/>
      <x:c r="R66" s="161"/>
      <x:c r="S66" s="161"/>
      <x:c r="T66" s="161"/>
      <x:c r="U66" s="161"/>
      <x:c r="V66" s="161"/>
      <x:c r="W66" s="161"/>
      <x:c r="X66" s="161"/>
      <x:c r="Y66" s="161"/>
      <x:c r="Z66" s="161"/>
    </x:row>
    <x:row r="67">
      <x:c r="A67" s="124"/>
      <x:c r="B67" s="108"/>
      <x:c r="C67" s="108"/>
      <x:c r="D67" s="108"/>
      <x:c r="E67" s="108"/>
      <x:c r="F67" s="108"/>
      <x:c r="G67" s="124"/>
      <x:c r="H67" s="108"/>
      <x:c r="I67" s="129" t="str">
        <x:f>IF(OR(G67="",H67=""),"",IF(H67="Completado","OK",IF(G67&lt;TODAY(),"VENCIDO",IF(G67&lt;=TODAY()+3,"PRÓXIMO","EN TIEMPO"))))</x:f>
      </x:c>
      <x:c r="J67" s="161"/>
      <x:c r="K67" s="161"/>
      <x:c r="L67" s="161"/>
      <x:c r="M67" s="161"/>
      <x:c r="N67" s="161"/>
      <x:c r="O67" s="161"/>
      <x:c r="P67" s="161"/>
      <x:c r="Q67" s="161"/>
      <x:c r="R67" s="161"/>
      <x:c r="S67" s="161"/>
      <x:c r="T67" s="161"/>
      <x:c r="U67" s="161"/>
      <x:c r="V67" s="161"/>
      <x:c r="W67" s="161"/>
      <x:c r="X67" s="161"/>
      <x:c r="Y67" s="161"/>
      <x:c r="Z67" s="161"/>
    </x:row>
    <x:row r="68">
      <x:c r="A68" s="124"/>
      <x:c r="B68" s="108"/>
      <x:c r="C68" s="108"/>
      <x:c r="D68" s="108"/>
      <x:c r="E68" s="108"/>
      <x:c r="F68" s="108"/>
      <x:c r="G68" s="124"/>
      <x:c r="H68" s="108"/>
      <x:c r="I68" s="129" t="str">
        <x:f>IF(OR(G68="",H68=""),"",IF(H68="Completado","OK",IF(G68&lt;TODAY(),"VENCIDO",IF(G68&lt;=TODAY()+3,"PRÓXIMO","EN TIEMPO"))))</x:f>
      </x:c>
      <x:c r="J68" s="161"/>
      <x:c r="K68" s="161"/>
      <x:c r="L68" s="161"/>
      <x:c r="M68" s="161"/>
      <x:c r="N68" s="161"/>
      <x:c r="O68" s="161"/>
      <x:c r="P68" s="161"/>
      <x:c r="Q68" s="161"/>
      <x:c r="R68" s="161"/>
      <x:c r="S68" s="161"/>
      <x:c r="T68" s="161"/>
      <x:c r="U68" s="161"/>
      <x:c r="V68" s="161"/>
      <x:c r="W68" s="161"/>
      <x:c r="X68" s="161"/>
      <x:c r="Y68" s="161"/>
      <x:c r="Z68" s="161"/>
    </x:row>
    <x:row r="69">
      <x:c r="A69" s="124"/>
      <x:c r="B69" s="108"/>
      <x:c r="C69" s="108"/>
      <x:c r="D69" s="108"/>
      <x:c r="E69" s="108"/>
      <x:c r="F69" s="108"/>
      <x:c r="G69" s="124"/>
      <x:c r="H69" s="108"/>
      <x:c r="I69" s="129" t="str">
        <x:f>IF(OR(G69="",H69=""),"",IF(H69="Completado","OK",IF(G69&lt;TODAY(),"VENCIDO",IF(G69&lt;=TODAY()+3,"PRÓXIMO","EN TIEMPO"))))</x:f>
      </x:c>
      <x:c r="J69" s="161"/>
      <x:c r="K69" s="161"/>
      <x:c r="L69" s="161"/>
      <x:c r="M69" s="161"/>
      <x:c r="N69" s="161"/>
      <x:c r="O69" s="161"/>
      <x:c r="P69" s="161"/>
      <x:c r="Q69" s="161"/>
      <x:c r="R69" s="161"/>
      <x:c r="S69" s="161"/>
      <x:c r="T69" s="161"/>
      <x:c r="U69" s="161"/>
      <x:c r="V69" s="161"/>
      <x:c r="W69" s="161"/>
      <x:c r="X69" s="161"/>
      <x:c r="Y69" s="161"/>
      <x:c r="Z69" s="161"/>
    </x:row>
    <x:row r="70">
      <x:c r="A70" s="124"/>
      <x:c r="B70" s="108"/>
      <x:c r="C70" s="108"/>
      <x:c r="D70" s="108"/>
      <x:c r="E70" s="108"/>
      <x:c r="F70" s="108"/>
      <x:c r="G70" s="124"/>
      <x:c r="H70" s="108"/>
      <x:c r="I70" s="129" t="str">
        <x:f>IF(OR(G70="",H70=""),"",IF(H70="Completado","OK",IF(G70&lt;TODAY(),"VENCIDO",IF(G70&lt;=TODAY()+3,"PRÓXIMO","EN TIEMPO"))))</x:f>
      </x:c>
      <x:c r="J70" s="161"/>
      <x:c r="K70" s="161"/>
      <x:c r="L70" s="161"/>
      <x:c r="M70" s="161"/>
      <x:c r="N70" s="161"/>
      <x:c r="O70" s="161"/>
      <x:c r="P70" s="161"/>
      <x:c r="Q70" s="161"/>
      <x:c r="R70" s="161"/>
      <x:c r="S70" s="161"/>
      <x:c r="T70" s="161"/>
      <x:c r="U70" s="161"/>
      <x:c r="V70" s="161"/>
      <x:c r="W70" s="161"/>
      <x:c r="X70" s="161"/>
      <x:c r="Y70" s="161"/>
      <x:c r="Z70" s="161"/>
    </x:row>
    <x:row r="71">
      <x:c r="A71" s="124"/>
      <x:c r="B71" s="108"/>
      <x:c r="C71" s="108"/>
      <x:c r="D71" s="108"/>
      <x:c r="E71" s="108"/>
      <x:c r="F71" s="108"/>
      <x:c r="G71" s="124"/>
      <x:c r="H71" s="108"/>
      <x:c r="I71" s="129" t="str">
        <x:f>IF(OR(G71="",H71=""),"",IF(H71="Completado","OK",IF(G71&lt;TODAY(),"VENCIDO",IF(G71&lt;=TODAY()+3,"PRÓXIMO","EN TIEMPO"))))</x:f>
      </x:c>
      <x:c r="J71" s="161"/>
      <x:c r="K71" s="161"/>
      <x:c r="L71" s="161"/>
      <x:c r="M71" s="161"/>
      <x:c r="N71" s="161"/>
      <x:c r="O71" s="161"/>
      <x:c r="P71" s="161"/>
      <x:c r="Q71" s="161"/>
      <x:c r="R71" s="161"/>
      <x:c r="S71" s="161"/>
      <x:c r="T71" s="161"/>
      <x:c r="U71" s="161"/>
      <x:c r="V71" s="161"/>
      <x:c r="W71" s="161"/>
      <x:c r="X71" s="161"/>
      <x:c r="Y71" s="161"/>
      <x:c r="Z71" s="161"/>
    </x:row>
    <x:row r="72">
      <x:c r="A72" s="124"/>
      <x:c r="B72" s="108"/>
      <x:c r="C72" s="108"/>
      <x:c r="D72" s="108"/>
      <x:c r="E72" s="108"/>
      <x:c r="F72" s="108"/>
      <x:c r="G72" s="124"/>
      <x:c r="H72" s="108"/>
      <x:c r="I72" s="129" t="str">
        <x:f>IF(OR(G72="",H72=""),"",IF(H72="Completado","OK",IF(G72&lt;TODAY(),"VENCIDO",IF(G72&lt;=TODAY()+3,"PRÓXIMO","EN TIEMPO"))))</x:f>
      </x:c>
      <x:c r="J72" s="161"/>
      <x:c r="K72" s="161"/>
      <x:c r="L72" s="161"/>
      <x:c r="M72" s="161"/>
      <x:c r="N72" s="161"/>
      <x:c r="O72" s="161"/>
      <x:c r="P72" s="161"/>
      <x:c r="Q72" s="161"/>
      <x:c r="R72" s="161"/>
      <x:c r="S72" s="161"/>
      <x:c r="T72" s="161"/>
      <x:c r="U72" s="161"/>
      <x:c r="V72" s="161"/>
      <x:c r="W72" s="161"/>
      <x:c r="X72" s="161"/>
      <x:c r="Y72" s="161"/>
      <x:c r="Z72" s="161"/>
    </x:row>
    <x:row r="73">
      <x:c r="A73" s="124"/>
      <x:c r="B73" s="108"/>
      <x:c r="C73" s="108"/>
      <x:c r="D73" s="108"/>
      <x:c r="E73" s="108"/>
      <x:c r="F73" s="108"/>
      <x:c r="G73" s="124"/>
      <x:c r="H73" s="108"/>
      <x:c r="I73" s="129" t="str">
        <x:f>IF(OR(G73="",H73=""),"",IF(H73="Completado","OK",IF(G73&lt;TODAY(),"VENCIDO",IF(G73&lt;=TODAY()+3,"PRÓXIMO","EN TIEMPO"))))</x:f>
      </x:c>
      <x:c r="J73" s="161"/>
      <x:c r="K73" s="161"/>
      <x:c r="L73" s="161"/>
      <x:c r="M73" s="161"/>
      <x:c r="N73" s="161"/>
      <x:c r="O73" s="161"/>
      <x:c r="P73" s="161"/>
      <x:c r="Q73" s="161"/>
      <x:c r="R73" s="161"/>
      <x:c r="S73" s="161"/>
      <x:c r="T73" s="161"/>
      <x:c r="U73" s="161"/>
      <x:c r="V73" s="161"/>
      <x:c r="W73" s="161"/>
      <x:c r="X73" s="161"/>
      <x:c r="Y73" s="161"/>
      <x:c r="Z73" s="161"/>
    </x:row>
    <x:row r="74">
      <x:c r="A74" s="124"/>
      <x:c r="B74" s="108"/>
      <x:c r="C74" s="108"/>
      <x:c r="D74" s="108"/>
      <x:c r="E74" s="108"/>
      <x:c r="F74" s="108"/>
      <x:c r="G74" s="124"/>
      <x:c r="H74" s="108"/>
      <x:c r="I74" s="129" t="str">
        <x:f>IF(OR(G74="",H74=""),"",IF(H74="Completado","OK",IF(G74&lt;TODAY(),"VENCIDO",IF(G74&lt;=TODAY()+3,"PRÓXIMO","EN TIEMPO"))))</x:f>
      </x:c>
      <x:c r="J74" s="161"/>
      <x:c r="K74" s="161"/>
      <x:c r="L74" s="161"/>
      <x:c r="M74" s="161"/>
      <x:c r="N74" s="161"/>
      <x:c r="O74" s="161"/>
      <x:c r="P74" s="161"/>
      <x:c r="Q74" s="161"/>
      <x:c r="R74" s="161"/>
      <x:c r="S74" s="161"/>
      <x:c r="T74" s="161"/>
      <x:c r="U74" s="161"/>
      <x:c r="V74" s="161"/>
      <x:c r="W74" s="161"/>
      <x:c r="X74" s="161"/>
      <x:c r="Y74" s="161"/>
      <x:c r="Z74" s="161"/>
    </x:row>
    <x:row r="75">
      <x:c r="A75" s="124"/>
      <x:c r="B75" s="108"/>
      <x:c r="C75" s="108"/>
      <x:c r="D75" s="108"/>
      <x:c r="E75" s="108"/>
      <x:c r="F75" s="108"/>
      <x:c r="G75" s="124"/>
      <x:c r="H75" s="108"/>
      <x:c r="I75" s="129" t="str">
        <x:f>IF(OR(G75="",H75=""),"",IF(H75="Completado","OK",IF(G75&lt;TODAY(),"VENCIDO",IF(G75&lt;=TODAY()+3,"PRÓXIMO","EN TIEMPO"))))</x:f>
      </x:c>
      <x:c r="J75" s="161"/>
      <x:c r="K75" s="161"/>
      <x:c r="L75" s="161"/>
      <x:c r="M75" s="161"/>
      <x:c r="N75" s="161"/>
      <x:c r="O75" s="161"/>
      <x:c r="P75" s="161"/>
      <x:c r="Q75" s="161"/>
      <x:c r="R75" s="161"/>
      <x:c r="S75" s="161"/>
      <x:c r="T75" s="161"/>
      <x:c r="U75" s="161"/>
      <x:c r="V75" s="161"/>
      <x:c r="W75" s="161"/>
      <x:c r="X75" s="161"/>
      <x:c r="Y75" s="161"/>
      <x:c r="Z75" s="161"/>
    </x:row>
    <x:row r="76">
      <x:c r="A76" s="124"/>
      <x:c r="B76" s="108"/>
      <x:c r="C76" s="108"/>
      <x:c r="D76" s="108"/>
      <x:c r="E76" s="108"/>
      <x:c r="F76" s="108"/>
      <x:c r="G76" s="124"/>
      <x:c r="H76" s="108"/>
      <x:c r="I76" s="129" t="str">
        <x:f>IF(OR(G76="",H76=""),"",IF(H76="Completado","OK",IF(G76&lt;TODAY(),"VENCIDO",IF(G76&lt;=TODAY()+3,"PRÓXIMO","EN TIEMPO"))))</x:f>
      </x:c>
      <x:c r="J76" s="161"/>
      <x:c r="K76" s="161"/>
      <x:c r="L76" s="161"/>
      <x:c r="M76" s="161"/>
      <x:c r="N76" s="161"/>
      <x:c r="O76" s="161"/>
      <x:c r="P76" s="161"/>
      <x:c r="Q76" s="161"/>
      <x:c r="R76" s="161"/>
      <x:c r="S76" s="161"/>
      <x:c r="T76" s="161"/>
      <x:c r="U76" s="161"/>
      <x:c r="V76" s="161"/>
      <x:c r="W76" s="161"/>
      <x:c r="X76" s="161"/>
      <x:c r="Y76" s="161"/>
      <x:c r="Z76" s="161"/>
    </x:row>
    <x:row r="77">
      <x:c r="A77" s="124"/>
      <x:c r="B77" s="108"/>
      <x:c r="C77" s="108"/>
      <x:c r="D77" s="108"/>
      <x:c r="E77" s="108"/>
      <x:c r="F77" s="108"/>
      <x:c r="G77" s="124"/>
      <x:c r="H77" s="108"/>
      <x:c r="I77" s="129" t="str">
        <x:f>IF(OR(G77="",H77=""),"",IF(H77="Completado","OK",IF(G77&lt;TODAY(),"VENCIDO",IF(G77&lt;=TODAY()+3,"PRÓXIMO","EN TIEMPO"))))</x:f>
      </x:c>
      <x:c r="J77" s="161"/>
      <x:c r="K77" s="161"/>
      <x:c r="L77" s="161"/>
      <x:c r="M77" s="161"/>
      <x:c r="N77" s="161"/>
      <x:c r="O77" s="161"/>
      <x:c r="P77" s="161"/>
      <x:c r="Q77" s="161"/>
      <x:c r="R77" s="161"/>
      <x:c r="S77" s="161"/>
      <x:c r="T77" s="161"/>
      <x:c r="U77" s="161"/>
      <x:c r="V77" s="161"/>
      <x:c r="W77" s="161"/>
      <x:c r="X77" s="161"/>
      <x:c r="Y77" s="161"/>
      <x:c r="Z77" s="161"/>
    </x:row>
    <x:row r="78">
      <x:c r="A78" s="124"/>
      <x:c r="B78" s="108"/>
      <x:c r="C78" s="108"/>
      <x:c r="D78" s="108"/>
      <x:c r="E78" s="108"/>
      <x:c r="F78" s="108"/>
      <x:c r="G78" s="124"/>
      <x:c r="H78" s="108"/>
      <x:c r="I78" s="129" t="str">
        <x:f>IF(OR(G78="",H78=""),"",IF(H78="Completado","OK",IF(G78&lt;TODAY(),"VENCIDO",IF(G78&lt;=TODAY()+3,"PRÓXIMO","EN TIEMPO"))))</x:f>
      </x:c>
      <x:c r="J78" s="161"/>
      <x:c r="K78" s="161"/>
      <x:c r="L78" s="161"/>
      <x:c r="M78" s="161"/>
      <x:c r="N78" s="161"/>
      <x:c r="O78" s="161"/>
      <x:c r="P78" s="161"/>
      <x:c r="Q78" s="161"/>
      <x:c r="R78" s="161"/>
      <x:c r="S78" s="161"/>
      <x:c r="T78" s="161"/>
      <x:c r="U78" s="161"/>
      <x:c r="V78" s="161"/>
      <x:c r="W78" s="161"/>
      <x:c r="X78" s="161"/>
      <x:c r="Y78" s="161"/>
      <x:c r="Z78" s="161"/>
    </x:row>
    <x:row r="79">
      <x:c r="A79" s="124"/>
      <x:c r="B79" s="108"/>
      <x:c r="C79" s="108"/>
      <x:c r="D79" s="108"/>
      <x:c r="E79" s="108"/>
      <x:c r="F79" s="108"/>
      <x:c r="G79" s="124"/>
      <x:c r="H79" s="108"/>
      <x:c r="I79" s="129" t="str">
        <x:f>IF(OR(G79="",H79=""),"",IF(H79="Completado","OK",IF(G79&lt;TODAY(),"VENCIDO",IF(G79&lt;=TODAY()+3,"PRÓXIMO","EN TIEMPO"))))</x:f>
      </x:c>
      <x:c r="J79" s="161"/>
      <x:c r="K79" s="161"/>
      <x:c r="L79" s="161"/>
      <x:c r="M79" s="161"/>
      <x:c r="N79" s="161"/>
      <x:c r="O79" s="161"/>
      <x:c r="P79" s="161"/>
      <x:c r="Q79" s="161"/>
      <x:c r="R79" s="161"/>
      <x:c r="S79" s="161"/>
      <x:c r="T79" s="161"/>
      <x:c r="U79" s="161"/>
      <x:c r="V79" s="161"/>
      <x:c r="W79" s="161"/>
      <x:c r="X79" s="161"/>
      <x:c r="Y79" s="161"/>
      <x:c r="Z79" s="161"/>
    </x:row>
    <x:row r="80">
      <x:c r="A80" s="124"/>
      <x:c r="B80" s="108"/>
      <x:c r="C80" s="108"/>
      <x:c r="D80" s="108"/>
      <x:c r="E80" s="108"/>
      <x:c r="F80" s="108"/>
      <x:c r="G80" s="124"/>
      <x:c r="H80" s="108"/>
      <x:c r="I80" s="129" t="str">
        <x:f>IF(OR(G80="",H80=""),"",IF(H80="Completado","OK",IF(G80&lt;TODAY(),"VENCIDO",IF(G80&lt;=TODAY()+3,"PRÓXIMO","EN TIEMPO"))))</x:f>
      </x:c>
      <x:c r="J80" s="161"/>
      <x:c r="K80" s="161"/>
      <x:c r="L80" s="161"/>
      <x:c r="M80" s="161"/>
      <x:c r="N80" s="161"/>
      <x:c r="O80" s="161"/>
      <x:c r="P80" s="161"/>
      <x:c r="Q80" s="161"/>
      <x:c r="R80" s="161"/>
      <x:c r="S80" s="161"/>
      <x:c r="T80" s="161"/>
      <x:c r="U80" s="161"/>
      <x:c r="V80" s="161"/>
      <x:c r="W80" s="161"/>
      <x:c r="X80" s="161"/>
      <x:c r="Y80" s="161"/>
      <x:c r="Z80" s="161"/>
    </x:row>
    <x:row r="81">
      <x:c r="A81" s="124"/>
      <x:c r="B81" s="108"/>
      <x:c r="C81" s="108"/>
      <x:c r="D81" s="108"/>
      <x:c r="E81" s="108"/>
      <x:c r="F81" s="108"/>
      <x:c r="G81" s="124"/>
      <x:c r="H81" s="108"/>
      <x:c r="I81" s="129" t="str">
        <x:f>IF(OR(G81="",H81=""),"",IF(H81="Completado","OK",IF(G81&lt;TODAY(),"VENCIDO",IF(G81&lt;=TODAY()+3,"PRÓXIMO","EN TIEMPO"))))</x:f>
      </x:c>
      <x:c r="J81" s="161"/>
      <x:c r="K81" s="161"/>
      <x:c r="L81" s="161"/>
      <x:c r="M81" s="161"/>
      <x:c r="N81" s="161"/>
      <x:c r="O81" s="161"/>
      <x:c r="P81" s="161"/>
      <x:c r="Q81" s="161"/>
      <x:c r="R81" s="161"/>
      <x:c r="S81" s="161"/>
      <x:c r="T81" s="161"/>
      <x:c r="U81" s="161"/>
      <x:c r="V81" s="161"/>
      <x:c r="W81" s="161"/>
      <x:c r="X81" s="161"/>
      <x:c r="Y81" s="161"/>
      <x:c r="Z81" s="161"/>
    </x:row>
    <x:row r="82">
      <x:c r="A82" s="124"/>
      <x:c r="B82" s="108"/>
      <x:c r="C82" s="108"/>
      <x:c r="D82" s="108"/>
      <x:c r="E82" s="108"/>
      <x:c r="F82" s="108"/>
      <x:c r="G82" s="124"/>
      <x:c r="H82" s="108"/>
      <x:c r="I82" s="129" t="str">
        <x:f>IF(OR(G82="",H82=""),"",IF(H82="Completado","OK",IF(G82&lt;TODAY(),"VENCIDO",IF(G82&lt;=TODAY()+3,"PRÓXIMO","EN TIEMPO"))))</x:f>
      </x:c>
      <x:c r="J82" s="161"/>
      <x:c r="K82" s="161"/>
      <x:c r="L82" s="161"/>
      <x:c r="M82" s="161"/>
      <x:c r="N82" s="161"/>
      <x:c r="O82" s="161"/>
      <x:c r="P82" s="161"/>
      <x:c r="Q82" s="161"/>
      <x:c r="R82" s="161"/>
      <x:c r="S82" s="161"/>
      <x:c r="T82" s="161"/>
      <x:c r="U82" s="161"/>
      <x:c r="V82" s="161"/>
      <x:c r="W82" s="161"/>
      <x:c r="X82" s="161"/>
      <x:c r="Y82" s="161"/>
      <x:c r="Z82" s="161"/>
    </x:row>
    <x:row r="83">
      <x:c r="A83" s="124"/>
      <x:c r="B83" s="108"/>
      <x:c r="C83" s="108"/>
      <x:c r="D83" s="108"/>
      <x:c r="E83" s="108"/>
      <x:c r="F83" s="108"/>
      <x:c r="G83" s="124"/>
      <x:c r="H83" s="108"/>
      <x:c r="I83" s="129" t="str">
        <x:f>IF(OR(G83="",H83=""),"",IF(H83="Completado","OK",IF(G83&lt;TODAY(),"VENCIDO",IF(G83&lt;=TODAY()+3,"PRÓXIMO","EN TIEMPO"))))</x:f>
      </x:c>
      <x:c r="J83" s="161"/>
      <x:c r="K83" s="161"/>
      <x:c r="L83" s="161"/>
      <x:c r="M83" s="161"/>
      <x:c r="N83" s="161"/>
      <x:c r="O83" s="161"/>
      <x:c r="P83" s="161"/>
      <x:c r="Q83" s="161"/>
      <x:c r="R83" s="161"/>
      <x:c r="S83" s="161"/>
      <x:c r="T83" s="161"/>
      <x:c r="U83" s="161"/>
      <x:c r="V83" s="161"/>
      <x:c r="W83" s="161"/>
      <x:c r="X83" s="161"/>
      <x:c r="Y83" s="161"/>
      <x:c r="Z83" s="161"/>
    </x:row>
    <x:row r="84">
      <x:c r="A84" s="124"/>
      <x:c r="B84" s="108"/>
      <x:c r="C84" s="108"/>
      <x:c r="D84" s="108"/>
      <x:c r="E84" s="108"/>
      <x:c r="F84" s="108"/>
      <x:c r="G84" s="124"/>
      <x:c r="H84" s="108"/>
      <x:c r="I84" s="129" t="str">
        <x:f>IF(OR(G84="",H84=""),"",IF(H84="Completado","OK",IF(G84&lt;TODAY(),"VENCIDO",IF(G84&lt;=TODAY()+3,"PRÓXIMO","EN TIEMPO"))))</x:f>
      </x:c>
      <x:c r="J84" s="161"/>
      <x:c r="K84" s="161"/>
      <x:c r="L84" s="161"/>
      <x:c r="M84" s="161"/>
      <x:c r="N84" s="161"/>
      <x:c r="O84" s="161"/>
      <x:c r="P84" s="161"/>
      <x:c r="Q84" s="161"/>
      <x:c r="R84" s="161"/>
      <x:c r="S84" s="161"/>
      <x:c r="T84" s="161"/>
      <x:c r="U84" s="161"/>
      <x:c r="V84" s="161"/>
      <x:c r="W84" s="161"/>
      <x:c r="X84" s="161"/>
      <x:c r="Y84" s="161"/>
      <x:c r="Z84" s="161"/>
    </x:row>
    <x:row r="85">
      <x:c r="A85" s="124"/>
      <x:c r="B85" s="108"/>
      <x:c r="C85" s="108"/>
      <x:c r="D85" s="108"/>
      <x:c r="E85" s="108"/>
      <x:c r="F85" s="108"/>
      <x:c r="G85" s="124"/>
      <x:c r="H85" s="108"/>
      <x:c r="I85" s="129" t="str">
        <x:f>IF(OR(G85="",H85=""),"",IF(H85="Completado","OK",IF(G85&lt;TODAY(),"VENCIDO",IF(G85&lt;=TODAY()+3,"PRÓXIMO","EN TIEMPO"))))</x:f>
      </x:c>
      <x:c r="J85" s="161"/>
      <x:c r="K85" s="161"/>
      <x:c r="L85" s="161"/>
      <x:c r="M85" s="161"/>
      <x:c r="N85" s="161"/>
      <x:c r="O85" s="161"/>
      <x:c r="P85" s="161"/>
      <x:c r="Q85" s="161"/>
      <x:c r="R85" s="161"/>
      <x:c r="S85" s="161"/>
      <x:c r="T85" s="161"/>
      <x:c r="U85" s="161"/>
      <x:c r="V85" s="161"/>
      <x:c r="W85" s="161"/>
      <x:c r="X85" s="161"/>
      <x:c r="Y85" s="161"/>
      <x:c r="Z85" s="161"/>
    </x:row>
    <x:row r="86">
      <x:c r="A86" s="124"/>
      <x:c r="B86" s="108"/>
      <x:c r="C86" s="108"/>
      <x:c r="D86" s="108"/>
      <x:c r="E86" s="108"/>
      <x:c r="F86" s="108"/>
      <x:c r="G86" s="124"/>
      <x:c r="H86" s="108"/>
      <x:c r="I86" s="129" t="str">
        <x:f>IF(OR(G86="",H86=""),"",IF(H86="Completado","OK",IF(G86&lt;TODAY(),"VENCIDO",IF(G86&lt;=TODAY()+3,"PRÓXIMO","EN TIEMPO"))))</x:f>
      </x:c>
      <x:c r="J86" s="161"/>
      <x:c r="K86" s="161"/>
      <x:c r="L86" s="161"/>
      <x:c r="M86" s="161"/>
      <x:c r="N86" s="161"/>
      <x:c r="O86" s="161"/>
      <x:c r="P86" s="161"/>
      <x:c r="Q86" s="161"/>
      <x:c r="R86" s="161"/>
      <x:c r="S86" s="161"/>
      <x:c r="T86" s="161"/>
      <x:c r="U86" s="161"/>
      <x:c r="V86" s="161"/>
      <x:c r="W86" s="161"/>
      <x:c r="X86" s="161"/>
      <x:c r="Y86" s="161"/>
      <x:c r="Z86" s="161"/>
    </x:row>
    <x:row r="87">
      <x:c r="A87" s="124"/>
      <x:c r="B87" s="108"/>
      <x:c r="C87" s="108"/>
      <x:c r="D87" s="108"/>
      <x:c r="E87" s="108"/>
      <x:c r="F87" s="108"/>
      <x:c r="G87" s="124"/>
      <x:c r="H87" s="108"/>
      <x:c r="I87" s="129" t="str">
        <x:f>IF(OR(G87="",H87=""),"",IF(H87="Completado","OK",IF(G87&lt;TODAY(),"VENCIDO",IF(G87&lt;=TODAY()+3,"PRÓXIMO","EN TIEMPO"))))</x:f>
      </x:c>
      <x:c r="J87" s="161"/>
      <x:c r="K87" s="161"/>
      <x:c r="L87" s="161"/>
      <x:c r="M87" s="161"/>
      <x:c r="N87" s="161"/>
      <x:c r="O87" s="161"/>
      <x:c r="P87" s="161"/>
      <x:c r="Q87" s="161"/>
      <x:c r="R87" s="161"/>
      <x:c r="S87" s="161"/>
      <x:c r="T87" s="161"/>
      <x:c r="U87" s="161"/>
      <x:c r="V87" s="161"/>
      <x:c r="W87" s="161"/>
      <x:c r="X87" s="161"/>
      <x:c r="Y87" s="161"/>
      <x:c r="Z87" s="161"/>
    </x:row>
    <x:row r="88">
      <x:c r="A88" s="124"/>
      <x:c r="B88" s="108"/>
      <x:c r="C88" s="108"/>
      <x:c r="D88" s="108"/>
      <x:c r="E88" s="108"/>
      <x:c r="F88" s="108"/>
      <x:c r="G88" s="124"/>
      <x:c r="H88" s="108"/>
      <x:c r="I88" s="129" t="str">
        <x:f>IF(OR(G88="",H88=""),"",IF(H88="Completado","OK",IF(G88&lt;TODAY(),"VENCIDO",IF(G88&lt;=TODAY()+3,"PRÓXIMO","EN TIEMPO"))))</x:f>
      </x:c>
      <x:c r="J88" s="161"/>
      <x:c r="K88" s="161"/>
      <x:c r="L88" s="161"/>
      <x:c r="M88" s="161"/>
      <x:c r="N88" s="161"/>
      <x:c r="O88" s="161"/>
      <x:c r="P88" s="161"/>
      <x:c r="Q88" s="161"/>
      <x:c r="R88" s="161"/>
      <x:c r="S88" s="161"/>
      <x:c r="T88" s="161"/>
      <x:c r="U88" s="161"/>
      <x:c r="V88" s="161"/>
      <x:c r="W88" s="161"/>
      <x:c r="X88" s="161"/>
      <x:c r="Y88" s="161"/>
      <x:c r="Z88" s="161"/>
    </x:row>
    <x:row r="89">
      <x:c r="A89" s="124"/>
      <x:c r="B89" s="108"/>
      <x:c r="C89" s="108"/>
      <x:c r="D89" s="108"/>
      <x:c r="E89" s="108"/>
      <x:c r="F89" s="108"/>
      <x:c r="G89" s="124"/>
      <x:c r="H89" s="108"/>
      <x:c r="I89" s="129" t="str">
        <x:f>IF(OR(G89="",H89=""),"",IF(H89="Completado","OK",IF(G89&lt;TODAY(),"VENCIDO",IF(G89&lt;=TODAY()+3,"PRÓXIMO","EN TIEMPO"))))</x:f>
      </x:c>
      <x:c r="J89" s="161"/>
      <x:c r="K89" s="161"/>
      <x:c r="L89" s="161"/>
      <x:c r="M89" s="161"/>
      <x:c r="N89" s="161"/>
      <x:c r="O89" s="161"/>
      <x:c r="P89" s="161"/>
      <x:c r="Q89" s="161"/>
      <x:c r="R89" s="161"/>
      <x:c r="S89" s="161"/>
      <x:c r="T89" s="161"/>
      <x:c r="U89" s="161"/>
      <x:c r="V89" s="161"/>
      <x:c r="W89" s="161"/>
      <x:c r="X89" s="161"/>
      <x:c r="Y89" s="161"/>
      <x:c r="Z89" s="161"/>
    </x:row>
    <x:row r="90">
      <x:c r="A90" s="124"/>
      <x:c r="B90" s="108"/>
      <x:c r="C90" s="108"/>
      <x:c r="D90" s="108"/>
      <x:c r="E90" s="108"/>
      <x:c r="F90" s="108"/>
      <x:c r="G90" s="124"/>
      <x:c r="H90" s="108"/>
      <x:c r="I90" s="129" t="str">
        <x:f>IF(OR(G90="",H90=""),"",IF(H90="Completado","OK",IF(G90&lt;TODAY(),"VENCIDO",IF(G90&lt;=TODAY()+3,"PRÓXIMO","EN TIEMPO"))))</x:f>
      </x:c>
      <x:c r="J90" s="161"/>
      <x:c r="K90" s="161"/>
      <x:c r="L90" s="161"/>
      <x:c r="M90" s="161"/>
      <x:c r="N90" s="161"/>
      <x:c r="O90" s="161"/>
      <x:c r="P90" s="161"/>
      <x:c r="Q90" s="161"/>
      <x:c r="R90" s="161"/>
      <x:c r="S90" s="161"/>
      <x:c r="T90" s="161"/>
      <x:c r="U90" s="161"/>
      <x:c r="V90" s="161"/>
      <x:c r="W90" s="161"/>
      <x:c r="X90" s="161"/>
      <x:c r="Y90" s="161"/>
      <x:c r="Z90" s="161"/>
    </x:row>
    <x:row r="91">
      <x:c r="A91" s="124"/>
      <x:c r="B91" s="108"/>
      <x:c r="C91" s="108"/>
      <x:c r="D91" s="108"/>
      <x:c r="E91" s="108"/>
      <x:c r="F91" s="108"/>
      <x:c r="G91" s="124"/>
      <x:c r="H91" s="108"/>
      <x:c r="I91" s="129" t="str">
        <x:f>IF(OR(G91="",H91=""),"",IF(H91="Completado","OK",IF(G91&lt;TODAY(),"VENCIDO",IF(G91&lt;=TODAY()+3,"PRÓXIMO","EN TIEMPO"))))</x:f>
      </x:c>
      <x:c r="J91" s="161"/>
      <x:c r="K91" s="161"/>
      <x:c r="L91" s="161"/>
      <x:c r="M91" s="161"/>
      <x:c r="N91" s="161"/>
      <x:c r="O91" s="161"/>
      <x:c r="P91" s="161"/>
      <x:c r="Q91" s="161"/>
      <x:c r="R91" s="161"/>
      <x:c r="S91" s="161"/>
      <x:c r="T91" s="161"/>
      <x:c r="U91" s="161"/>
      <x:c r="V91" s="161"/>
      <x:c r="W91" s="161"/>
      <x:c r="X91" s="161"/>
      <x:c r="Y91" s="161"/>
      <x:c r="Z91" s="161"/>
    </x:row>
    <x:row r="92">
      <x:c r="A92" s="124"/>
      <x:c r="B92" s="108"/>
      <x:c r="C92" s="108"/>
      <x:c r="D92" s="108"/>
      <x:c r="E92" s="108"/>
      <x:c r="F92" s="108"/>
      <x:c r="G92" s="124"/>
      <x:c r="H92" s="108"/>
      <x:c r="I92" s="129" t="str">
        <x:f>IF(OR(G92="",H92=""),"",IF(H92="Completado","OK",IF(G92&lt;TODAY(),"VENCIDO",IF(G92&lt;=TODAY()+3,"PRÓXIMO","EN TIEMPO"))))</x:f>
      </x:c>
      <x:c r="J92" s="161"/>
      <x:c r="K92" s="161"/>
      <x:c r="L92" s="161"/>
      <x:c r="M92" s="161"/>
      <x:c r="N92" s="161"/>
      <x:c r="O92" s="161"/>
      <x:c r="P92" s="161"/>
      <x:c r="Q92" s="161"/>
      <x:c r="R92" s="161"/>
      <x:c r="S92" s="161"/>
      <x:c r="T92" s="161"/>
      <x:c r="U92" s="161"/>
      <x:c r="V92" s="161"/>
      <x:c r="W92" s="161"/>
      <x:c r="X92" s="161"/>
      <x:c r="Y92" s="161"/>
      <x:c r="Z92" s="161"/>
    </x:row>
    <x:row r="93">
      <x:c r="A93" s="124"/>
      <x:c r="B93" s="108"/>
      <x:c r="C93" s="108"/>
      <x:c r="D93" s="108"/>
      <x:c r="E93" s="108"/>
      <x:c r="F93" s="108"/>
      <x:c r="G93" s="124"/>
      <x:c r="H93" s="108"/>
      <x:c r="I93" s="129" t="str">
        <x:f>IF(OR(G93="",H93=""),"",IF(H93="Completado","OK",IF(G93&lt;TODAY(),"VENCIDO",IF(G93&lt;=TODAY()+3,"PRÓXIMO","EN TIEMPO"))))</x:f>
      </x:c>
      <x:c r="J93" s="161"/>
      <x:c r="K93" s="161"/>
      <x:c r="L93" s="161"/>
      <x:c r="M93" s="161"/>
      <x:c r="N93" s="161"/>
      <x:c r="O93" s="161"/>
      <x:c r="P93" s="161"/>
      <x:c r="Q93" s="161"/>
      <x:c r="R93" s="161"/>
      <x:c r="S93" s="161"/>
      <x:c r="T93" s="161"/>
      <x:c r="U93" s="161"/>
      <x:c r="V93" s="161"/>
      <x:c r="W93" s="161"/>
      <x:c r="X93" s="161"/>
      <x:c r="Y93" s="161"/>
      <x:c r="Z93" s="161"/>
    </x:row>
    <x:row r="94">
      <x:c r="A94" s="124"/>
      <x:c r="B94" s="108"/>
      <x:c r="C94" s="108"/>
      <x:c r="D94" s="108"/>
      <x:c r="E94" s="108"/>
      <x:c r="F94" s="108"/>
      <x:c r="G94" s="124"/>
      <x:c r="H94" s="108"/>
      <x:c r="I94" s="129" t="str">
        <x:f>IF(OR(G94="",H94=""),"",IF(H94="Completado","OK",IF(G94&lt;TODAY(),"VENCIDO",IF(G94&lt;=TODAY()+3,"PRÓXIMO","EN TIEMPO"))))</x:f>
      </x:c>
      <x:c r="J94" s="161"/>
      <x:c r="K94" s="161"/>
      <x:c r="L94" s="161"/>
      <x:c r="M94" s="161"/>
      <x:c r="N94" s="161"/>
      <x:c r="O94" s="161"/>
      <x:c r="P94" s="161"/>
      <x:c r="Q94" s="161"/>
      <x:c r="R94" s="161"/>
      <x:c r="S94" s="161"/>
      <x:c r="T94" s="161"/>
      <x:c r="U94" s="161"/>
      <x:c r="V94" s="161"/>
      <x:c r="W94" s="161"/>
      <x:c r="X94" s="161"/>
      <x:c r="Y94" s="161"/>
      <x:c r="Z94" s="161"/>
    </x:row>
    <x:row r="95">
      <x:c r="A95" s="124"/>
      <x:c r="B95" s="108"/>
      <x:c r="C95" s="108"/>
      <x:c r="D95" s="108"/>
      <x:c r="E95" s="108"/>
      <x:c r="F95" s="108"/>
      <x:c r="G95" s="124"/>
      <x:c r="H95" s="108"/>
      <x:c r="I95" s="129" t="str">
        <x:f>IF(OR(G95="",H95=""),"",IF(H95="Completado","OK",IF(G95&lt;TODAY(),"VENCIDO",IF(G95&lt;=TODAY()+3,"PRÓXIMO","EN TIEMPO"))))</x:f>
      </x:c>
      <x:c r="J95" s="161"/>
      <x:c r="K95" s="161"/>
      <x:c r="L95" s="161"/>
      <x:c r="M95" s="161"/>
      <x:c r="N95" s="161"/>
      <x:c r="O95" s="161"/>
      <x:c r="P95" s="161"/>
      <x:c r="Q95" s="161"/>
      <x:c r="R95" s="161"/>
      <x:c r="S95" s="161"/>
      <x:c r="T95" s="161"/>
      <x:c r="U95" s="161"/>
      <x:c r="V95" s="161"/>
      <x:c r="W95" s="161"/>
      <x:c r="X95" s="161"/>
      <x:c r="Y95" s="161"/>
      <x:c r="Z95" s="161"/>
    </x:row>
    <x:row r="96">
      <x:c r="A96" s="124"/>
      <x:c r="B96" s="108"/>
      <x:c r="C96" s="108"/>
      <x:c r="D96" s="108"/>
      <x:c r="E96" s="108"/>
      <x:c r="F96" s="108"/>
      <x:c r="G96" s="124"/>
      <x:c r="H96" s="108"/>
      <x:c r="I96" s="129" t="str">
        <x:f>IF(OR(G96="",H96=""),"",IF(H96="Completado","OK",IF(G96&lt;TODAY(),"VENCIDO",IF(G96&lt;=TODAY()+3,"PRÓXIMO","EN TIEMPO"))))</x:f>
      </x:c>
      <x:c r="J96" s="161"/>
      <x:c r="K96" s="161"/>
      <x:c r="L96" s="161"/>
      <x:c r="M96" s="161"/>
      <x:c r="N96" s="161"/>
      <x:c r="O96" s="161"/>
      <x:c r="P96" s="161"/>
      <x:c r="Q96" s="161"/>
      <x:c r="R96" s="161"/>
      <x:c r="S96" s="161"/>
      <x:c r="T96" s="161"/>
      <x:c r="U96" s="161"/>
      <x:c r="V96" s="161"/>
      <x:c r="W96" s="161"/>
      <x:c r="X96" s="161"/>
      <x:c r="Y96" s="161"/>
      <x:c r="Z96" s="161"/>
    </x:row>
    <x:row r="97">
      <x:c r="A97" s="124"/>
      <x:c r="B97" s="108"/>
      <x:c r="C97" s="108"/>
      <x:c r="D97" s="108"/>
      <x:c r="E97" s="108"/>
      <x:c r="F97" s="108"/>
      <x:c r="G97" s="124"/>
      <x:c r="H97" s="108"/>
      <x:c r="I97" s="129" t="str">
        <x:f>IF(OR(G97="",H97=""),"",IF(H97="Completado","OK",IF(G97&lt;TODAY(),"VENCIDO",IF(G97&lt;=TODAY()+3,"PRÓXIMO","EN TIEMPO"))))</x:f>
      </x:c>
      <x:c r="J97" s="161"/>
      <x:c r="K97" s="161"/>
      <x:c r="L97" s="161"/>
      <x:c r="M97" s="161"/>
      <x:c r="N97" s="161"/>
      <x:c r="O97" s="161"/>
      <x:c r="P97" s="161"/>
      <x:c r="Q97" s="161"/>
      <x:c r="R97" s="161"/>
      <x:c r="S97" s="161"/>
      <x:c r="T97" s="161"/>
      <x:c r="U97" s="161"/>
      <x:c r="V97" s="161"/>
      <x:c r="W97" s="161"/>
      <x:c r="X97" s="161"/>
      <x:c r="Y97" s="161"/>
      <x:c r="Z97" s="161"/>
    </x:row>
    <x:row r="98">
      <x:c r="A98" s="124"/>
      <x:c r="B98" s="108"/>
      <x:c r="C98" s="108"/>
      <x:c r="D98" s="108"/>
      <x:c r="E98" s="108"/>
      <x:c r="F98" s="108"/>
      <x:c r="G98" s="124"/>
      <x:c r="H98" s="108"/>
      <x:c r="I98" s="129" t="str">
        <x:f>IF(OR(G98="",H98=""),"",IF(H98="Completado","OK",IF(G98&lt;TODAY(),"VENCIDO",IF(G98&lt;=TODAY()+3,"PRÓXIMO","EN TIEMPO"))))</x:f>
      </x:c>
      <x:c r="J98" s="161"/>
      <x:c r="K98" s="161"/>
      <x:c r="L98" s="161"/>
      <x:c r="M98" s="161"/>
      <x:c r="N98" s="161"/>
      <x:c r="O98" s="161"/>
      <x:c r="P98" s="161"/>
      <x:c r="Q98" s="161"/>
      <x:c r="R98" s="161"/>
      <x:c r="S98" s="161"/>
      <x:c r="T98" s="161"/>
      <x:c r="U98" s="161"/>
      <x:c r="V98" s="161"/>
      <x:c r="W98" s="161"/>
      <x:c r="X98" s="161"/>
      <x:c r="Y98" s="161"/>
      <x:c r="Z98" s="161"/>
    </x:row>
    <x:row r="99">
      <x:c r="A99" s="124"/>
      <x:c r="B99" s="108"/>
      <x:c r="C99" s="108"/>
      <x:c r="D99" s="108"/>
      <x:c r="E99" s="108"/>
      <x:c r="F99" s="108"/>
      <x:c r="G99" s="124"/>
      <x:c r="H99" s="108"/>
      <x:c r="I99" s="129" t="str">
        <x:f>IF(OR(G99="",H99=""),"",IF(H99="Completado","OK",IF(G99&lt;TODAY(),"VENCIDO",IF(G99&lt;=TODAY()+3,"PRÓXIMO","EN TIEMPO"))))</x:f>
      </x:c>
      <x:c r="J99" s="161"/>
      <x:c r="K99" s="161"/>
      <x:c r="L99" s="161"/>
      <x:c r="M99" s="161"/>
      <x:c r="N99" s="161"/>
      <x:c r="O99" s="161"/>
      <x:c r="P99" s="161"/>
      <x:c r="Q99" s="161"/>
      <x:c r="R99" s="161"/>
      <x:c r="S99" s="161"/>
      <x:c r="T99" s="161"/>
      <x:c r="U99" s="161"/>
      <x:c r="V99" s="161"/>
      <x:c r="W99" s="161"/>
      <x:c r="X99" s="161"/>
      <x:c r="Y99" s="161"/>
      <x:c r="Z99" s="161"/>
    </x:row>
    <x:row r="100">
      <x:c r="A100" s="124"/>
      <x:c r="B100" s="108"/>
      <x:c r="C100" s="108"/>
      <x:c r="D100" s="108"/>
      <x:c r="E100" s="108"/>
      <x:c r="F100" s="108"/>
      <x:c r="G100" s="124"/>
      <x:c r="H100" s="108"/>
      <x:c r="I100" s="129" t="str">
        <x:f>IF(OR(G100="",H100=""),"",IF(H100="Completado","OK",IF(G100&lt;TODAY(),"VENCIDO",IF(G100&lt;=TODAY()+3,"PRÓXIMO","EN TIEMPO"))))</x:f>
      </x:c>
      <x:c r="J100" s="161"/>
      <x:c r="K100" s="161"/>
      <x:c r="L100" s="161"/>
      <x:c r="M100" s="161"/>
      <x:c r="N100" s="161"/>
      <x:c r="O100" s="161"/>
      <x:c r="P100" s="161"/>
      <x:c r="Q100" s="161"/>
      <x:c r="R100" s="161"/>
      <x:c r="S100" s="161"/>
      <x:c r="T100" s="161"/>
      <x:c r="U100" s="161"/>
      <x:c r="V100" s="161"/>
      <x:c r="W100" s="161"/>
      <x:c r="X100" s="161"/>
      <x:c r="Y100" s="161"/>
      <x:c r="Z100" s="161"/>
    </x:row>
    <x:row r="101">
      <x:c r="A101" s="124"/>
      <x:c r="B101" s="108"/>
      <x:c r="C101" s="108"/>
      <x:c r="D101" s="108"/>
      <x:c r="E101" s="108"/>
      <x:c r="F101" s="108"/>
      <x:c r="G101" s="124"/>
      <x:c r="H101" s="108"/>
      <x:c r="I101" s="129" t="str">
        <x:f>IF(OR(G101="",H101=""),"",IF(H101="Completado","OK",IF(G101&lt;TODAY(),"VENCIDO",IF(G101&lt;=TODAY()+3,"PRÓXIMO","EN TIEMPO"))))</x:f>
      </x:c>
      <x:c r="J101" s="161"/>
      <x:c r="K101" s="161"/>
      <x:c r="L101" s="161"/>
      <x:c r="M101" s="161"/>
      <x:c r="N101" s="161"/>
      <x:c r="O101" s="161"/>
      <x:c r="P101" s="161"/>
      <x:c r="Q101" s="161"/>
      <x:c r="R101" s="161"/>
      <x:c r="S101" s="161"/>
      <x:c r="T101" s="161"/>
      <x:c r="U101" s="161"/>
      <x:c r="V101" s="161"/>
      <x:c r="W101" s="161"/>
      <x:c r="X101" s="161"/>
      <x:c r="Y101" s="161"/>
      <x:c r="Z101" s="161"/>
    </x:row>
    <x:row r="102">
      <x:c r="A102" s="124"/>
      <x:c r="B102" s="108"/>
      <x:c r="C102" s="108"/>
      <x:c r="D102" s="108"/>
      <x:c r="E102" s="108"/>
      <x:c r="F102" s="108"/>
      <x:c r="G102" s="124"/>
      <x:c r="H102" s="108"/>
      <x:c r="I102" s="129" t="str">
        <x:f>IF(OR(G102="",H102=""),"",IF(H102="Completado","OK",IF(G102&lt;TODAY(),"VENCIDO",IF(G102&lt;=TODAY()+3,"PRÓXIMO","EN TIEMPO"))))</x:f>
      </x:c>
      <x:c r="J102" s="161"/>
      <x:c r="K102" s="161"/>
      <x:c r="L102" s="161"/>
      <x:c r="M102" s="161"/>
      <x:c r="N102" s="161"/>
      <x:c r="O102" s="161"/>
      <x:c r="P102" s="161"/>
      <x:c r="Q102" s="161"/>
      <x:c r="R102" s="161"/>
      <x:c r="S102" s="161"/>
      <x:c r="T102" s="161"/>
      <x:c r="U102" s="161"/>
      <x:c r="V102" s="161"/>
      <x:c r="W102" s="161"/>
      <x:c r="X102" s="161"/>
      <x:c r="Y102" s="161"/>
      <x:c r="Z102" s="161"/>
    </x:row>
    <x:row r="103">
      <x:c r="A103" s="124"/>
      <x:c r="B103" s="108"/>
      <x:c r="C103" s="108"/>
      <x:c r="D103" s="108"/>
      <x:c r="E103" s="108"/>
      <x:c r="F103" s="108"/>
      <x:c r="G103" s="124"/>
      <x:c r="H103" s="108"/>
      <x:c r="I103" s="129" t="str">
        <x:f>IF(OR(G103="",H103=""),"",IF(H103="Completado","OK",IF(G103&lt;TODAY(),"VENCIDO",IF(G103&lt;=TODAY()+3,"PRÓXIMO","EN TIEMPO"))))</x:f>
      </x:c>
      <x:c r="J103" s="161"/>
      <x:c r="K103" s="161"/>
      <x:c r="L103" s="161"/>
      <x:c r="M103" s="161"/>
      <x:c r="N103" s="161"/>
      <x:c r="O103" s="161"/>
      <x:c r="P103" s="161"/>
      <x:c r="Q103" s="161"/>
      <x:c r="R103" s="161"/>
      <x:c r="S103" s="161"/>
      <x:c r="T103" s="161"/>
      <x:c r="U103" s="161"/>
      <x:c r="V103" s="161"/>
      <x:c r="W103" s="161"/>
      <x:c r="X103" s="161"/>
      <x:c r="Y103" s="161"/>
      <x:c r="Z103" s="161"/>
    </x:row>
    <x:row r="104">
      <x:c r="A104" s="124"/>
      <x:c r="B104" s="108"/>
      <x:c r="C104" s="108"/>
      <x:c r="D104" s="108"/>
      <x:c r="E104" s="108"/>
      <x:c r="F104" s="108"/>
      <x:c r="G104" s="124"/>
      <x:c r="H104" s="108"/>
      <x:c r="I104" s="129" t="str">
        <x:f>IF(OR(G104="",H104=""),"",IF(H104="Completado","OK",IF(G104&lt;TODAY(),"VENCIDO",IF(G104&lt;=TODAY()+3,"PRÓXIMO","EN TIEMPO"))))</x:f>
      </x:c>
      <x:c r="J104" s="161"/>
      <x:c r="K104" s="161"/>
      <x:c r="L104" s="161"/>
      <x:c r="M104" s="161"/>
      <x:c r="N104" s="161"/>
      <x:c r="O104" s="161"/>
      <x:c r="P104" s="161"/>
      <x:c r="Q104" s="161"/>
      <x:c r="R104" s="161"/>
      <x:c r="S104" s="161"/>
      <x:c r="T104" s="161"/>
      <x:c r="U104" s="161"/>
      <x:c r="V104" s="161"/>
      <x:c r="W104" s="161"/>
      <x:c r="X104" s="161"/>
      <x:c r="Y104" s="161"/>
      <x:c r="Z104" s="161"/>
    </x:row>
    <x:row r="105">
      <x:c r="A105" s="124"/>
      <x:c r="B105" s="108"/>
      <x:c r="C105" s="108"/>
      <x:c r="D105" s="108"/>
      <x:c r="E105" s="108"/>
      <x:c r="F105" s="108"/>
      <x:c r="G105" s="124"/>
      <x:c r="H105" s="108"/>
      <x:c r="I105" s="129" t="str">
        <x:f>IF(OR(G105="",H105=""),"",IF(H105="Completado","OK",IF(G105&lt;TODAY(),"VENCIDO",IF(G105&lt;=TODAY()+3,"PRÓXIMO","EN TIEMPO"))))</x:f>
      </x:c>
      <x:c r="J105" s="161"/>
      <x:c r="K105" s="161"/>
      <x:c r="L105" s="161"/>
      <x:c r="M105" s="161"/>
      <x:c r="N105" s="161"/>
      <x:c r="O105" s="161"/>
      <x:c r="P105" s="161"/>
      <x:c r="Q105" s="161"/>
      <x:c r="R105" s="161"/>
      <x:c r="S105" s="161"/>
      <x:c r="T105" s="161"/>
      <x:c r="U105" s="161"/>
      <x:c r="V105" s="161"/>
      <x:c r="W105" s="161"/>
      <x:c r="X105" s="161"/>
      <x:c r="Y105" s="161"/>
      <x:c r="Z105" s="161"/>
    </x:row>
    <x:row r="106">
      <x:c r="A106" s="124"/>
      <x:c r="B106" s="108"/>
      <x:c r="C106" s="108"/>
      <x:c r="D106" s="108"/>
      <x:c r="E106" s="108"/>
      <x:c r="F106" s="108"/>
      <x:c r="G106" s="124"/>
      <x:c r="H106" s="108"/>
      <x:c r="I106" s="129" t="str">
        <x:f>IF(OR(G106="",H106=""),"",IF(H106="Completado","OK",IF(G106&lt;TODAY(),"VENCIDO",IF(G106&lt;=TODAY()+3,"PRÓXIMO","EN TIEMPO"))))</x:f>
      </x:c>
      <x:c r="J106" s="161"/>
      <x:c r="K106" s="161"/>
      <x:c r="L106" s="161"/>
      <x:c r="M106" s="161"/>
      <x:c r="N106" s="161"/>
      <x:c r="O106" s="161"/>
      <x:c r="P106" s="161"/>
      <x:c r="Q106" s="161"/>
      <x:c r="R106" s="161"/>
      <x:c r="S106" s="161"/>
      <x:c r="T106" s="161"/>
      <x:c r="U106" s="161"/>
      <x:c r="V106" s="161"/>
      <x:c r="W106" s="161"/>
      <x:c r="X106" s="161"/>
      <x:c r="Y106" s="161"/>
      <x:c r="Z106" s="161"/>
    </x:row>
    <x:row r="107">
      <x:c r="A107" s="124"/>
      <x:c r="B107" s="108"/>
      <x:c r="C107" s="108"/>
      <x:c r="D107" s="108"/>
      <x:c r="E107" s="108"/>
      <x:c r="F107" s="108"/>
      <x:c r="G107" s="124"/>
      <x:c r="H107" s="108"/>
      <x:c r="I107" s="129" t="str">
        <x:f>IF(OR(G107="",H107=""),"",IF(H107="Completado","OK",IF(G107&lt;TODAY(),"VENCIDO",IF(G107&lt;=TODAY()+3,"PRÓXIMO","EN TIEMPO"))))</x:f>
      </x:c>
      <x:c r="J107" s="161"/>
      <x:c r="K107" s="161"/>
      <x:c r="L107" s="161"/>
      <x:c r="M107" s="161"/>
      <x:c r="N107" s="161"/>
      <x:c r="O107" s="161"/>
      <x:c r="P107" s="161"/>
      <x:c r="Q107" s="161"/>
      <x:c r="R107" s="161"/>
      <x:c r="S107" s="161"/>
      <x:c r="T107" s="161"/>
      <x:c r="U107" s="161"/>
      <x:c r="V107" s="161"/>
      <x:c r="W107" s="161"/>
      <x:c r="X107" s="161"/>
      <x:c r="Y107" s="161"/>
      <x:c r="Z107" s="161"/>
    </x:row>
    <x:row r="108">
      <x:c r="A108" s="124"/>
      <x:c r="B108" s="108"/>
      <x:c r="C108" s="108"/>
      <x:c r="D108" s="108"/>
      <x:c r="E108" s="108"/>
      <x:c r="F108" s="108"/>
      <x:c r="G108" s="124"/>
      <x:c r="H108" s="108"/>
      <x:c r="I108" s="129" t="str">
        <x:f>IF(OR(G108="",H108=""),"",IF(H108="Completado","OK",IF(G108&lt;TODAY(),"VENCIDO",IF(G108&lt;=TODAY()+3,"PRÓXIMO","EN TIEMPO"))))</x:f>
      </x:c>
      <x:c r="J108" s="161"/>
      <x:c r="K108" s="161"/>
      <x:c r="L108" s="161"/>
      <x:c r="M108" s="161"/>
      <x:c r="N108" s="161"/>
      <x:c r="O108" s="161"/>
      <x:c r="P108" s="161"/>
      <x:c r="Q108" s="161"/>
      <x:c r="R108" s="161"/>
      <x:c r="S108" s="161"/>
      <x:c r="T108" s="161"/>
      <x:c r="U108" s="161"/>
      <x:c r="V108" s="161"/>
      <x:c r="W108" s="161"/>
      <x:c r="X108" s="161"/>
      <x:c r="Y108" s="161"/>
      <x:c r="Z108" s="161"/>
    </x:row>
    <x:row r="109">
      <x:c r="A109" s="124"/>
      <x:c r="B109" s="108"/>
      <x:c r="C109" s="108"/>
      <x:c r="D109" s="108"/>
      <x:c r="E109" s="108"/>
      <x:c r="F109" s="108"/>
      <x:c r="G109" s="124"/>
      <x:c r="H109" s="108"/>
      <x:c r="I109" s="129" t="str">
        <x:f>IF(OR(G109="",H109=""),"",IF(H109="Completado","OK",IF(G109&lt;TODAY(),"VENCIDO",IF(G109&lt;=TODAY()+3,"PRÓXIMO","EN TIEMPO"))))</x:f>
      </x:c>
      <x:c r="J109" s="161"/>
      <x:c r="K109" s="161"/>
      <x:c r="L109" s="161"/>
      <x:c r="M109" s="161"/>
      <x:c r="N109" s="161"/>
      <x:c r="O109" s="161"/>
      <x:c r="P109" s="161"/>
      <x:c r="Q109" s="161"/>
      <x:c r="R109" s="161"/>
      <x:c r="S109" s="161"/>
      <x:c r="T109" s="161"/>
      <x:c r="U109" s="161"/>
      <x:c r="V109" s="161"/>
      <x:c r="W109" s="161"/>
      <x:c r="X109" s="161"/>
      <x:c r="Y109" s="161"/>
      <x:c r="Z109" s="161"/>
    </x:row>
    <x:row r="110">
      <x:c r="A110" s="124"/>
      <x:c r="B110" s="108"/>
      <x:c r="C110" s="108"/>
      <x:c r="D110" s="108"/>
      <x:c r="E110" s="108"/>
      <x:c r="F110" s="108"/>
      <x:c r="G110" s="124"/>
      <x:c r="H110" s="108"/>
      <x:c r="I110" s="129" t="str">
        <x:f>IF(OR(G110="",H110=""),"",IF(H110="Completado","OK",IF(G110&lt;TODAY(),"VENCIDO",IF(G110&lt;=TODAY()+3,"PRÓXIMO","EN TIEMPO"))))</x:f>
      </x:c>
      <x:c r="J110" s="161"/>
      <x:c r="K110" s="161"/>
      <x:c r="L110" s="161"/>
      <x:c r="M110" s="161"/>
      <x:c r="N110" s="161"/>
      <x:c r="O110" s="161"/>
      <x:c r="P110" s="161"/>
      <x:c r="Q110" s="161"/>
      <x:c r="R110" s="161"/>
      <x:c r="S110" s="161"/>
      <x:c r="T110" s="161"/>
      <x:c r="U110" s="161"/>
      <x:c r="V110" s="161"/>
      <x:c r="W110" s="161"/>
      <x:c r="X110" s="161"/>
      <x:c r="Y110" s="161"/>
      <x:c r="Z110" s="161"/>
    </x:row>
    <x:row r="111">
      <x:c r="A111" s="124"/>
      <x:c r="B111" s="108"/>
      <x:c r="C111" s="108"/>
      <x:c r="D111" s="108"/>
      <x:c r="E111" s="108"/>
      <x:c r="F111" s="108"/>
      <x:c r="G111" s="124"/>
      <x:c r="H111" s="108"/>
      <x:c r="I111" s="129" t="str">
        <x:f>IF(OR(G111="",H111=""),"",IF(H111="Completado","OK",IF(G111&lt;TODAY(),"VENCIDO",IF(G111&lt;=TODAY()+3,"PRÓXIMO","EN TIEMPO"))))</x:f>
      </x:c>
      <x:c r="J111" s="161"/>
      <x:c r="K111" s="161"/>
      <x:c r="L111" s="161"/>
      <x:c r="M111" s="161"/>
      <x:c r="N111" s="161"/>
      <x:c r="O111" s="161"/>
      <x:c r="P111" s="161"/>
      <x:c r="Q111" s="161"/>
      <x:c r="R111" s="161"/>
      <x:c r="S111" s="161"/>
      <x:c r="T111" s="161"/>
      <x:c r="U111" s="161"/>
      <x:c r="V111" s="161"/>
      <x:c r="W111" s="161"/>
      <x:c r="X111" s="161"/>
      <x:c r="Y111" s="161"/>
      <x:c r="Z111" s="161"/>
    </x:row>
    <x:row r="112">
      <x:c r="A112" s="124"/>
      <x:c r="B112" s="108"/>
      <x:c r="C112" s="108"/>
      <x:c r="D112" s="108"/>
      <x:c r="E112" s="108"/>
      <x:c r="F112" s="108"/>
      <x:c r="G112" s="124"/>
      <x:c r="H112" s="108"/>
      <x:c r="I112" s="129" t="str">
        <x:f>IF(OR(G112="",H112=""),"",IF(H112="Completado","OK",IF(G112&lt;TODAY(),"VENCIDO",IF(G112&lt;=TODAY()+3,"PRÓXIMO","EN TIEMPO"))))</x:f>
      </x:c>
      <x:c r="J112" s="161"/>
      <x:c r="K112" s="161"/>
      <x:c r="L112" s="161"/>
      <x:c r="M112" s="161"/>
      <x:c r="N112" s="161"/>
      <x:c r="O112" s="161"/>
      <x:c r="P112" s="161"/>
      <x:c r="Q112" s="161"/>
      <x:c r="R112" s="161"/>
      <x:c r="S112" s="161"/>
      <x:c r="T112" s="161"/>
      <x:c r="U112" s="161"/>
      <x:c r="V112" s="161"/>
      <x:c r="W112" s="161"/>
      <x:c r="X112" s="161"/>
      <x:c r="Y112" s="161"/>
      <x:c r="Z112" s="161"/>
    </x:row>
    <x:row r="113">
      <x:c r="A113" s="124"/>
      <x:c r="B113" s="108"/>
      <x:c r="C113" s="108"/>
      <x:c r="D113" s="108"/>
      <x:c r="E113" s="108"/>
      <x:c r="F113" s="108"/>
      <x:c r="G113" s="124"/>
      <x:c r="H113" s="108"/>
      <x:c r="I113" s="129" t="str">
        <x:f>IF(OR(G113="",H113=""),"",IF(H113="Completado","OK",IF(G113&lt;TODAY(),"VENCIDO",IF(G113&lt;=TODAY()+3,"PRÓXIMO","EN TIEMPO"))))</x:f>
      </x:c>
      <x:c r="J113" s="161"/>
      <x:c r="K113" s="161"/>
      <x:c r="L113" s="161"/>
      <x:c r="M113" s="161"/>
      <x:c r="N113" s="161"/>
      <x:c r="O113" s="161"/>
      <x:c r="P113" s="161"/>
      <x:c r="Q113" s="161"/>
      <x:c r="R113" s="161"/>
      <x:c r="S113" s="161"/>
      <x:c r="T113" s="161"/>
      <x:c r="U113" s="161"/>
      <x:c r="V113" s="161"/>
      <x:c r="W113" s="161"/>
      <x:c r="X113" s="161"/>
      <x:c r="Y113" s="161"/>
      <x:c r="Z113" s="161"/>
    </x:row>
    <x:row r="114">
      <x:c r="A114" s="124"/>
      <x:c r="B114" s="108"/>
      <x:c r="C114" s="108"/>
      <x:c r="D114" s="108"/>
      <x:c r="E114" s="108"/>
      <x:c r="F114" s="108"/>
      <x:c r="G114" s="124"/>
      <x:c r="H114" s="108"/>
      <x:c r="I114" s="129" t="str">
        <x:f>IF(OR(G114="",H114=""),"",IF(H114="Completado","OK",IF(G114&lt;TODAY(),"VENCIDO",IF(G114&lt;=TODAY()+3,"PRÓXIMO","EN TIEMPO"))))</x:f>
      </x:c>
      <x:c r="J114" s="161"/>
      <x:c r="K114" s="161"/>
      <x:c r="L114" s="161"/>
      <x:c r="M114" s="161"/>
      <x:c r="N114" s="161"/>
      <x:c r="O114" s="161"/>
      <x:c r="P114" s="161"/>
      <x:c r="Q114" s="161"/>
      <x:c r="R114" s="161"/>
      <x:c r="S114" s="161"/>
      <x:c r="T114" s="161"/>
      <x:c r="U114" s="161"/>
      <x:c r="V114" s="161"/>
      <x:c r="W114" s="161"/>
      <x:c r="X114" s="161"/>
      <x:c r="Y114" s="161"/>
      <x:c r="Z114" s="161"/>
    </x:row>
    <x:row r="115">
      <x:c r="A115" s="124"/>
      <x:c r="B115" s="108"/>
      <x:c r="C115" s="108"/>
      <x:c r="D115" s="108"/>
      <x:c r="E115" s="108"/>
      <x:c r="F115" s="108"/>
      <x:c r="G115" s="124"/>
      <x:c r="H115" s="108"/>
      <x:c r="I115" s="129" t="str">
        <x:f>IF(OR(G115="",H115=""),"",IF(H115="Completado","OK",IF(G115&lt;TODAY(),"VENCIDO",IF(G115&lt;=TODAY()+3,"PRÓXIMO","EN TIEMPO"))))</x:f>
      </x:c>
      <x:c r="J115" s="161"/>
      <x:c r="K115" s="161"/>
      <x:c r="L115" s="161"/>
      <x:c r="M115" s="161"/>
      <x:c r="N115" s="161"/>
      <x:c r="O115" s="161"/>
      <x:c r="P115" s="161"/>
      <x:c r="Q115" s="161"/>
      <x:c r="R115" s="161"/>
      <x:c r="S115" s="161"/>
      <x:c r="T115" s="161"/>
      <x:c r="U115" s="161"/>
      <x:c r="V115" s="161"/>
      <x:c r="W115" s="161"/>
      <x:c r="X115" s="161"/>
      <x:c r="Y115" s="161"/>
      <x:c r="Z115" s="161"/>
    </x:row>
    <x:row r="116">
      <x:c r="A116" s="124"/>
      <x:c r="B116" s="108"/>
      <x:c r="C116" s="108"/>
      <x:c r="D116" s="108"/>
      <x:c r="E116" s="108"/>
      <x:c r="F116" s="108"/>
      <x:c r="G116" s="124"/>
      <x:c r="H116" s="108"/>
      <x:c r="I116" s="129" t="str">
        <x:f>IF(OR(G116="",H116=""),"",IF(H116="Completado","OK",IF(G116&lt;TODAY(),"VENCIDO",IF(G116&lt;=TODAY()+3,"PRÓXIMO","EN TIEMPO"))))</x:f>
      </x:c>
      <x:c r="J116" s="161"/>
      <x:c r="K116" s="161"/>
      <x:c r="L116" s="161"/>
      <x:c r="M116" s="161"/>
      <x:c r="N116" s="161"/>
      <x:c r="O116" s="161"/>
      <x:c r="P116" s="161"/>
      <x:c r="Q116" s="161"/>
      <x:c r="R116" s="161"/>
      <x:c r="S116" s="161"/>
      <x:c r="T116" s="161"/>
      <x:c r="U116" s="161"/>
      <x:c r="V116" s="161"/>
      <x:c r="W116" s="161"/>
      <x:c r="X116" s="161"/>
      <x:c r="Y116" s="161"/>
      <x:c r="Z116" s="161"/>
    </x:row>
    <x:row r="117">
      <x:c r="A117" s="124"/>
      <x:c r="B117" s="108"/>
      <x:c r="C117" s="108"/>
      <x:c r="D117" s="108"/>
      <x:c r="E117" s="108"/>
      <x:c r="F117" s="108"/>
      <x:c r="G117" s="124"/>
      <x:c r="H117" s="108"/>
      <x:c r="I117" s="129" t="str">
        <x:f>IF(OR(G117="",H117=""),"",IF(H117="Completado","OK",IF(G117&lt;TODAY(),"VENCIDO",IF(G117&lt;=TODAY()+3,"PRÓXIMO","EN TIEMPO"))))</x:f>
      </x:c>
      <x:c r="J117" s="161"/>
      <x:c r="K117" s="161"/>
      <x:c r="L117" s="161"/>
      <x:c r="M117" s="161"/>
      <x:c r="N117" s="161"/>
      <x:c r="O117" s="161"/>
      <x:c r="P117" s="161"/>
      <x:c r="Q117" s="161"/>
      <x:c r="R117" s="161"/>
      <x:c r="S117" s="161"/>
      <x:c r="T117" s="161"/>
      <x:c r="U117" s="161"/>
      <x:c r="V117" s="161"/>
      <x:c r="W117" s="161"/>
      <x:c r="X117" s="161"/>
      <x:c r="Y117" s="161"/>
      <x:c r="Z117" s="161"/>
    </x:row>
    <x:row r="118">
      <x:c r="A118" s="124"/>
      <x:c r="B118" s="108"/>
      <x:c r="C118" s="108"/>
      <x:c r="D118" s="108"/>
      <x:c r="E118" s="108"/>
      <x:c r="F118" s="108"/>
      <x:c r="G118" s="124"/>
      <x:c r="H118" s="108"/>
      <x:c r="I118" s="129" t="str">
        <x:f>IF(OR(G118="",H118=""),"",IF(H118="Completado","OK",IF(G118&lt;TODAY(),"VENCIDO",IF(G118&lt;=TODAY()+3,"PRÓXIMO","EN TIEMPO"))))</x:f>
      </x:c>
      <x:c r="J118" s="161"/>
      <x:c r="K118" s="161"/>
      <x:c r="L118" s="161"/>
      <x:c r="M118" s="161"/>
      <x:c r="N118" s="161"/>
      <x:c r="O118" s="161"/>
      <x:c r="P118" s="161"/>
      <x:c r="Q118" s="161"/>
      <x:c r="R118" s="161"/>
      <x:c r="S118" s="161"/>
      <x:c r="T118" s="161"/>
      <x:c r="U118" s="161"/>
      <x:c r="V118" s="161"/>
      <x:c r="W118" s="161"/>
      <x:c r="X118" s="161"/>
      <x:c r="Y118" s="161"/>
      <x:c r="Z118" s="161"/>
    </x:row>
    <x:row r="119">
      <x:c r="A119" s="124"/>
      <x:c r="B119" s="108"/>
      <x:c r="C119" s="108"/>
      <x:c r="D119" s="108"/>
      <x:c r="E119" s="108"/>
      <x:c r="F119" s="108"/>
      <x:c r="G119" s="124"/>
      <x:c r="H119" s="108"/>
      <x:c r="I119" s="129" t="str">
        <x:f>IF(OR(G119="",H119=""),"",IF(H119="Completado","OK",IF(G119&lt;TODAY(),"VENCIDO",IF(G119&lt;=TODAY()+3,"PRÓXIMO","EN TIEMPO"))))</x:f>
      </x:c>
      <x:c r="J119" s="161"/>
      <x:c r="K119" s="161"/>
      <x:c r="L119" s="161"/>
      <x:c r="M119" s="161"/>
      <x:c r="N119" s="161"/>
      <x:c r="O119" s="161"/>
      <x:c r="P119" s="161"/>
      <x:c r="Q119" s="161"/>
      <x:c r="R119" s="161"/>
      <x:c r="S119" s="161"/>
      <x:c r="T119" s="161"/>
      <x:c r="U119" s="161"/>
      <x:c r="V119" s="161"/>
      <x:c r="W119" s="161"/>
      <x:c r="X119" s="161"/>
      <x:c r="Y119" s="161"/>
      <x:c r="Z119" s="161"/>
    </x:row>
    <x:row r="120">
      <x:c r="A120" s="124"/>
      <x:c r="B120" s="108"/>
      <x:c r="C120" s="108"/>
      <x:c r="D120" s="108"/>
      <x:c r="E120" s="108"/>
      <x:c r="F120" s="108"/>
      <x:c r="G120" s="124"/>
      <x:c r="H120" s="108"/>
      <x:c r="I120" s="129" t="str">
        <x:f>IF(OR(G120="",H120=""),"",IF(H120="Completado","OK",IF(G120&lt;TODAY(),"VENCIDO",IF(G120&lt;=TODAY()+3,"PRÓXIMO","EN TIEMPO"))))</x:f>
      </x:c>
      <x:c r="J120" s="161"/>
      <x:c r="K120" s="161"/>
      <x:c r="L120" s="161"/>
      <x:c r="M120" s="161"/>
      <x:c r="N120" s="161"/>
      <x:c r="O120" s="161"/>
      <x:c r="P120" s="161"/>
      <x:c r="Q120" s="161"/>
      <x:c r="R120" s="161"/>
      <x:c r="S120" s="161"/>
      <x:c r="T120" s="161"/>
      <x:c r="U120" s="161"/>
      <x:c r="V120" s="161"/>
      <x:c r="W120" s="161"/>
      <x:c r="X120" s="161"/>
      <x:c r="Y120" s="161"/>
      <x:c r="Z120" s="161"/>
    </x:row>
    <x:row r="121">
      <x:c r="A121" s="124"/>
      <x:c r="B121" s="108"/>
      <x:c r="C121" s="108"/>
      <x:c r="D121" s="108"/>
      <x:c r="E121" s="108"/>
      <x:c r="F121" s="108"/>
      <x:c r="G121" s="124"/>
      <x:c r="H121" s="108"/>
      <x:c r="I121" s="129" t="str">
        <x:f>IF(OR(G121="",H121=""),"",IF(H121="Completado","OK",IF(G121&lt;TODAY(),"VENCIDO",IF(G121&lt;=TODAY()+3,"PRÓXIMO","EN TIEMPO"))))</x:f>
      </x:c>
      <x:c r="J121" s="161"/>
      <x:c r="K121" s="161"/>
      <x:c r="L121" s="161"/>
      <x:c r="M121" s="161"/>
      <x:c r="N121" s="161"/>
      <x:c r="O121" s="161"/>
      <x:c r="P121" s="161"/>
      <x:c r="Q121" s="161"/>
      <x:c r="R121" s="161"/>
      <x:c r="S121" s="161"/>
      <x:c r="T121" s="161"/>
      <x:c r="U121" s="161"/>
      <x:c r="V121" s="161"/>
      <x:c r="W121" s="161"/>
      <x:c r="X121" s="161"/>
      <x:c r="Y121" s="161"/>
      <x:c r="Z121" s="161"/>
    </x:row>
    <x:row r="122">
      <x:c r="A122" s="124"/>
      <x:c r="B122" s="108"/>
      <x:c r="C122" s="108"/>
      <x:c r="D122" s="108"/>
      <x:c r="E122" s="108"/>
      <x:c r="F122" s="108"/>
      <x:c r="G122" s="124"/>
      <x:c r="H122" s="108"/>
      <x:c r="I122" s="129" t="str">
        <x:f>IF(OR(G122="",H122=""),"",IF(H122="Completado","OK",IF(G122&lt;TODAY(),"VENCIDO",IF(G122&lt;=TODAY()+3,"PRÓXIMO","EN TIEMPO"))))</x:f>
      </x:c>
      <x:c r="J122" s="161"/>
      <x:c r="K122" s="161"/>
      <x:c r="L122" s="161"/>
      <x:c r="M122" s="161"/>
      <x:c r="N122" s="161"/>
      <x:c r="O122" s="161"/>
      <x:c r="P122" s="161"/>
      <x:c r="Q122" s="161"/>
      <x:c r="R122" s="161"/>
      <x:c r="S122" s="161"/>
      <x:c r="T122" s="161"/>
      <x:c r="U122" s="161"/>
      <x:c r="V122" s="161"/>
      <x:c r="W122" s="161"/>
      <x:c r="X122" s="161"/>
      <x:c r="Y122" s="161"/>
      <x:c r="Z122" s="161"/>
    </x:row>
    <x:row r="123">
      <x:c r="A123" s="124"/>
      <x:c r="B123" s="108"/>
      <x:c r="C123" s="108"/>
      <x:c r="D123" s="108"/>
      <x:c r="E123" s="108"/>
      <x:c r="F123" s="108"/>
      <x:c r="G123" s="124"/>
      <x:c r="H123" s="108"/>
      <x:c r="I123" s="129" t="str">
        <x:f>IF(OR(G123="",H123=""),"",IF(H123="Completado","OK",IF(G123&lt;TODAY(),"VENCIDO",IF(G123&lt;=TODAY()+3,"PRÓXIMO","EN TIEMPO"))))</x:f>
      </x:c>
      <x:c r="J123" s="161"/>
      <x:c r="K123" s="161"/>
      <x:c r="L123" s="161"/>
      <x:c r="M123" s="161"/>
      <x:c r="N123" s="161"/>
      <x:c r="O123" s="161"/>
      <x:c r="P123" s="161"/>
      <x:c r="Q123" s="161"/>
      <x:c r="R123" s="161"/>
      <x:c r="S123" s="161"/>
      <x:c r="T123" s="161"/>
      <x:c r="U123" s="161"/>
      <x:c r="V123" s="161"/>
      <x:c r="W123" s="161"/>
      <x:c r="X123" s="161"/>
      <x:c r="Y123" s="161"/>
      <x:c r="Z123" s="161"/>
    </x:row>
    <x:row r="124">
      <x:c r="A124" s="124"/>
      <x:c r="B124" s="108"/>
      <x:c r="C124" s="108"/>
      <x:c r="D124" s="108"/>
      <x:c r="E124" s="108"/>
      <x:c r="F124" s="108"/>
      <x:c r="G124" s="124"/>
      <x:c r="H124" s="108"/>
      <x:c r="I124" s="129" t="str">
        <x:f>IF(OR(G124="",H124=""),"",IF(H124="Completado","OK",IF(G124&lt;TODAY(),"VENCIDO",IF(G124&lt;=TODAY()+3,"PRÓXIMO","EN TIEMPO"))))</x:f>
      </x:c>
      <x:c r="J124" s="161"/>
      <x:c r="K124" s="161"/>
      <x:c r="L124" s="161"/>
      <x:c r="M124" s="161"/>
      <x:c r="N124" s="161"/>
      <x:c r="O124" s="161"/>
      <x:c r="P124" s="161"/>
      <x:c r="Q124" s="161"/>
      <x:c r="R124" s="161"/>
      <x:c r="S124" s="161"/>
      <x:c r="T124" s="161"/>
      <x:c r="U124" s="161"/>
      <x:c r="V124" s="161"/>
      <x:c r="W124" s="161"/>
      <x:c r="X124" s="161"/>
      <x:c r="Y124" s="161"/>
      <x:c r="Z124" s="161"/>
    </x:row>
    <x:row r="125">
      <x:c r="A125" s="124"/>
      <x:c r="B125" s="108"/>
      <x:c r="C125" s="108"/>
      <x:c r="D125" s="108"/>
      <x:c r="E125" s="108"/>
      <x:c r="F125" s="108"/>
      <x:c r="G125" s="124"/>
      <x:c r="H125" s="108"/>
      <x:c r="I125" s="129" t="str">
        <x:f>IF(OR(G125="",H125=""),"",IF(H125="Completado","OK",IF(G125&lt;TODAY(),"VENCIDO",IF(G125&lt;=TODAY()+3,"PRÓXIMO","EN TIEMPO"))))</x:f>
      </x:c>
      <x:c r="J125" s="161"/>
      <x:c r="K125" s="161"/>
      <x:c r="L125" s="161"/>
      <x:c r="M125" s="161"/>
      <x:c r="N125" s="161"/>
      <x:c r="O125" s="161"/>
      <x:c r="P125" s="161"/>
      <x:c r="Q125" s="161"/>
      <x:c r="R125" s="161"/>
      <x:c r="S125" s="161"/>
      <x:c r="T125" s="161"/>
      <x:c r="U125" s="161"/>
      <x:c r="V125" s="161"/>
      <x:c r="W125" s="161"/>
      <x:c r="X125" s="161"/>
      <x:c r="Y125" s="161"/>
      <x:c r="Z125" s="161"/>
    </x:row>
    <x:row r="126">
      <x:c r="A126" s="124"/>
      <x:c r="B126" s="108"/>
      <x:c r="C126" s="108"/>
      <x:c r="D126" s="108"/>
      <x:c r="E126" s="108"/>
      <x:c r="F126" s="108"/>
      <x:c r="G126" s="124"/>
      <x:c r="H126" s="108"/>
      <x:c r="I126" s="129" t="str">
        <x:f>IF(OR(G126="",H126=""),"",IF(H126="Completado","OK",IF(G126&lt;TODAY(),"VENCIDO",IF(G126&lt;=TODAY()+3,"PRÓXIMO","EN TIEMPO"))))</x:f>
      </x:c>
      <x:c r="J126" s="161"/>
      <x:c r="K126" s="161"/>
      <x:c r="L126" s="161"/>
      <x:c r="M126" s="161"/>
      <x:c r="N126" s="161"/>
      <x:c r="O126" s="161"/>
      <x:c r="P126" s="161"/>
      <x:c r="Q126" s="161"/>
      <x:c r="R126" s="161"/>
      <x:c r="S126" s="161"/>
      <x:c r="T126" s="161"/>
      <x:c r="U126" s="161"/>
      <x:c r="V126" s="161"/>
      <x:c r="W126" s="161"/>
      <x:c r="X126" s="161"/>
      <x:c r="Y126" s="161"/>
      <x:c r="Z126" s="161"/>
    </x:row>
    <x:row r="127">
      <x:c r="A127" s="124"/>
      <x:c r="B127" s="108"/>
      <x:c r="C127" s="108"/>
      <x:c r="D127" s="108"/>
      <x:c r="E127" s="108"/>
      <x:c r="F127" s="108"/>
      <x:c r="G127" s="124"/>
      <x:c r="H127" s="108"/>
      <x:c r="I127" s="129" t="str">
        <x:f>IF(OR(G127="",H127=""),"",IF(H127="Completado","OK",IF(G127&lt;TODAY(),"VENCIDO",IF(G127&lt;=TODAY()+3,"PRÓXIMO","EN TIEMPO"))))</x:f>
      </x:c>
      <x:c r="J127" s="161"/>
      <x:c r="K127" s="161"/>
      <x:c r="L127" s="161"/>
      <x:c r="M127" s="161"/>
      <x:c r="N127" s="161"/>
      <x:c r="O127" s="161"/>
      <x:c r="P127" s="161"/>
      <x:c r="Q127" s="161"/>
      <x:c r="R127" s="161"/>
      <x:c r="S127" s="161"/>
      <x:c r="T127" s="161"/>
      <x:c r="U127" s="161"/>
      <x:c r="V127" s="161"/>
      <x:c r="W127" s="161"/>
      <x:c r="X127" s="161"/>
      <x:c r="Y127" s="161"/>
      <x:c r="Z127" s="161"/>
    </x:row>
    <x:row r="128">
      <x:c r="A128" s="124"/>
      <x:c r="B128" s="108"/>
      <x:c r="C128" s="108"/>
      <x:c r="D128" s="108"/>
      <x:c r="E128" s="108"/>
      <x:c r="F128" s="108"/>
      <x:c r="G128" s="124"/>
      <x:c r="H128" s="108"/>
      <x:c r="I128" s="129" t="str">
        <x:f>IF(OR(G128="",H128=""),"",IF(H128="Completado","OK",IF(G128&lt;TODAY(),"VENCIDO",IF(G128&lt;=TODAY()+3,"PRÓXIMO","EN TIEMPO"))))</x:f>
      </x:c>
      <x:c r="J128" s="161"/>
      <x:c r="K128" s="161"/>
      <x:c r="L128" s="161"/>
      <x:c r="M128" s="161"/>
      <x:c r="N128" s="161"/>
      <x:c r="O128" s="161"/>
      <x:c r="P128" s="161"/>
      <x:c r="Q128" s="161"/>
      <x:c r="R128" s="161"/>
      <x:c r="S128" s="161"/>
      <x:c r="T128" s="161"/>
      <x:c r="U128" s="161"/>
      <x:c r="V128" s="161"/>
      <x:c r="W128" s="161"/>
      <x:c r="X128" s="161"/>
      <x:c r="Y128" s="161"/>
      <x:c r="Z128" s="161"/>
    </x:row>
    <x:row r="129">
      <x:c r="A129" s="124"/>
      <x:c r="B129" s="108"/>
      <x:c r="C129" s="108"/>
      <x:c r="D129" s="108"/>
      <x:c r="E129" s="108"/>
      <x:c r="F129" s="108"/>
      <x:c r="G129" s="124"/>
      <x:c r="H129" s="108"/>
      <x:c r="I129" s="129" t="str">
        <x:f>IF(OR(G129="",H129=""),"",IF(H129="Completado","OK",IF(G129&lt;TODAY(),"VENCIDO",IF(G129&lt;=TODAY()+3,"PRÓXIMO","EN TIEMPO"))))</x:f>
      </x:c>
      <x:c r="J129" s="161"/>
      <x:c r="K129" s="161"/>
      <x:c r="L129" s="161"/>
      <x:c r="M129" s="161"/>
      <x:c r="N129" s="161"/>
      <x:c r="O129" s="161"/>
      <x:c r="P129" s="161"/>
      <x:c r="Q129" s="161"/>
      <x:c r="R129" s="161"/>
      <x:c r="S129" s="161"/>
      <x:c r="T129" s="161"/>
      <x:c r="U129" s="161"/>
      <x:c r="V129" s="161"/>
      <x:c r="W129" s="161"/>
      <x:c r="X129" s="161"/>
      <x:c r="Y129" s="161"/>
      <x:c r="Z129" s="161"/>
    </x:row>
    <x:row r="130">
      <x:c r="A130" s="124"/>
      <x:c r="B130" s="108"/>
      <x:c r="C130" s="108"/>
      <x:c r="D130" s="108"/>
      <x:c r="E130" s="108"/>
      <x:c r="F130" s="108"/>
      <x:c r="G130" s="124"/>
      <x:c r="H130" s="108"/>
      <x:c r="I130" s="129" t="str">
        <x:f>IF(OR(G130="",H130=""),"",IF(H130="Completado","OK",IF(G130&lt;TODAY(),"VENCIDO",IF(G130&lt;=TODAY()+3,"PRÓXIMO","EN TIEMPO"))))</x:f>
      </x:c>
      <x:c r="J130" s="161"/>
      <x:c r="K130" s="161"/>
      <x:c r="L130" s="161"/>
      <x:c r="M130" s="161"/>
      <x:c r="N130" s="161"/>
      <x:c r="O130" s="161"/>
      <x:c r="P130" s="161"/>
      <x:c r="Q130" s="161"/>
      <x:c r="R130" s="161"/>
      <x:c r="S130" s="161"/>
      <x:c r="T130" s="161"/>
      <x:c r="U130" s="161"/>
      <x:c r="V130" s="161"/>
      <x:c r="W130" s="161"/>
      <x:c r="X130" s="161"/>
      <x:c r="Y130" s="161"/>
      <x:c r="Z130" s="161"/>
    </x:row>
    <x:row r="131">
      <x:c r="A131" s="124"/>
      <x:c r="B131" s="108"/>
      <x:c r="C131" s="108"/>
      <x:c r="D131" s="108"/>
      <x:c r="E131" s="108"/>
      <x:c r="F131" s="108"/>
      <x:c r="G131" s="124"/>
      <x:c r="H131" s="108"/>
      <x:c r="I131" s="129" t="str">
        <x:f>IF(OR(G131="",H131=""),"",IF(H131="Completado","OK",IF(G131&lt;TODAY(),"VENCIDO",IF(G131&lt;=TODAY()+3,"PRÓXIMO","EN TIEMPO"))))</x:f>
      </x:c>
      <x:c r="J131" s="161"/>
      <x:c r="K131" s="161"/>
      <x:c r="L131" s="161"/>
      <x:c r="M131" s="161"/>
      <x:c r="N131" s="161"/>
      <x:c r="O131" s="161"/>
      <x:c r="P131" s="161"/>
      <x:c r="Q131" s="161"/>
      <x:c r="R131" s="161"/>
      <x:c r="S131" s="161"/>
      <x:c r="T131" s="161"/>
      <x:c r="U131" s="161"/>
      <x:c r="V131" s="161"/>
      <x:c r="W131" s="161"/>
      <x:c r="X131" s="161"/>
      <x:c r="Y131" s="161"/>
      <x:c r="Z131" s="161"/>
    </x:row>
    <x:row r="132">
      <x:c r="A132" s="124"/>
      <x:c r="B132" s="108"/>
      <x:c r="C132" s="108"/>
      <x:c r="D132" s="108"/>
      <x:c r="E132" s="108"/>
      <x:c r="F132" s="108"/>
      <x:c r="G132" s="124"/>
      <x:c r="H132" s="108"/>
      <x:c r="I132" s="129" t="str">
        <x:f>IF(OR(G132="",H132=""),"",IF(H132="Completado","OK",IF(G132&lt;TODAY(),"VENCIDO",IF(G132&lt;=TODAY()+3,"PRÓXIMO","EN TIEMPO"))))</x:f>
      </x:c>
      <x:c r="J132" s="161"/>
      <x:c r="K132" s="161"/>
      <x:c r="L132" s="161"/>
      <x:c r="M132" s="161"/>
      <x:c r="N132" s="161"/>
      <x:c r="O132" s="161"/>
      <x:c r="P132" s="161"/>
      <x:c r="Q132" s="161"/>
      <x:c r="R132" s="161"/>
      <x:c r="S132" s="161"/>
      <x:c r="T132" s="161"/>
      <x:c r="U132" s="161"/>
      <x:c r="V132" s="161"/>
      <x:c r="W132" s="161"/>
      <x:c r="X132" s="161"/>
      <x:c r="Y132" s="161"/>
      <x:c r="Z132" s="161"/>
    </x:row>
    <x:row r="133">
      <x:c r="A133" s="124"/>
      <x:c r="B133" s="108"/>
      <x:c r="C133" s="108"/>
      <x:c r="D133" s="108"/>
      <x:c r="E133" s="108"/>
      <x:c r="F133" s="108"/>
      <x:c r="G133" s="124"/>
      <x:c r="H133" s="108"/>
      <x:c r="I133" s="129" t="str">
        <x:f>IF(OR(G133="",H133=""),"",IF(H133="Completado","OK",IF(G133&lt;TODAY(),"VENCIDO",IF(G133&lt;=TODAY()+3,"PRÓXIMO","EN TIEMPO"))))</x:f>
      </x:c>
      <x:c r="J133" s="161"/>
      <x:c r="K133" s="161"/>
      <x:c r="L133" s="161"/>
      <x:c r="M133" s="161"/>
      <x:c r="N133" s="161"/>
      <x:c r="O133" s="161"/>
      <x:c r="P133" s="161"/>
      <x:c r="Q133" s="161"/>
      <x:c r="R133" s="161"/>
      <x:c r="S133" s="161"/>
      <x:c r="T133" s="161"/>
      <x:c r="U133" s="161"/>
      <x:c r="V133" s="161"/>
      <x:c r="W133" s="161"/>
      <x:c r="X133" s="161"/>
      <x:c r="Y133" s="161"/>
      <x:c r="Z133" s="161"/>
    </x:row>
    <x:row r="134">
      <x:c r="A134" s="124"/>
      <x:c r="B134" s="108"/>
      <x:c r="C134" s="108"/>
      <x:c r="D134" s="108"/>
      <x:c r="E134" s="108"/>
      <x:c r="F134" s="108"/>
      <x:c r="G134" s="124"/>
      <x:c r="H134" s="108"/>
      <x:c r="I134" s="129" t="str">
        <x:f>IF(OR(G134="",H134=""),"",IF(H134="Completado","OK",IF(G134&lt;TODAY(),"VENCIDO",IF(G134&lt;=TODAY()+3,"PRÓXIMO","EN TIEMPO"))))</x:f>
      </x:c>
      <x:c r="J134" s="161"/>
      <x:c r="K134" s="161"/>
      <x:c r="L134" s="161"/>
      <x:c r="M134" s="161"/>
      <x:c r="N134" s="161"/>
      <x:c r="O134" s="161"/>
      <x:c r="P134" s="161"/>
      <x:c r="Q134" s="161"/>
      <x:c r="R134" s="161"/>
      <x:c r="S134" s="161"/>
      <x:c r="T134" s="161"/>
      <x:c r="U134" s="161"/>
      <x:c r="V134" s="161"/>
      <x:c r="W134" s="161"/>
      <x:c r="X134" s="161"/>
      <x:c r="Y134" s="161"/>
      <x:c r="Z134" s="161"/>
    </x:row>
    <x:row r="135">
      <x:c r="A135" s="124"/>
      <x:c r="B135" s="108"/>
      <x:c r="C135" s="108"/>
      <x:c r="D135" s="108"/>
      <x:c r="E135" s="108"/>
      <x:c r="F135" s="108"/>
      <x:c r="G135" s="124"/>
      <x:c r="H135" s="108"/>
      <x:c r="I135" s="129" t="str">
        <x:f>IF(OR(G135="",H135=""),"",IF(H135="Completado","OK",IF(G135&lt;TODAY(),"VENCIDO",IF(G135&lt;=TODAY()+3,"PRÓXIMO","EN TIEMPO"))))</x:f>
      </x:c>
      <x:c r="J135" s="161"/>
      <x:c r="K135" s="161"/>
      <x:c r="L135" s="161"/>
      <x:c r="M135" s="161"/>
      <x:c r="N135" s="161"/>
      <x:c r="O135" s="161"/>
      <x:c r="P135" s="161"/>
      <x:c r="Q135" s="161"/>
      <x:c r="R135" s="161"/>
      <x:c r="S135" s="161"/>
      <x:c r="T135" s="161"/>
      <x:c r="U135" s="161"/>
      <x:c r="V135" s="161"/>
      <x:c r="W135" s="161"/>
      <x:c r="X135" s="161"/>
      <x:c r="Y135" s="161"/>
      <x:c r="Z135" s="161"/>
    </x:row>
    <x:row r="136">
      <x:c r="A136" s="124"/>
      <x:c r="B136" s="108"/>
      <x:c r="C136" s="108"/>
      <x:c r="D136" s="108"/>
      <x:c r="E136" s="108"/>
      <x:c r="F136" s="108"/>
      <x:c r="G136" s="124"/>
      <x:c r="H136" s="108"/>
      <x:c r="I136" s="129" t="str">
        <x:f>IF(OR(G136="",H136=""),"",IF(H136="Completado","OK",IF(G136&lt;TODAY(),"VENCIDO",IF(G136&lt;=TODAY()+3,"PRÓXIMO","EN TIEMPO"))))</x:f>
      </x:c>
      <x:c r="J136" s="161"/>
      <x:c r="K136" s="161"/>
      <x:c r="L136" s="161"/>
      <x:c r="M136" s="161"/>
      <x:c r="N136" s="161"/>
      <x:c r="O136" s="161"/>
      <x:c r="P136" s="161"/>
      <x:c r="Q136" s="161"/>
      <x:c r="R136" s="161"/>
      <x:c r="S136" s="161"/>
      <x:c r="T136" s="161"/>
      <x:c r="U136" s="161"/>
      <x:c r="V136" s="161"/>
      <x:c r="W136" s="161"/>
      <x:c r="X136" s="161"/>
      <x:c r="Y136" s="161"/>
      <x:c r="Z136" s="161"/>
    </x:row>
    <x:row r="137">
      <x:c r="A137" s="124"/>
      <x:c r="B137" s="108"/>
      <x:c r="C137" s="108"/>
      <x:c r="D137" s="108"/>
      <x:c r="E137" s="108"/>
      <x:c r="F137" s="108"/>
      <x:c r="G137" s="124"/>
      <x:c r="H137" s="108"/>
      <x:c r="I137" s="129" t="str">
        <x:f>IF(OR(G137="",H137=""),"",IF(H137="Completado","OK",IF(G137&lt;TODAY(),"VENCIDO",IF(G137&lt;=TODAY()+3,"PRÓXIMO","EN TIEMPO"))))</x:f>
      </x:c>
      <x:c r="J137" s="161"/>
      <x:c r="K137" s="161"/>
      <x:c r="L137" s="161"/>
      <x:c r="M137" s="161"/>
      <x:c r="N137" s="161"/>
      <x:c r="O137" s="161"/>
      <x:c r="P137" s="161"/>
      <x:c r="Q137" s="161"/>
      <x:c r="R137" s="161"/>
      <x:c r="S137" s="161"/>
      <x:c r="T137" s="161"/>
      <x:c r="U137" s="161"/>
      <x:c r="V137" s="161"/>
      <x:c r="W137" s="161"/>
      <x:c r="X137" s="161"/>
      <x:c r="Y137" s="161"/>
      <x:c r="Z137" s="161"/>
    </x:row>
    <x:row r="138">
      <x:c r="A138" s="124"/>
      <x:c r="B138" s="108"/>
      <x:c r="C138" s="108"/>
      <x:c r="D138" s="108"/>
      <x:c r="E138" s="108"/>
      <x:c r="F138" s="108"/>
      <x:c r="G138" s="124"/>
      <x:c r="H138" s="108"/>
      <x:c r="I138" s="129" t="str">
        <x:f>IF(OR(G138="",H138=""),"",IF(H138="Completado","OK",IF(G138&lt;TODAY(),"VENCIDO",IF(G138&lt;=TODAY()+3,"PRÓXIMO","EN TIEMPO"))))</x:f>
      </x:c>
      <x:c r="J138" s="161"/>
      <x:c r="K138" s="161"/>
      <x:c r="L138" s="161"/>
      <x:c r="M138" s="161"/>
      <x:c r="N138" s="161"/>
      <x:c r="O138" s="161"/>
      <x:c r="P138" s="161"/>
      <x:c r="Q138" s="161"/>
      <x:c r="R138" s="161"/>
      <x:c r="S138" s="161"/>
      <x:c r="T138" s="161"/>
      <x:c r="U138" s="161"/>
      <x:c r="V138" s="161"/>
      <x:c r="W138" s="161"/>
      <x:c r="X138" s="161"/>
      <x:c r="Y138" s="161"/>
      <x:c r="Z138" s="161"/>
    </x:row>
    <x:row r="139">
      <x:c r="A139" s="124"/>
      <x:c r="B139" s="108"/>
      <x:c r="C139" s="108"/>
      <x:c r="D139" s="108"/>
      <x:c r="E139" s="108"/>
      <x:c r="F139" s="108"/>
      <x:c r="G139" s="124"/>
      <x:c r="H139" s="108"/>
      <x:c r="I139" s="129" t="str">
        <x:f>IF(OR(G139="",H139=""),"",IF(H139="Completado","OK",IF(G139&lt;TODAY(),"VENCIDO",IF(G139&lt;=TODAY()+3,"PRÓXIMO","EN TIEMPO"))))</x:f>
      </x:c>
      <x:c r="J139" s="161"/>
      <x:c r="K139" s="161"/>
      <x:c r="L139" s="161"/>
      <x:c r="M139" s="161"/>
      <x:c r="N139" s="161"/>
      <x:c r="O139" s="161"/>
      <x:c r="P139" s="161"/>
      <x:c r="Q139" s="161"/>
      <x:c r="R139" s="161"/>
      <x:c r="S139" s="161"/>
      <x:c r="T139" s="161"/>
      <x:c r="U139" s="161"/>
      <x:c r="V139" s="161"/>
      <x:c r="W139" s="161"/>
      <x:c r="X139" s="161"/>
      <x:c r="Y139" s="161"/>
      <x:c r="Z139" s="161"/>
    </x:row>
    <x:row r="140">
      <x:c r="A140" s="124"/>
      <x:c r="B140" s="108"/>
      <x:c r="C140" s="108"/>
      <x:c r="D140" s="108"/>
      <x:c r="E140" s="108"/>
      <x:c r="F140" s="108"/>
      <x:c r="G140" s="124"/>
      <x:c r="H140" s="108"/>
      <x:c r="I140" s="129" t="str">
        <x:f>IF(OR(G140="",H140=""),"",IF(H140="Completado","OK",IF(G140&lt;TODAY(),"VENCIDO",IF(G140&lt;=TODAY()+3,"PRÓXIMO","EN TIEMPO"))))</x:f>
      </x:c>
      <x:c r="J140" s="161"/>
      <x:c r="K140" s="161"/>
      <x:c r="L140" s="161"/>
      <x:c r="M140" s="161"/>
      <x:c r="N140" s="161"/>
      <x:c r="O140" s="161"/>
      <x:c r="P140" s="161"/>
      <x:c r="Q140" s="161"/>
      <x:c r="R140" s="161"/>
      <x:c r="S140" s="161"/>
      <x:c r="T140" s="161"/>
      <x:c r="U140" s="161"/>
      <x:c r="V140" s="161"/>
      <x:c r="W140" s="161"/>
      <x:c r="X140" s="161"/>
      <x:c r="Y140" s="161"/>
      <x:c r="Z140" s="161"/>
    </x:row>
    <x:row r="141">
      <x:c r="A141" s="124"/>
      <x:c r="B141" s="108"/>
      <x:c r="C141" s="108"/>
      <x:c r="D141" s="108"/>
      <x:c r="E141" s="108"/>
      <x:c r="F141" s="108"/>
      <x:c r="G141" s="124"/>
      <x:c r="H141" s="108"/>
      <x:c r="I141" s="129" t="str">
        <x:f>IF(OR(G141="",H141=""),"",IF(H141="Completado","OK",IF(G141&lt;TODAY(),"VENCIDO",IF(G141&lt;=TODAY()+3,"PRÓXIMO","EN TIEMPO"))))</x:f>
      </x:c>
      <x:c r="J141" s="161"/>
      <x:c r="K141" s="161"/>
      <x:c r="L141" s="161"/>
      <x:c r="M141" s="161"/>
      <x:c r="N141" s="161"/>
      <x:c r="O141" s="161"/>
      <x:c r="P141" s="161"/>
      <x:c r="Q141" s="161"/>
      <x:c r="R141" s="161"/>
      <x:c r="S141" s="161"/>
      <x:c r="T141" s="161"/>
      <x:c r="U141" s="161"/>
      <x:c r="V141" s="161"/>
      <x:c r="W141" s="161"/>
      <x:c r="X141" s="161"/>
      <x:c r="Y141" s="161"/>
      <x:c r="Z141" s="161"/>
    </x:row>
    <x:row r="142">
      <x:c r="A142" s="124"/>
      <x:c r="B142" s="108"/>
      <x:c r="C142" s="108"/>
      <x:c r="D142" s="108"/>
      <x:c r="E142" s="108"/>
      <x:c r="F142" s="108"/>
      <x:c r="G142" s="124"/>
      <x:c r="H142" s="108"/>
      <x:c r="I142" s="129" t="str">
        <x:f>IF(OR(G142="",H142=""),"",IF(H142="Completado","OK",IF(G142&lt;TODAY(),"VENCIDO",IF(G142&lt;=TODAY()+3,"PRÓXIMO","EN TIEMPO"))))</x:f>
      </x:c>
      <x:c r="J142" s="161"/>
      <x:c r="K142" s="161"/>
      <x:c r="L142" s="161"/>
      <x:c r="M142" s="161"/>
      <x:c r="N142" s="161"/>
      <x:c r="O142" s="161"/>
      <x:c r="P142" s="161"/>
      <x:c r="Q142" s="161"/>
      <x:c r="R142" s="161"/>
      <x:c r="S142" s="161"/>
      <x:c r="T142" s="161"/>
      <x:c r="U142" s="161"/>
      <x:c r="V142" s="161"/>
      <x:c r="W142" s="161"/>
      <x:c r="X142" s="161"/>
      <x:c r="Y142" s="161"/>
      <x:c r="Z142" s="161"/>
    </x:row>
    <x:row r="143">
      <x:c r="A143" s="124"/>
      <x:c r="B143" s="108"/>
      <x:c r="C143" s="108"/>
      <x:c r="D143" s="108"/>
      <x:c r="E143" s="108"/>
      <x:c r="F143" s="108"/>
      <x:c r="G143" s="124"/>
      <x:c r="H143" s="108"/>
      <x:c r="I143" s="129" t="str">
        <x:f>IF(OR(G143="",H143=""),"",IF(H143="Completado","OK",IF(G143&lt;TODAY(),"VENCIDO",IF(G143&lt;=TODAY()+3,"PRÓXIMO","EN TIEMPO"))))</x:f>
      </x:c>
      <x:c r="J143" s="161"/>
      <x:c r="K143" s="161"/>
      <x:c r="L143" s="161"/>
      <x:c r="M143" s="161"/>
      <x:c r="N143" s="161"/>
      <x:c r="O143" s="161"/>
      <x:c r="P143" s="161"/>
      <x:c r="Q143" s="161"/>
      <x:c r="R143" s="161"/>
      <x:c r="S143" s="161"/>
      <x:c r="T143" s="161"/>
      <x:c r="U143" s="161"/>
      <x:c r="V143" s="161"/>
      <x:c r="W143" s="161"/>
      <x:c r="X143" s="161"/>
      <x:c r="Y143" s="161"/>
      <x:c r="Z143" s="161"/>
    </x:row>
    <x:row r="144">
      <x:c r="A144" s="124"/>
      <x:c r="B144" s="108"/>
      <x:c r="C144" s="108"/>
      <x:c r="D144" s="108"/>
      <x:c r="E144" s="108"/>
      <x:c r="F144" s="108"/>
      <x:c r="G144" s="124"/>
      <x:c r="H144" s="108"/>
      <x:c r="I144" s="129" t="str">
        <x:f>IF(OR(G144="",H144=""),"",IF(H144="Completado","OK",IF(G144&lt;TODAY(),"VENCIDO",IF(G144&lt;=TODAY()+3,"PRÓXIMO","EN TIEMPO"))))</x:f>
      </x:c>
      <x:c r="J144" s="161"/>
      <x:c r="K144" s="161"/>
      <x:c r="L144" s="161"/>
      <x:c r="M144" s="161"/>
      <x:c r="N144" s="161"/>
      <x:c r="O144" s="161"/>
      <x:c r="P144" s="161"/>
      <x:c r="Q144" s="161"/>
      <x:c r="R144" s="161"/>
      <x:c r="S144" s="161"/>
      <x:c r="T144" s="161"/>
      <x:c r="U144" s="161"/>
      <x:c r="V144" s="161"/>
      <x:c r="W144" s="161"/>
      <x:c r="X144" s="161"/>
      <x:c r="Y144" s="161"/>
      <x:c r="Z144" s="161"/>
    </x:row>
    <x:row r="145">
      <x:c r="A145" s="124"/>
      <x:c r="B145" s="108"/>
      <x:c r="C145" s="108"/>
      <x:c r="D145" s="108"/>
      <x:c r="E145" s="108"/>
      <x:c r="F145" s="108"/>
      <x:c r="G145" s="124"/>
      <x:c r="H145" s="108"/>
      <x:c r="I145" s="129" t="str">
        <x:f>IF(OR(G145="",H145=""),"",IF(H145="Completado","OK",IF(G145&lt;TODAY(),"VENCIDO",IF(G145&lt;=TODAY()+3,"PRÓXIMO","EN TIEMPO"))))</x:f>
      </x:c>
      <x:c r="J145" s="161"/>
      <x:c r="K145" s="161"/>
      <x:c r="L145" s="161"/>
      <x:c r="M145" s="161"/>
      <x:c r="N145" s="161"/>
      <x:c r="O145" s="161"/>
      <x:c r="P145" s="161"/>
      <x:c r="Q145" s="161"/>
      <x:c r="R145" s="161"/>
      <x:c r="S145" s="161"/>
      <x:c r="T145" s="161"/>
      <x:c r="U145" s="161"/>
      <x:c r="V145" s="161"/>
      <x:c r="W145" s="161"/>
      <x:c r="X145" s="161"/>
      <x:c r="Y145" s="161"/>
      <x:c r="Z145" s="161"/>
    </x:row>
    <x:row r="146">
      <x:c r="A146" s="124"/>
      <x:c r="B146" s="108"/>
      <x:c r="C146" s="108"/>
      <x:c r="D146" s="108"/>
      <x:c r="E146" s="108"/>
      <x:c r="F146" s="108"/>
      <x:c r="G146" s="124"/>
      <x:c r="H146" s="108"/>
      <x:c r="I146" s="129" t="str">
        <x:f>IF(OR(G146="",H146=""),"",IF(H146="Completado","OK",IF(G146&lt;TODAY(),"VENCIDO",IF(G146&lt;=TODAY()+3,"PRÓXIMO","EN TIEMPO"))))</x:f>
      </x:c>
      <x:c r="J146" s="161"/>
      <x:c r="K146" s="161"/>
      <x:c r="L146" s="161"/>
      <x:c r="M146" s="161"/>
      <x:c r="N146" s="161"/>
      <x:c r="O146" s="161"/>
      <x:c r="P146" s="161"/>
      <x:c r="Q146" s="161"/>
      <x:c r="R146" s="161"/>
      <x:c r="S146" s="161"/>
      <x:c r="T146" s="161"/>
      <x:c r="U146" s="161"/>
      <x:c r="V146" s="161"/>
      <x:c r="W146" s="161"/>
      <x:c r="X146" s="161"/>
      <x:c r="Y146" s="161"/>
      <x:c r="Z146" s="161"/>
    </x:row>
    <x:row r="147">
      <x:c r="A147" s="124"/>
      <x:c r="B147" s="108"/>
      <x:c r="C147" s="108"/>
      <x:c r="D147" s="108"/>
      <x:c r="E147" s="108"/>
      <x:c r="F147" s="108"/>
      <x:c r="G147" s="124"/>
      <x:c r="H147" s="108"/>
      <x:c r="I147" s="129" t="str">
        <x:f>IF(OR(G147="",H147=""),"",IF(H147="Completado","OK",IF(G147&lt;TODAY(),"VENCIDO",IF(G147&lt;=TODAY()+3,"PRÓXIMO","EN TIEMPO"))))</x:f>
      </x:c>
      <x:c r="J147" s="161"/>
      <x:c r="K147" s="161"/>
      <x:c r="L147" s="161"/>
      <x:c r="M147" s="161"/>
      <x:c r="N147" s="161"/>
      <x:c r="O147" s="161"/>
      <x:c r="P147" s="161"/>
      <x:c r="Q147" s="161"/>
      <x:c r="R147" s="161"/>
      <x:c r="S147" s="161"/>
      <x:c r="T147" s="161"/>
      <x:c r="U147" s="161"/>
      <x:c r="V147" s="161"/>
      <x:c r="W147" s="161"/>
      <x:c r="X147" s="161"/>
      <x:c r="Y147" s="161"/>
      <x:c r="Z147" s="161"/>
    </x:row>
    <x:row r="148">
      <x:c r="A148" s="124"/>
      <x:c r="B148" s="108"/>
      <x:c r="C148" s="108"/>
      <x:c r="D148" s="108"/>
      <x:c r="E148" s="108"/>
      <x:c r="F148" s="108"/>
      <x:c r="G148" s="124"/>
      <x:c r="H148" s="108"/>
      <x:c r="I148" s="129" t="str">
        <x:f>IF(OR(G148="",H148=""),"",IF(H148="Completado","OK",IF(G148&lt;TODAY(),"VENCIDO",IF(G148&lt;=TODAY()+3,"PRÓXIMO","EN TIEMPO"))))</x:f>
      </x:c>
      <x:c r="J148" s="161"/>
      <x:c r="K148" s="161"/>
      <x:c r="L148" s="161"/>
      <x:c r="M148" s="161"/>
      <x:c r="N148" s="161"/>
      <x:c r="O148" s="161"/>
      <x:c r="P148" s="161"/>
      <x:c r="Q148" s="161"/>
      <x:c r="R148" s="161"/>
      <x:c r="S148" s="161"/>
      <x:c r="T148" s="161"/>
      <x:c r="U148" s="161"/>
      <x:c r="V148" s="161"/>
      <x:c r="W148" s="161"/>
      <x:c r="X148" s="161"/>
      <x:c r="Y148" s="161"/>
      <x:c r="Z148" s="161"/>
    </x:row>
    <x:row r="149">
      <x:c r="A149" s="124"/>
      <x:c r="B149" s="108"/>
      <x:c r="C149" s="108"/>
      <x:c r="D149" s="108"/>
      <x:c r="E149" s="108"/>
      <x:c r="F149" s="108"/>
      <x:c r="G149" s="124"/>
      <x:c r="H149" s="108"/>
      <x:c r="I149" s="129" t="str">
        <x:f>IF(OR(G149="",H149=""),"",IF(H149="Completado","OK",IF(G149&lt;TODAY(),"VENCIDO",IF(G149&lt;=TODAY()+3,"PRÓXIMO","EN TIEMPO"))))</x:f>
      </x:c>
      <x:c r="J149" s="161"/>
      <x:c r="K149" s="161"/>
      <x:c r="L149" s="161"/>
      <x:c r="M149" s="161"/>
      <x:c r="N149" s="161"/>
      <x:c r="O149" s="161"/>
      <x:c r="P149" s="161"/>
      <x:c r="Q149" s="161"/>
      <x:c r="R149" s="161"/>
      <x:c r="S149" s="161"/>
      <x:c r="T149" s="161"/>
      <x:c r="U149" s="161"/>
      <x:c r="V149" s="161"/>
      <x:c r="W149" s="161"/>
      <x:c r="X149" s="161"/>
      <x:c r="Y149" s="161"/>
      <x:c r="Z149" s="161"/>
    </x:row>
    <x:row r="150">
      <x:c r="A150" s="124"/>
      <x:c r="B150" s="108"/>
      <x:c r="C150" s="108"/>
      <x:c r="D150" s="108"/>
      <x:c r="E150" s="108"/>
      <x:c r="F150" s="108"/>
      <x:c r="G150" s="124"/>
      <x:c r="H150" s="108"/>
      <x:c r="I150" s="129" t="str">
        <x:f>IF(OR(G150="",H150=""),"",IF(H150="Completado","OK",IF(G150&lt;TODAY(),"VENCIDO",IF(G150&lt;=TODAY()+3,"PRÓXIMO","EN TIEMPO"))))</x:f>
      </x:c>
      <x:c r="J150" s="161"/>
      <x:c r="K150" s="161"/>
      <x:c r="L150" s="161"/>
      <x:c r="M150" s="161"/>
      <x:c r="N150" s="161"/>
      <x:c r="O150" s="161"/>
      <x:c r="P150" s="161"/>
      <x:c r="Q150" s="161"/>
      <x:c r="R150" s="161"/>
      <x:c r="S150" s="161"/>
      <x:c r="T150" s="161"/>
      <x:c r="U150" s="161"/>
      <x:c r="V150" s="161"/>
      <x:c r="W150" s="161"/>
      <x:c r="X150" s="161"/>
      <x:c r="Y150" s="161"/>
      <x:c r="Z150" s="161"/>
    </x:row>
    <x:row r="151">
      <x:c r="A151" s="124"/>
      <x:c r="B151" s="108"/>
      <x:c r="C151" s="108"/>
      <x:c r="D151" s="108"/>
      <x:c r="E151" s="108"/>
      <x:c r="F151" s="108"/>
      <x:c r="G151" s="124"/>
      <x:c r="H151" s="108"/>
      <x:c r="I151" s="129" t="str">
        <x:f>IF(OR(G151="",H151=""),"",IF(H151="Completado","OK",IF(G151&lt;TODAY(),"VENCIDO",IF(G151&lt;=TODAY()+3,"PRÓXIMO","EN TIEMPO"))))</x:f>
      </x:c>
      <x:c r="J151" s="161"/>
      <x:c r="K151" s="161"/>
      <x:c r="L151" s="161"/>
      <x:c r="M151" s="161"/>
      <x:c r="N151" s="161"/>
      <x:c r="O151" s="161"/>
      <x:c r="P151" s="161"/>
      <x:c r="Q151" s="161"/>
      <x:c r="R151" s="161"/>
      <x:c r="S151" s="161"/>
      <x:c r="T151" s="161"/>
      <x:c r="U151" s="161"/>
      <x:c r="V151" s="161"/>
      <x:c r="W151" s="161"/>
      <x:c r="X151" s="161"/>
      <x:c r="Y151" s="161"/>
      <x:c r="Z151" s="161"/>
    </x:row>
    <x:row r="152">
      <x:c r="A152" s="124"/>
      <x:c r="B152" s="108"/>
      <x:c r="C152" s="108"/>
      <x:c r="D152" s="108"/>
      <x:c r="E152" s="108"/>
      <x:c r="F152" s="108"/>
      <x:c r="G152" s="124"/>
      <x:c r="H152" s="108"/>
      <x:c r="I152" s="129" t="str">
        <x:f>IF(OR(G152="",H152=""),"",IF(H152="Completado","OK",IF(G152&lt;TODAY(),"VENCIDO",IF(G152&lt;=TODAY()+3,"PRÓXIMO","EN TIEMPO"))))</x:f>
      </x:c>
      <x:c r="J152" s="161"/>
      <x:c r="K152" s="161"/>
      <x:c r="L152" s="161"/>
      <x:c r="M152" s="161"/>
      <x:c r="N152" s="161"/>
      <x:c r="O152" s="161"/>
      <x:c r="P152" s="161"/>
      <x:c r="Q152" s="161"/>
      <x:c r="R152" s="161"/>
      <x:c r="S152" s="161"/>
      <x:c r="T152" s="161"/>
      <x:c r="U152" s="161"/>
      <x:c r="V152" s="161"/>
      <x:c r="W152" s="161"/>
      <x:c r="X152" s="161"/>
      <x:c r="Y152" s="161"/>
      <x:c r="Z152" s="161"/>
    </x:row>
    <x:row r="153">
      <x:c r="A153" s="124"/>
      <x:c r="B153" s="108"/>
      <x:c r="C153" s="108"/>
      <x:c r="D153" s="108"/>
      <x:c r="E153" s="108"/>
      <x:c r="F153" s="108"/>
      <x:c r="G153" s="124"/>
      <x:c r="H153" s="108"/>
      <x:c r="I153" s="129" t="str">
        <x:f>IF(OR(G153="",H153=""),"",IF(H153="Completado","OK",IF(G153&lt;TODAY(),"VENCIDO",IF(G153&lt;=TODAY()+3,"PRÓXIMO","EN TIEMPO"))))</x:f>
      </x:c>
      <x:c r="J153" s="161"/>
      <x:c r="K153" s="161"/>
      <x:c r="L153" s="161"/>
      <x:c r="M153" s="161"/>
      <x:c r="N153" s="161"/>
      <x:c r="O153" s="161"/>
      <x:c r="P153" s="161"/>
      <x:c r="Q153" s="161"/>
      <x:c r="R153" s="161"/>
      <x:c r="S153" s="161"/>
      <x:c r="T153" s="161"/>
      <x:c r="U153" s="161"/>
      <x:c r="V153" s="161"/>
      <x:c r="W153" s="161"/>
      <x:c r="X153" s="161"/>
      <x:c r="Y153" s="161"/>
      <x:c r="Z153" s="161"/>
    </x:row>
    <x:row r="154">
      <x:c r="A154" s="124"/>
      <x:c r="B154" s="108"/>
      <x:c r="C154" s="108"/>
      <x:c r="D154" s="108"/>
      <x:c r="E154" s="108"/>
      <x:c r="F154" s="108"/>
      <x:c r="G154" s="124"/>
      <x:c r="H154" s="108"/>
      <x:c r="I154" s="129" t="str">
        <x:f>IF(OR(G154="",H154=""),"",IF(H154="Completado","OK",IF(G154&lt;TODAY(),"VENCIDO",IF(G154&lt;=TODAY()+3,"PRÓXIMO","EN TIEMPO"))))</x:f>
      </x:c>
      <x:c r="J154" s="161"/>
      <x:c r="K154" s="161"/>
      <x:c r="L154" s="161"/>
      <x:c r="M154" s="161"/>
      <x:c r="N154" s="161"/>
      <x:c r="O154" s="161"/>
      <x:c r="P154" s="161"/>
      <x:c r="Q154" s="161"/>
      <x:c r="R154" s="161"/>
      <x:c r="S154" s="161"/>
      <x:c r="T154" s="161"/>
      <x:c r="U154" s="161"/>
      <x:c r="V154" s="161"/>
      <x:c r="W154" s="161"/>
      <x:c r="X154" s="161"/>
      <x:c r="Y154" s="161"/>
      <x:c r="Z154" s="161"/>
    </x:row>
    <x:row r="155">
      <x:c r="A155" s="124"/>
      <x:c r="B155" s="108"/>
      <x:c r="C155" s="108"/>
      <x:c r="D155" s="108"/>
      <x:c r="E155" s="108"/>
      <x:c r="F155" s="108"/>
      <x:c r="G155" s="124"/>
      <x:c r="H155" s="108"/>
      <x:c r="I155" s="129" t="str">
        <x:f>IF(OR(G155="",H155=""),"",IF(H155="Completado","OK",IF(G155&lt;TODAY(),"VENCIDO",IF(G155&lt;=TODAY()+3,"PRÓXIMO","EN TIEMPO"))))</x:f>
      </x:c>
      <x:c r="J155" s="161"/>
      <x:c r="K155" s="161"/>
      <x:c r="L155" s="161"/>
      <x:c r="M155" s="161"/>
      <x:c r="N155" s="161"/>
      <x:c r="O155" s="161"/>
      <x:c r="P155" s="161"/>
      <x:c r="Q155" s="161"/>
      <x:c r="R155" s="161"/>
      <x:c r="S155" s="161"/>
      <x:c r="T155" s="161"/>
      <x:c r="U155" s="161"/>
      <x:c r="V155" s="161"/>
      <x:c r="W155" s="161"/>
      <x:c r="X155" s="161"/>
      <x:c r="Y155" s="161"/>
      <x:c r="Z155" s="161"/>
    </x:row>
    <x:row r="156">
      <x:c r="A156" s="124"/>
      <x:c r="B156" s="108"/>
      <x:c r="C156" s="108"/>
      <x:c r="D156" s="108"/>
      <x:c r="E156" s="108"/>
      <x:c r="F156" s="108"/>
      <x:c r="G156" s="124"/>
      <x:c r="H156" s="108"/>
      <x:c r="I156" s="129" t="str">
        <x:f>IF(OR(G156="",H156=""),"",IF(H156="Completado","OK",IF(G156&lt;TODAY(),"VENCIDO",IF(G156&lt;=TODAY()+3,"PRÓXIMO","EN TIEMPO"))))</x:f>
      </x:c>
      <x:c r="J156" s="161"/>
      <x:c r="K156" s="161"/>
      <x:c r="L156" s="161"/>
      <x:c r="M156" s="161"/>
      <x:c r="N156" s="161"/>
      <x:c r="O156" s="161"/>
      <x:c r="P156" s="161"/>
      <x:c r="Q156" s="161"/>
      <x:c r="R156" s="161"/>
      <x:c r="S156" s="161"/>
      <x:c r="T156" s="161"/>
      <x:c r="U156" s="161"/>
      <x:c r="V156" s="161"/>
      <x:c r="W156" s="161"/>
      <x:c r="X156" s="161"/>
      <x:c r="Y156" s="161"/>
      <x:c r="Z156" s="161"/>
    </x:row>
    <x:row r="157">
      <x:c r="A157" s="124"/>
      <x:c r="B157" s="108"/>
      <x:c r="C157" s="108"/>
      <x:c r="D157" s="108"/>
      <x:c r="E157" s="108"/>
      <x:c r="F157" s="108"/>
      <x:c r="G157" s="124"/>
      <x:c r="H157" s="108"/>
      <x:c r="I157" s="129" t="str">
        <x:f>IF(OR(G157="",H157=""),"",IF(H157="Completado","OK",IF(G157&lt;TODAY(),"VENCIDO",IF(G157&lt;=TODAY()+3,"PRÓXIMO","EN TIEMPO"))))</x:f>
      </x:c>
      <x:c r="J157" s="161"/>
      <x:c r="K157" s="161"/>
      <x:c r="L157" s="161"/>
      <x:c r="M157" s="161"/>
      <x:c r="N157" s="161"/>
      <x:c r="O157" s="161"/>
      <x:c r="P157" s="161"/>
      <x:c r="Q157" s="161"/>
      <x:c r="R157" s="161"/>
      <x:c r="S157" s="161"/>
      <x:c r="T157" s="161"/>
      <x:c r="U157" s="161"/>
      <x:c r="V157" s="161"/>
      <x:c r="W157" s="161"/>
      <x:c r="X157" s="161"/>
      <x:c r="Y157" s="161"/>
      <x:c r="Z157" s="161"/>
    </x:row>
    <x:row r="158">
      <x:c r="A158" s="124"/>
      <x:c r="B158" s="108"/>
      <x:c r="C158" s="108"/>
      <x:c r="D158" s="108"/>
      <x:c r="E158" s="108"/>
      <x:c r="F158" s="108"/>
      <x:c r="G158" s="124"/>
      <x:c r="H158" s="108"/>
      <x:c r="I158" s="129" t="str">
        <x:f>IF(OR(G158="",H158=""),"",IF(H158="Completado","OK",IF(G158&lt;TODAY(),"VENCIDO",IF(G158&lt;=TODAY()+3,"PRÓXIMO","EN TIEMPO"))))</x:f>
      </x:c>
      <x:c r="J158" s="161"/>
      <x:c r="K158" s="161"/>
      <x:c r="L158" s="161"/>
      <x:c r="M158" s="161"/>
      <x:c r="N158" s="161"/>
      <x:c r="O158" s="161"/>
      <x:c r="P158" s="161"/>
      <x:c r="Q158" s="161"/>
      <x:c r="R158" s="161"/>
      <x:c r="S158" s="161"/>
      <x:c r="T158" s="161"/>
      <x:c r="U158" s="161"/>
      <x:c r="V158" s="161"/>
      <x:c r="W158" s="161"/>
      <x:c r="X158" s="161"/>
      <x:c r="Y158" s="161"/>
      <x:c r="Z158" s="161"/>
    </x:row>
    <x:row r="159">
      <x:c r="A159" s="124"/>
      <x:c r="B159" s="108"/>
      <x:c r="C159" s="108"/>
      <x:c r="D159" s="108"/>
      <x:c r="E159" s="108"/>
      <x:c r="F159" s="108"/>
      <x:c r="G159" s="124"/>
      <x:c r="H159" s="108"/>
      <x:c r="I159" s="129" t="str">
        <x:f>IF(OR(G159="",H159=""),"",IF(H159="Completado","OK",IF(G159&lt;TODAY(),"VENCIDO",IF(G159&lt;=TODAY()+3,"PRÓXIMO","EN TIEMPO"))))</x:f>
      </x:c>
      <x:c r="J159" s="161"/>
      <x:c r="K159" s="161"/>
      <x:c r="L159" s="161"/>
      <x:c r="M159" s="161"/>
      <x:c r="N159" s="161"/>
      <x:c r="O159" s="161"/>
      <x:c r="P159" s="161"/>
      <x:c r="Q159" s="161"/>
      <x:c r="R159" s="161"/>
      <x:c r="S159" s="161"/>
      <x:c r="T159" s="161"/>
      <x:c r="U159" s="161"/>
      <x:c r="V159" s="161"/>
      <x:c r="W159" s="161"/>
      <x:c r="X159" s="161"/>
      <x:c r="Y159" s="161"/>
      <x:c r="Z159" s="161"/>
    </x:row>
    <x:row r="160">
      <x:c r="A160" s="124"/>
      <x:c r="B160" s="108"/>
      <x:c r="C160" s="108"/>
      <x:c r="D160" s="108"/>
      <x:c r="E160" s="108"/>
      <x:c r="F160" s="108"/>
      <x:c r="G160" s="124"/>
      <x:c r="H160" s="108"/>
      <x:c r="I160" s="129" t="str">
        <x:f>IF(OR(G160="",H160=""),"",IF(H160="Completado","OK",IF(G160&lt;TODAY(),"VENCIDO",IF(G160&lt;=TODAY()+3,"PRÓXIMO","EN TIEMPO"))))</x:f>
      </x:c>
      <x:c r="J160" s="161"/>
      <x:c r="K160" s="161"/>
      <x:c r="L160" s="161"/>
      <x:c r="M160" s="161"/>
      <x:c r="N160" s="161"/>
      <x:c r="O160" s="161"/>
      <x:c r="P160" s="161"/>
      <x:c r="Q160" s="161"/>
      <x:c r="R160" s="161"/>
      <x:c r="S160" s="161"/>
      <x:c r="T160" s="161"/>
      <x:c r="U160" s="161"/>
      <x:c r="V160" s="161"/>
      <x:c r="W160" s="161"/>
      <x:c r="X160" s="161"/>
      <x:c r="Y160" s="161"/>
      <x:c r="Z160" s="161"/>
    </x:row>
    <x:row r="161">
      <x:c r="A161" s="124"/>
      <x:c r="B161" s="108"/>
      <x:c r="C161" s="108"/>
      <x:c r="D161" s="108"/>
      <x:c r="E161" s="108"/>
      <x:c r="F161" s="108"/>
      <x:c r="G161" s="124"/>
      <x:c r="H161" s="108"/>
      <x:c r="I161" s="129" t="str">
        <x:f>IF(OR(G161="",H161=""),"",IF(H161="Completado","OK",IF(G161&lt;TODAY(),"VENCIDO",IF(G161&lt;=TODAY()+3,"PRÓXIMO","EN TIEMPO"))))</x:f>
      </x:c>
      <x:c r="J161" s="161"/>
      <x:c r="K161" s="161"/>
      <x:c r="L161" s="161"/>
      <x:c r="M161" s="161"/>
      <x:c r="N161" s="161"/>
      <x:c r="O161" s="161"/>
      <x:c r="P161" s="161"/>
      <x:c r="Q161" s="161"/>
      <x:c r="R161" s="161"/>
      <x:c r="S161" s="161"/>
      <x:c r="T161" s="161"/>
      <x:c r="U161" s="161"/>
      <x:c r="V161" s="161"/>
      <x:c r="W161" s="161"/>
      <x:c r="X161" s="161"/>
      <x:c r="Y161" s="161"/>
      <x:c r="Z161" s="161"/>
    </x:row>
    <x:row r="162">
      <x:c r="A162" s="124"/>
      <x:c r="B162" s="108"/>
      <x:c r="C162" s="108"/>
      <x:c r="D162" s="108"/>
      <x:c r="E162" s="108"/>
      <x:c r="F162" s="108"/>
      <x:c r="G162" s="124"/>
      <x:c r="H162" s="108"/>
      <x:c r="I162" s="129" t="str">
        <x:f>IF(OR(G162="",H162=""),"",IF(H162="Completado","OK",IF(G162&lt;TODAY(),"VENCIDO",IF(G162&lt;=TODAY()+3,"PRÓXIMO","EN TIEMPO"))))</x:f>
      </x:c>
      <x:c r="J162" s="161"/>
      <x:c r="K162" s="161"/>
      <x:c r="L162" s="161"/>
      <x:c r="M162" s="161"/>
      <x:c r="N162" s="161"/>
      <x:c r="O162" s="161"/>
      <x:c r="P162" s="161"/>
      <x:c r="Q162" s="161"/>
      <x:c r="R162" s="161"/>
      <x:c r="S162" s="161"/>
      <x:c r="T162" s="161"/>
      <x:c r="U162" s="161"/>
      <x:c r="V162" s="161"/>
      <x:c r="W162" s="161"/>
      <x:c r="X162" s="161"/>
      <x:c r="Y162" s="161"/>
      <x:c r="Z162" s="161"/>
    </x:row>
    <x:row r="163">
      <x:c r="A163" s="124"/>
      <x:c r="B163" s="108"/>
      <x:c r="C163" s="108"/>
      <x:c r="D163" s="108"/>
      <x:c r="E163" s="108"/>
      <x:c r="F163" s="108"/>
      <x:c r="G163" s="124"/>
      <x:c r="H163" s="108"/>
      <x:c r="I163" s="129" t="str">
        <x:f>IF(OR(G163="",H163=""),"",IF(H163="Completado","OK",IF(G163&lt;TODAY(),"VENCIDO",IF(G163&lt;=TODAY()+3,"PRÓXIMO","EN TIEMPO"))))</x:f>
      </x:c>
      <x:c r="J163" s="161"/>
      <x:c r="K163" s="161"/>
      <x:c r="L163" s="161"/>
      <x:c r="M163" s="161"/>
      <x:c r="N163" s="161"/>
      <x:c r="O163" s="161"/>
      <x:c r="P163" s="161"/>
      <x:c r="Q163" s="161"/>
      <x:c r="R163" s="161"/>
      <x:c r="S163" s="161"/>
      <x:c r="T163" s="161"/>
      <x:c r="U163" s="161"/>
      <x:c r="V163" s="161"/>
      <x:c r="W163" s="161"/>
      <x:c r="X163" s="161"/>
      <x:c r="Y163" s="161"/>
      <x:c r="Z163" s="161"/>
    </x:row>
    <x:row r="164">
      <x:c r="A164" s="124"/>
      <x:c r="B164" s="108"/>
      <x:c r="C164" s="108"/>
      <x:c r="D164" s="108"/>
      <x:c r="E164" s="108"/>
      <x:c r="F164" s="108"/>
      <x:c r="G164" s="124"/>
      <x:c r="H164" s="108"/>
      <x:c r="I164" s="129" t="str">
        <x:f>IF(OR(G164="",H164=""),"",IF(H164="Completado","OK",IF(G164&lt;TODAY(),"VENCIDO",IF(G164&lt;=TODAY()+3,"PRÓXIMO","EN TIEMPO"))))</x:f>
      </x:c>
      <x:c r="J164" s="161"/>
      <x:c r="K164" s="161"/>
      <x:c r="L164" s="161"/>
      <x:c r="M164" s="161"/>
      <x:c r="N164" s="161"/>
      <x:c r="O164" s="161"/>
      <x:c r="P164" s="161"/>
      <x:c r="Q164" s="161"/>
      <x:c r="R164" s="161"/>
      <x:c r="S164" s="161"/>
      <x:c r="T164" s="161"/>
      <x:c r="U164" s="161"/>
      <x:c r="V164" s="161"/>
      <x:c r="W164" s="161"/>
      <x:c r="X164" s="161"/>
      <x:c r="Y164" s="161"/>
      <x:c r="Z164" s="161"/>
    </x:row>
    <x:row r="165">
      <x:c r="A165" s="124"/>
      <x:c r="B165" s="108"/>
      <x:c r="C165" s="108"/>
      <x:c r="D165" s="108"/>
      <x:c r="E165" s="108"/>
      <x:c r="F165" s="108"/>
      <x:c r="G165" s="124"/>
      <x:c r="H165" s="108"/>
      <x:c r="I165" s="129" t="str">
        <x:f>IF(OR(G165="",H165=""),"",IF(H165="Completado","OK",IF(G165&lt;TODAY(),"VENCIDO",IF(G165&lt;=TODAY()+3,"PRÓXIMO","EN TIEMPO"))))</x:f>
      </x:c>
      <x:c r="J165" s="161"/>
      <x:c r="K165" s="161"/>
      <x:c r="L165" s="161"/>
      <x:c r="M165" s="161"/>
      <x:c r="N165" s="161"/>
      <x:c r="O165" s="161"/>
      <x:c r="P165" s="161"/>
      <x:c r="Q165" s="161"/>
      <x:c r="R165" s="161"/>
      <x:c r="S165" s="161"/>
      <x:c r="T165" s="161"/>
      <x:c r="U165" s="161"/>
      <x:c r="V165" s="161"/>
      <x:c r="W165" s="161"/>
      <x:c r="X165" s="161"/>
      <x:c r="Y165" s="161"/>
      <x:c r="Z165" s="161"/>
    </x:row>
    <x:row r="166">
      <x:c r="A166" s="124"/>
      <x:c r="B166" s="108"/>
      <x:c r="C166" s="108"/>
      <x:c r="D166" s="108"/>
      <x:c r="E166" s="108"/>
      <x:c r="F166" s="108"/>
      <x:c r="G166" s="124"/>
      <x:c r="H166" s="108"/>
      <x:c r="I166" s="129" t="str">
        <x:f>IF(OR(G166="",H166=""),"",IF(H166="Completado","OK",IF(G166&lt;TODAY(),"VENCIDO",IF(G166&lt;=TODAY()+3,"PRÓXIMO","EN TIEMPO"))))</x:f>
      </x:c>
      <x:c r="J166" s="161"/>
      <x:c r="K166" s="161"/>
      <x:c r="L166" s="161"/>
      <x:c r="M166" s="161"/>
      <x:c r="N166" s="161"/>
      <x:c r="O166" s="161"/>
      <x:c r="P166" s="161"/>
      <x:c r="Q166" s="161"/>
      <x:c r="R166" s="161"/>
      <x:c r="S166" s="161"/>
      <x:c r="T166" s="161"/>
      <x:c r="U166" s="161"/>
      <x:c r="V166" s="161"/>
      <x:c r="W166" s="161"/>
      <x:c r="X166" s="161"/>
      <x:c r="Y166" s="161"/>
      <x:c r="Z166" s="161"/>
    </x:row>
    <x:row r="167">
      <x:c r="A167" s="124"/>
      <x:c r="B167" s="108"/>
      <x:c r="C167" s="108"/>
      <x:c r="D167" s="108"/>
      <x:c r="E167" s="108"/>
      <x:c r="F167" s="108"/>
      <x:c r="G167" s="124"/>
      <x:c r="H167" s="108"/>
      <x:c r="I167" s="129" t="str">
        <x:f>IF(OR(G167="",H167=""),"",IF(H167="Completado","OK",IF(G167&lt;TODAY(),"VENCIDO",IF(G167&lt;=TODAY()+3,"PRÓXIMO","EN TIEMPO"))))</x:f>
      </x:c>
      <x:c r="J167" s="161"/>
      <x:c r="K167" s="161"/>
      <x:c r="L167" s="161"/>
      <x:c r="M167" s="161"/>
      <x:c r="N167" s="161"/>
      <x:c r="O167" s="161"/>
      <x:c r="P167" s="161"/>
      <x:c r="Q167" s="161"/>
      <x:c r="R167" s="161"/>
      <x:c r="S167" s="161"/>
      <x:c r="T167" s="161"/>
      <x:c r="U167" s="161"/>
      <x:c r="V167" s="161"/>
      <x:c r="W167" s="161"/>
      <x:c r="X167" s="161"/>
      <x:c r="Y167" s="161"/>
      <x:c r="Z167" s="161"/>
    </x:row>
    <x:row r="168">
      <x:c r="A168" s="124"/>
      <x:c r="B168" s="108"/>
      <x:c r="C168" s="108"/>
      <x:c r="D168" s="108"/>
      <x:c r="E168" s="108"/>
      <x:c r="F168" s="108"/>
      <x:c r="G168" s="124"/>
      <x:c r="H168" s="108"/>
      <x:c r="I168" s="129" t="str">
        <x:f>IF(OR(G168="",H168=""),"",IF(H168="Completado","OK",IF(G168&lt;TODAY(),"VENCIDO",IF(G168&lt;=TODAY()+3,"PRÓXIMO","EN TIEMPO"))))</x:f>
      </x:c>
      <x:c r="J168" s="161"/>
      <x:c r="K168" s="161"/>
      <x:c r="L168" s="161"/>
      <x:c r="M168" s="161"/>
      <x:c r="N168" s="161"/>
      <x:c r="O168" s="161"/>
      <x:c r="P168" s="161"/>
      <x:c r="Q168" s="161"/>
      <x:c r="R168" s="161"/>
      <x:c r="S168" s="161"/>
      <x:c r="T168" s="161"/>
      <x:c r="U168" s="161"/>
      <x:c r="V168" s="161"/>
      <x:c r="W168" s="161"/>
      <x:c r="X168" s="161"/>
      <x:c r="Y168" s="161"/>
      <x:c r="Z168" s="161"/>
    </x:row>
    <x:row r="169">
      <x:c r="A169" s="124"/>
      <x:c r="B169" s="108"/>
      <x:c r="C169" s="108"/>
      <x:c r="D169" s="108"/>
      <x:c r="E169" s="108"/>
      <x:c r="F169" s="108"/>
      <x:c r="G169" s="124"/>
      <x:c r="H169" s="108"/>
      <x:c r="I169" s="129" t="str">
        <x:f>IF(OR(G169="",H169=""),"",IF(H169="Completado","OK",IF(G169&lt;TODAY(),"VENCIDO",IF(G169&lt;=TODAY()+3,"PRÓXIMO","EN TIEMPO"))))</x:f>
      </x:c>
      <x:c r="J169" s="161"/>
      <x:c r="K169" s="161"/>
      <x:c r="L169" s="161"/>
      <x:c r="M169" s="161"/>
      <x:c r="N169" s="161"/>
      <x:c r="O169" s="161"/>
      <x:c r="P169" s="161"/>
      <x:c r="Q169" s="161"/>
      <x:c r="R169" s="161"/>
      <x:c r="S169" s="161"/>
      <x:c r="T169" s="161"/>
      <x:c r="U169" s="161"/>
      <x:c r="V169" s="161"/>
      <x:c r="W169" s="161"/>
      <x:c r="X169" s="161"/>
      <x:c r="Y169" s="161"/>
      <x:c r="Z169" s="161"/>
    </x:row>
    <x:row r="170">
      <x:c r="A170" s="124"/>
      <x:c r="B170" s="108"/>
      <x:c r="C170" s="108"/>
      <x:c r="D170" s="108"/>
      <x:c r="E170" s="108"/>
      <x:c r="F170" s="108"/>
      <x:c r="G170" s="124"/>
      <x:c r="H170" s="108"/>
      <x:c r="I170" s="129" t="str">
        <x:f>IF(OR(G170="",H170=""),"",IF(H170="Completado","OK",IF(G170&lt;TODAY(),"VENCIDO",IF(G170&lt;=TODAY()+3,"PRÓXIMO","EN TIEMPO"))))</x:f>
      </x:c>
      <x:c r="J170" s="161"/>
      <x:c r="K170" s="161"/>
      <x:c r="L170" s="161"/>
      <x:c r="M170" s="161"/>
      <x:c r="N170" s="161"/>
      <x:c r="O170" s="161"/>
      <x:c r="P170" s="161"/>
      <x:c r="Q170" s="161"/>
      <x:c r="R170" s="161"/>
      <x:c r="S170" s="161"/>
      <x:c r="T170" s="161"/>
      <x:c r="U170" s="161"/>
      <x:c r="V170" s="161"/>
      <x:c r="W170" s="161"/>
      <x:c r="X170" s="161"/>
      <x:c r="Y170" s="161"/>
      <x:c r="Z170" s="161"/>
    </x:row>
    <x:row r="171">
      <x:c r="A171" s="124"/>
      <x:c r="B171" s="108"/>
      <x:c r="C171" s="108"/>
      <x:c r="D171" s="108"/>
      <x:c r="E171" s="108"/>
      <x:c r="F171" s="108"/>
      <x:c r="G171" s="124"/>
      <x:c r="H171" s="108"/>
      <x:c r="I171" s="129" t="str">
        <x:f>IF(OR(G171="",H171=""),"",IF(H171="Completado","OK",IF(G171&lt;TODAY(),"VENCIDO",IF(G171&lt;=TODAY()+3,"PRÓXIMO","EN TIEMPO"))))</x:f>
      </x:c>
      <x:c r="J171" s="161"/>
      <x:c r="K171" s="161"/>
      <x:c r="L171" s="161"/>
      <x:c r="M171" s="161"/>
      <x:c r="N171" s="161"/>
      <x:c r="O171" s="161"/>
      <x:c r="P171" s="161"/>
      <x:c r="Q171" s="161"/>
      <x:c r="R171" s="161"/>
      <x:c r="S171" s="161"/>
      <x:c r="T171" s="161"/>
      <x:c r="U171" s="161"/>
      <x:c r="V171" s="161"/>
      <x:c r="W171" s="161"/>
      <x:c r="X171" s="161"/>
      <x:c r="Y171" s="161"/>
      <x:c r="Z171" s="161"/>
    </x:row>
    <x:row r="172">
      <x:c r="A172" s="124"/>
      <x:c r="B172" s="108"/>
      <x:c r="C172" s="108"/>
      <x:c r="D172" s="108"/>
      <x:c r="E172" s="108"/>
      <x:c r="F172" s="108"/>
      <x:c r="G172" s="124"/>
      <x:c r="H172" s="108"/>
      <x:c r="I172" s="129" t="str">
        <x:f>IF(OR(G172="",H172=""),"",IF(H172="Completado","OK",IF(G172&lt;TODAY(),"VENCIDO",IF(G172&lt;=TODAY()+3,"PRÓXIMO","EN TIEMPO"))))</x:f>
      </x:c>
      <x:c r="J172" s="161"/>
      <x:c r="K172" s="161"/>
      <x:c r="L172" s="161"/>
      <x:c r="M172" s="161"/>
      <x:c r="N172" s="161"/>
      <x:c r="O172" s="161"/>
      <x:c r="P172" s="161"/>
      <x:c r="Q172" s="161"/>
      <x:c r="R172" s="161"/>
      <x:c r="S172" s="161"/>
      <x:c r="T172" s="161"/>
      <x:c r="U172" s="161"/>
      <x:c r="V172" s="161"/>
      <x:c r="W172" s="161"/>
      <x:c r="X172" s="161"/>
      <x:c r="Y172" s="161"/>
      <x:c r="Z172" s="161"/>
    </x:row>
    <x:row r="173">
      <x:c r="A173" s="124"/>
      <x:c r="B173" s="108"/>
      <x:c r="C173" s="108"/>
      <x:c r="D173" s="108"/>
      <x:c r="E173" s="108"/>
      <x:c r="F173" s="108"/>
      <x:c r="G173" s="124"/>
      <x:c r="H173" s="108"/>
      <x:c r="I173" s="129" t="str">
        <x:f>IF(OR(G173="",H173=""),"",IF(H173="Completado","OK",IF(G173&lt;TODAY(),"VENCIDO",IF(G173&lt;=TODAY()+3,"PRÓXIMO","EN TIEMPO"))))</x:f>
      </x:c>
      <x:c r="J173" s="161"/>
      <x:c r="K173" s="161"/>
      <x:c r="L173" s="161"/>
      <x:c r="M173" s="161"/>
      <x:c r="N173" s="161"/>
      <x:c r="O173" s="161"/>
      <x:c r="P173" s="161"/>
      <x:c r="Q173" s="161"/>
      <x:c r="R173" s="161"/>
      <x:c r="S173" s="161"/>
      <x:c r="T173" s="161"/>
      <x:c r="U173" s="161"/>
      <x:c r="V173" s="161"/>
      <x:c r="W173" s="161"/>
      <x:c r="X173" s="161"/>
      <x:c r="Y173" s="161"/>
      <x:c r="Z173" s="161"/>
    </x:row>
    <x:row r="174">
      <x:c r="A174" s="124"/>
      <x:c r="B174" s="108"/>
      <x:c r="C174" s="108"/>
      <x:c r="D174" s="108"/>
      <x:c r="E174" s="108"/>
      <x:c r="F174" s="108"/>
      <x:c r="G174" s="124"/>
      <x:c r="H174" s="108"/>
      <x:c r="I174" s="129" t="str">
        <x:f>IF(OR(G174="",H174=""),"",IF(H174="Completado","OK",IF(G174&lt;TODAY(),"VENCIDO",IF(G174&lt;=TODAY()+3,"PRÓXIMO","EN TIEMPO"))))</x:f>
      </x:c>
      <x:c r="J174" s="161"/>
      <x:c r="K174" s="161"/>
      <x:c r="L174" s="161"/>
      <x:c r="M174" s="161"/>
      <x:c r="N174" s="161"/>
      <x:c r="O174" s="161"/>
      <x:c r="P174" s="161"/>
      <x:c r="Q174" s="161"/>
      <x:c r="R174" s="161"/>
      <x:c r="S174" s="161"/>
      <x:c r="T174" s="161"/>
      <x:c r="U174" s="161"/>
      <x:c r="V174" s="161"/>
      <x:c r="W174" s="161"/>
      <x:c r="X174" s="161"/>
      <x:c r="Y174" s="161"/>
      <x:c r="Z174" s="161"/>
    </x:row>
    <x:row r="175">
      <x:c r="A175" s="124"/>
      <x:c r="B175" s="108"/>
      <x:c r="C175" s="108"/>
      <x:c r="D175" s="108"/>
      <x:c r="E175" s="108"/>
      <x:c r="F175" s="108"/>
      <x:c r="G175" s="124"/>
      <x:c r="H175" s="108"/>
      <x:c r="I175" s="129" t="str">
        <x:f>IF(OR(G175="",H175=""),"",IF(H175="Completado","OK",IF(G175&lt;TODAY(),"VENCIDO",IF(G175&lt;=TODAY()+3,"PRÓXIMO","EN TIEMPO"))))</x:f>
      </x:c>
      <x:c r="J175" s="161"/>
      <x:c r="K175" s="161"/>
      <x:c r="L175" s="161"/>
      <x:c r="M175" s="161"/>
      <x:c r="N175" s="161"/>
      <x:c r="O175" s="161"/>
      <x:c r="P175" s="161"/>
      <x:c r="Q175" s="161"/>
      <x:c r="R175" s="161"/>
      <x:c r="S175" s="161"/>
      <x:c r="T175" s="161"/>
      <x:c r="U175" s="161"/>
      <x:c r="V175" s="161"/>
      <x:c r="W175" s="161"/>
      <x:c r="X175" s="161"/>
      <x:c r="Y175" s="161"/>
      <x:c r="Z175" s="161"/>
    </x:row>
    <x:row r="176">
      <x:c r="A176" s="124"/>
      <x:c r="B176" s="108"/>
      <x:c r="C176" s="108"/>
      <x:c r="D176" s="108"/>
      <x:c r="E176" s="108"/>
      <x:c r="F176" s="108"/>
      <x:c r="G176" s="124"/>
      <x:c r="H176" s="108"/>
      <x:c r="I176" s="129" t="str">
        <x:f>IF(OR(G176="",H176=""),"",IF(H176="Completado","OK",IF(G176&lt;TODAY(),"VENCIDO",IF(G176&lt;=TODAY()+3,"PRÓXIMO","EN TIEMPO"))))</x:f>
      </x:c>
      <x:c r="J176" s="161"/>
      <x:c r="K176" s="161"/>
      <x:c r="L176" s="161"/>
      <x:c r="M176" s="161"/>
      <x:c r="N176" s="161"/>
      <x:c r="O176" s="161"/>
      <x:c r="P176" s="161"/>
      <x:c r="Q176" s="161"/>
      <x:c r="R176" s="161"/>
      <x:c r="S176" s="161"/>
      <x:c r="T176" s="161"/>
      <x:c r="U176" s="161"/>
      <x:c r="V176" s="161"/>
      <x:c r="W176" s="161"/>
      <x:c r="X176" s="161"/>
      <x:c r="Y176" s="161"/>
      <x:c r="Z176" s="161"/>
    </x:row>
    <x:row r="177">
      <x:c r="A177" s="124"/>
      <x:c r="B177" s="108"/>
      <x:c r="C177" s="108"/>
      <x:c r="D177" s="108"/>
      <x:c r="E177" s="108"/>
      <x:c r="F177" s="108"/>
      <x:c r="G177" s="124"/>
      <x:c r="H177" s="108"/>
      <x:c r="I177" s="129" t="str">
        <x:f>IF(OR(G177="",H177=""),"",IF(H177="Completado","OK",IF(G177&lt;TODAY(),"VENCIDO",IF(G177&lt;=TODAY()+3,"PRÓXIMO","EN TIEMPO"))))</x:f>
      </x:c>
      <x:c r="J177" s="161"/>
      <x:c r="K177" s="161"/>
      <x:c r="L177" s="161"/>
      <x:c r="M177" s="161"/>
      <x:c r="N177" s="161"/>
      <x:c r="O177" s="161"/>
      <x:c r="P177" s="161"/>
      <x:c r="Q177" s="161"/>
      <x:c r="R177" s="161"/>
      <x:c r="S177" s="161"/>
      <x:c r="T177" s="161"/>
      <x:c r="U177" s="161"/>
      <x:c r="V177" s="161"/>
      <x:c r="W177" s="161"/>
      <x:c r="X177" s="161"/>
      <x:c r="Y177" s="161"/>
      <x:c r="Z177" s="161"/>
    </x:row>
    <x:row r="178">
      <x:c r="A178" s="124"/>
      <x:c r="B178" s="108"/>
      <x:c r="C178" s="108"/>
      <x:c r="D178" s="108"/>
      <x:c r="E178" s="108"/>
      <x:c r="F178" s="108"/>
      <x:c r="G178" s="124"/>
      <x:c r="H178" s="108"/>
      <x:c r="I178" s="129" t="str">
        <x:f>IF(OR(G178="",H178=""),"",IF(H178="Completado","OK",IF(G178&lt;TODAY(),"VENCIDO",IF(G178&lt;=TODAY()+3,"PRÓXIMO","EN TIEMPO"))))</x:f>
      </x:c>
      <x:c r="J178" s="161"/>
      <x:c r="K178" s="161"/>
      <x:c r="L178" s="161"/>
      <x:c r="M178" s="161"/>
      <x:c r="N178" s="161"/>
      <x:c r="O178" s="161"/>
      <x:c r="P178" s="161"/>
      <x:c r="Q178" s="161"/>
      <x:c r="R178" s="161"/>
      <x:c r="S178" s="161"/>
      <x:c r="T178" s="161"/>
      <x:c r="U178" s="161"/>
      <x:c r="V178" s="161"/>
      <x:c r="W178" s="161"/>
      <x:c r="X178" s="161"/>
      <x:c r="Y178" s="161"/>
      <x:c r="Z178" s="161"/>
    </x:row>
    <x:row r="179">
      <x:c r="A179" s="124"/>
      <x:c r="B179" s="108"/>
      <x:c r="C179" s="108"/>
      <x:c r="D179" s="108"/>
      <x:c r="E179" s="108"/>
      <x:c r="F179" s="108"/>
      <x:c r="G179" s="124"/>
      <x:c r="H179" s="108"/>
      <x:c r="I179" s="129" t="str">
        <x:f>IF(OR(G179="",H179=""),"",IF(H179="Completado","OK",IF(G179&lt;TODAY(),"VENCIDO",IF(G179&lt;=TODAY()+3,"PRÓXIMO","EN TIEMPO"))))</x:f>
      </x:c>
      <x:c r="J179" s="161"/>
      <x:c r="K179" s="161"/>
      <x:c r="L179" s="161"/>
      <x:c r="M179" s="161"/>
      <x:c r="N179" s="161"/>
      <x:c r="O179" s="161"/>
      <x:c r="P179" s="161"/>
      <x:c r="Q179" s="161"/>
      <x:c r="R179" s="161"/>
      <x:c r="S179" s="161"/>
      <x:c r="T179" s="161"/>
      <x:c r="U179" s="161"/>
      <x:c r="V179" s="161"/>
      <x:c r="W179" s="161"/>
      <x:c r="X179" s="161"/>
      <x:c r="Y179" s="161"/>
      <x:c r="Z179" s="161"/>
    </x:row>
    <x:row r="180">
      <x:c r="A180" s="124"/>
      <x:c r="B180" s="108"/>
      <x:c r="C180" s="108"/>
      <x:c r="D180" s="108"/>
      <x:c r="E180" s="108"/>
      <x:c r="F180" s="108"/>
      <x:c r="G180" s="124"/>
      <x:c r="H180" s="108"/>
      <x:c r="I180" s="129" t="str">
        <x:f>IF(OR(G180="",H180=""),"",IF(H180="Completado","OK",IF(G180&lt;TODAY(),"VENCIDO",IF(G180&lt;=TODAY()+3,"PRÓXIMO","EN TIEMPO"))))</x:f>
      </x:c>
      <x:c r="J180" s="161"/>
      <x:c r="K180" s="161"/>
      <x:c r="L180" s="161"/>
      <x:c r="M180" s="161"/>
      <x:c r="N180" s="161"/>
      <x:c r="O180" s="161"/>
      <x:c r="P180" s="161"/>
      <x:c r="Q180" s="161"/>
      <x:c r="R180" s="161"/>
      <x:c r="S180" s="161"/>
      <x:c r="T180" s="161"/>
      <x:c r="U180" s="161"/>
      <x:c r="V180" s="161"/>
      <x:c r="W180" s="161"/>
      <x:c r="X180" s="161"/>
      <x:c r="Y180" s="161"/>
      <x:c r="Z180" s="161"/>
    </x:row>
    <x:row r="181">
      <x:c r="A181" s="124"/>
      <x:c r="B181" s="108"/>
      <x:c r="C181" s="108"/>
      <x:c r="D181" s="108"/>
      <x:c r="E181" s="108"/>
      <x:c r="F181" s="108"/>
      <x:c r="G181" s="124"/>
      <x:c r="H181" s="108"/>
      <x:c r="I181" s="129" t="str">
        <x:f>IF(OR(G181="",H181=""),"",IF(H181="Completado","OK",IF(G181&lt;TODAY(),"VENCIDO",IF(G181&lt;=TODAY()+3,"PRÓXIMO","EN TIEMPO"))))</x:f>
      </x:c>
      <x:c r="J181" s="161"/>
      <x:c r="K181" s="161"/>
      <x:c r="L181" s="161"/>
      <x:c r="M181" s="161"/>
      <x:c r="N181" s="161"/>
      <x:c r="O181" s="161"/>
      <x:c r="P181" s="161"/>
      <x:c r="Q181" s="161"/>
      <x:c r="R181" s="161"/>
      <x:c r="S181" s="161"/>
      <x:c r="T181" s="161"/>
      <x:c r="U181" s="161"/>
      <x:c r="V181" s="161"/>
      <x:c r="W181" s="161"/>
      <x:c r="X181" s="161"/>
      <x:c r="Y181" s="161"/>
      <x:c r="Z181" s="161"/>
    </x:row>
    <x:row r="182">
      <x:c r="A182" s="124"/>
      <x:c r="B182" s="108"/>
      <x:c r="C182" s="108"/>
      <x:c r="D182" s="108"/>
      <x:c r="E182" s="108"/>
      <x:c r="F182" s="108"/>
      <x:c r="G182" s="124"/>
      <x:c r="H182" s="108"/>
      <x:c r="I182" s="129" t="str">
        <x:f>IF(OR(G182="",H182=""),"",IF(H182="Completado","OK",IF(G182&lt;TODAY(),"VENCIDO",IF(G182&lt;=TODAY()+3,"PRÓXIMO","EN TIEMPO"))))</x:f>
      </x:c>
      <x:c r="J182" s="161"/>
      <x:c r="K182" s="161"/>
      <x:c r="L182" s="161"/>
      <x:c r="M182" s="161"/>
      <x:c r="N182" s="161"/>
      <x:c r="O182" s="161"/>
      <x:c r="P182" s="161"/>
      <x:c r="Q182" s="161"/>
      <x:c r="R182" s="161"/>
      <x:c r="S182" s="161"/>
      <x:c r="T182" s="161"/>
      <x:c r="U182" s="161"/>
      <x:c r="V182" s="161"/>
      <x:c r="W182" s="161"/>
      <x:c r="X182" s="161"/>
      <x:c r="Y182" s="161"/>
      <x:c r="Z182" s="161"/>
    </x:row>
    <x:row r="183">
      <x:c r="A183" s="124"/>
      <x:c r="B183" s="108"/>
      <x:c r="C183" s="108"/>
      <x:c r="D183" s="108"/>
      <x:c r="E183" s="108"/>
      <x:c r="F183" s="108"/>
      <x:c r="G183" s="124"/>
      <x:c r="H183" s="108"/>
      <x:c r="I183" s="129" t="str">
        <x:f>IF(OR(G183="",H183=""),"",IF(H183="Completado","OK",IF(G183&lt;TODAY(),"VENCIDO",IF(G183&lt;=TODAY()+3,"PRÓXIMO","EN TIEMPO"))))</x:f>
      </x:c>
      <x:c r="J183" s="161"/>
      <x:c r="K183" s="161"/>
      <x:c r="L183" s="161"/>
      <x:c r="M183" s="161"/>
      <x:c r="N183" s="161"/>
      <x:c r="O183" s="161"/>
      <x:c r="P183" s="161"/>
      <x:c r="Q183" s="161"/>
      <x:c r="R183" s="161"/>
      <x:c r="S183" s="161"/>
      <x:c r="T183" s="161"/>
      <x:c r="U183" s="161"/>
      <x:c r="V183" s="161"/>
      <x:c r="W183" s="161"/>
      <x:c r="X183" s="161"/>
      <x:c r="Y183" s="161"/>
      <x:c r="Z183" s="161"/>
    </x:row>
    <x:row r="184">
      <x:c r="A184" s="124"/>
      <x:c r="B184" s="108"/>
      <x:c r="C184" s="108"/>
      <x:c r="D184" s="108"/>
      <x:c r="E184" s="108"/>
      <x:c r="F184" s="108"/>
      <x:c r="G184" s="124"/>
      <x:c r="H184" s="108"/>
      <x:c r="I184" s="129" t="str">
        <x:f>IF(OR(G184="",H184=""),"",IF(H184="Completado","OK",IF(G184&lt;TODAY(),"VENCIDO",IF(G184&lt;=TODAY()+3,"PRÓXIMO","EN TIEMPO"))))</x:f>
      </x:c>
      <x:c r="J184" s="161"/>
      <x:c r="K184" s="161"/>
      <x:c r="L184" s="161"/>
      <x:c r="M184" s="161"/>
      <x:c r="N184" s="161"/>
      <x:c r="O184" s="161"/>
      <x:c r="P184" s="161"/>
      <x:c r="Q184" s="161"/>
      <x:c r="R184" s="161"/>
      <x:c r="S184" s="161"/>
      <x:c r="T184" s="161"/>
      <x:c r="U184" s="161"/>
      <x:c r="V184" s="161"/>
      <x:c r="W184" s="161"/>
      <x:c r="X184" s="161"/>
      <x:c r="Y184" s="161"/>
      <x:c r="Z184" s="161"/>
    </x:row>
    <x:row r="185">
      <x:c r="A185" s="124"/>
      <x:c r="B185" s="108"/>
      <x:c r="C185" s="108"/>
      <x:c r="D185" s="108"/>
      <x:c r="E185" s="108"/>
      <x:c r="F185" s="108"/>
      <x:c r="G185" s="124"/>
      <x:c r="H185" s="108"/>
      <x:c r="I185" s="129" t="str">
        <x:f>IF(OR(G185="",H185=""),"",IF(H185="Completado","OK",IF(G185&lt;TODAY(),"VENCIDO",IF(G185&lt;=TODAY()+3,"PRÓXIMO","EN TIEMPO"))))</x:f>
      </x:c>
      <x:c r="J185" s="161"/>
      <x:c r="K185" s="161"/>
      <x:c r="L185" s="161"/>
      <x:c r="M185" s="161"/>
      <x:c r="N185" s="161"/>
      <x:c r="O185" s="161"/>
      <x:c r="P185" s="161"/>
      <x:c r="Q185" s="161"/>
      <x:c r="R185" s="161"/>
      <x:c r="S185" s="161"/>
      <x:c r="T185" s="161"/>
      <x:c r="U185" s="161"/>
      <x:c r="V185" s="161"/>
      <x:c r="W185" s="161"/>
      <x:c r="X185" s="161"/>
      <x:c r="Y185" s="161"/>
      <x:c r="Z185" s="161"/>
    </x:row>
    <x:row r="186">
      <x:c r="A186" s="124"/>
      <x:c r="B186" s="108"/>
      <x:c r="C186" s="108"/>
      <x:c r="D186" s="108"/>
      <x:c r="E186" s="108"/>
      <x:c r="F186" s="108"/>
      <x:c r="G186" s="124"/>
      <x:c r="H186" s="108"/>
      <x:c r="I186" s="129" t="str">
        <x:f>IF(OR(G186="",H186=""),"",IF(H186="Completado","OK",IF(G186&lt;TODAY(),"VENCIDO",IF(G186&lt;=TODAY()+3,"PRÓXIMO","EN TIEMPO"))))</x:f>
      </x:c>
      <x:c r="J186" s="161"/>
      <x:c r="K186" s="161"/>
      <x:c r="L186" s="161"/>
      <x:c r="M186" s="161"/>
      <x:c r="N186" s="161"/>
      <x:c r="O186" s="161"/>
      <x:c r="P186" s="161"/>
      <x:c r="Q186" s="161"/>
      <x:c r="R186" s="161"/>
      <x:c r="S186" s="161"/>
      <x:c r="T186" s="161"/>
      <x:c r="U186" s="161"/>
      <x:c r="V186" s="161"/>
      <x:c r="W186" s="161"/>
      <x:c r="X186" s="161"/>
      <x:c r="Y186" s="161"/>
      <x:c r="Z186" s="161"/>
    </x:row>
    <x:row r="187">
      <x:c r="A187" s="124"/>
      <x:c r="B187" s="108"/>
      <x:c r="C187" s="108"/>
      <x:c r="D187" s="108"/>
      <x:c r="E187" s="108"/>
      <x:c r="F187" s="108"/>
      <x:c r="G187" s="124"/>
      <x:c r="H187" s="108"/>
      <x:c r="I187" s="129" t="str">
        <x:f>IF(OR(G187="",H187=""),"",IF(H187="Completado","OK",IF(G187&lt;TODAY(),"VENCIDO",IF(G187&lt;=TODAY()+3,"PRÓXIMO","EN TIEMPO"))))</x:f>
      </x:c>
      <x:c r="J187" s="161"/>
      <x:c r="K187" s="161"/>
      <x:c r="L187" s="161"/>
      <x:c r="M187" s="161"/>
      <x:c r="N187" s="161"/>
      <x:c r="O187" s="161"/>
      <x:c r="P187" s="161"/>
      <x:c r="Q187" s="161"/>
      <x:c r="R187" s="161"/>
      <x:c r="S187" s="161"/>
      <x:c r="T187" s="161"/>
      <x:c r="U187" s="161"/>
      <x:c r="V187" s="161"/>
      <x:c r="W187" s="161"/>
      <x:c r="X187" s="161"/>
      <x:c r="Y187" s="161"/>
      <x:c r="Z187" s="161"/>
    </x:row>
    <x:row r="188">
      <x:c r="A188" s="124"/>
      <x:c r="B188" s="108"/>
      <x:c r="C188" s="108"/>
      <x:c r="D188" s="108"/>
      <x:c r="E188" s="108"/>
      <x:c r="F188" s="108"/>
      <x:c r="G188" s="124"/>
      <x:c r="H188" s="108"/>
      <x:c r="I188" s="129" t="str">
        <x:f>IF(OR(G188="",H188=""),"",IF(H188="Completado","OK",IF(G188&lt;TODAY(),"VENCIDO",IF(G188&lt;=TODAY()+3,"PRÓXIMO","EN TIEMPO"))))</x:f>
      </x:c>
      <x:c r="J188" s="161"/>
      <x:c r="K188" s="161"/>
      <x:c r="L188" s="161"/>
      <x:c r="M188" s="161"/>
      <x:c r="N188" s="161"/>
      <x:c r="O188" s="161"/>
      <x:c r="P188" s="161"/>
      <x:c r="Q188" s="161"/>
      <x:c r="R188" s="161"/>
      <x:c r="S188" s="161"/>
      <x:c r="T188" s="161"/>
      <x:c r="U188" s="161"/>
      <x:c r="V188" s="161"/>
      <x:c r="W188" s="161"/>
      <x:c r="X188" s="161"/>
      <x:c r="Y188" s="161"/>
      <x:c r="Z188" s="161"/>
    </x:row>
    <x:row r="189">
      <x:c r="A189" s="124"/>
      <x:c r="B189" s="108"/>
      <x:c r="C189" s="108"/>
      <x:c r="D189" s="108"/>
      <x:c r="E189" s="108"/>
      <x:c r="F189" s="108"/>
      <x:c r="G189" s="124"/>
      <x:c r="H189" s="108"/>
      <x:c r="I189" s="129" t="str">
        <x:f>IF(OR(G189="",H189=""),"",IF(H189="Completado","OK",IF(G189&lt;TODAY(),"VENCIDO",IF(G189&lt;=TODAY()+3,"PRÓXIMO","EN TIEMPO"))))</x:f>
      </x:c>
      <x:c r="J189" s="161"/>
      <x:c r="K189" s="161"/>
      <x:c r="L189" s="161"/>
      <x:c r="M189" s="161"/>
      <x:c r="N189" s="161"/>
      <x:c r="O189" s="161"/>
      <x:c r="P189" s="161"/>
      <x:c r="Q189" s="161"/>
      <x:c r="R189" s="161"/>
      <x:c r="S189" s="161"/>
      <x:c r="T189" s="161"/>
      <x:c r="U189" s="161"/>
      <x:c r="V189" s="161"/>
      <x:c r="W189" s="161"/>
      <x:c r="X189" s="161"/>
      <x:c r="Y189" s="161"/>
      <x:c r="Z189" s="161"/>
    </x:row>
    <x:row r="190">
      <x:c r="A190" s="124"/>
      <x:c r="B190" s="108"/>
      <x:c r="C190" s="108"/>
      <x:c r="D190" s="108"/>
      <x:c r="E190" s="108"/>
      <x:c r="F190" s="108"/>
      <x:c r="G190" s="124"/>
      <x:c r="H190" s="108"/>
      <x:c r="I190" s="129" t="str">
        <x:f>IF(OR(G190="",H190=""),"",IF(H190="Completado","OK",IF(G190&lt;TODAY(),"VENCIDO",IF(G190&lt;=TODAY()+3,"PRÓXIMO","EN TIEMPO"))))</x:f>
      </x:c>
      <x:c r="J190" s="161"/>
      <x:c r="K190" s="161"/>
      <x:c r="L190" s="161"/>
      <x:c r="M190" s="161"/>
      <x:c r="N190" s="161"/>
      <x:c r="O190" s="161"/>
      <x:c r="P190" s="161"/>
      <x:c r="Q190" s="161"/>
      <x:c r="R190" s="161"/>
      <x:c r="S190" s="161"/>
      <x:c r="T190" s="161"/>
      <x:c r="U190" s="161"/>
      <x:c r="V190" s="161"/>
      <x:c r="W190" s="161"/>
      <x:c r="X190" s="161"/>
      <x:c r="Y190" s="161"/>
      <x:c r="Z190" s="161"/>
    </x:row>
    <x:row r="191">
      <x:c r="A191" s="124"/>
      <x:c r="B191" s="108"/>
      <x:c r="C191" s="108"/>
      <x:c r="D191" s="108"/>
      <x:c r="E191" s="108"/>
      <x:c r="F191" s="108"/>
      <x:c r="G191" s="124"/>
      <x:c r="H191" s="108"/>
      <x:c r="I191" s="129" t="str">
        <x:f>IF(OR(G191="",H191=""),"",IF(H191="Completado","OK",IF(G191&lt;TODAY(),"VENCIDO",IF(G191&lt;=TODAY()+3,"PRÓXIMO","EN TIEMPO"))))</x:f>
      </x:c>
      <x:c r="J191" s="161"/>
      <x:c r="K191" s="161"/>
      <x:c r="L191" s="161"/>
      <x:c r="M191" s="161"/>
      <x:c r="N191" s="161"/>
      <x:c r="O191" s="161"/>
      <x:c r="P191" s="161"/>
      <x:c r="Q191" s="161"/>
      <x:c r="R191" s="161"/>
      <x:c r="S191" s="161"/>
      <x:c r="T191" s="161"/>
      <x:c r="U191" s="161"/>
      <x:c r="V191" s="161"/>
      <x:c r="W191" s="161"/>
      <x:c r="X191" s="161"/>
      <x:c r="Y191" s="161"/>
      <x:c r="Z191" s="161"/>
    </x:row>
    <x:row r="192">
      <x:c r="A192" s="124"/>
      <x:c r="B192" s="108"/>
      <x:c r="C192" s="108"/>
      <x:c r="D192" s="108"/>
      <x:c r="E192" s="108"/>
      <x:c r="F192" s="108"/>
      <x:c r="G192" s="124"/>
      <x:c r="H192" s="108"/>
      <x:c r="I192" s="129" t="str">
        <x:f>IF(OR(G192="",H192=""),"",IF(H192="Completado","OK",IF(G192&lt;TODAY(),"VENCIDO",IF(G192&lt;=TODAY()+3,"PRÓXIMO","EN TIEMPO"))))</x:f>
      </x:c>
      <x:c r="J192" s="161"/>
      <x:c r="K192" s="161"/>
      <x:c r="L192" s="161"/>
      <x:c r="M192" s="161"/>
      <x:c r="N192" s="161"/>
      <x:c r="O192" s="161"/>
      <x:c r="P192" s="161"/>
      <x:c r="Q192" s="161"/>
      <x:c r="R192" s="161"/>
      <x:c r="S192" s="161"/>
      <x:c r="T192" s="161"/>
      <x:c r="U192" s="161"/>
      <x:c r="V192" s="161"/>
      <x:c r="W192" s="161"/>
      <x:c r="X192" s="161"/>
      <x:c r="Y192" s="161"/>
      <x:c r="Z192" s="161"/>
    </x:row>
    <x:row r="193">
      <x:c r="A193" s="124"/>
      <x:c r="B193" s="108"/>
      <x:c r="C193" s="108"/>
      <x:c r="D193" s="108"/>
      <x:c r="E193" s="108"/>
      <x:c r="F193" s="108"/>
      <x:c r="G193" s="124"/>
      <x:c r="H193" s="108"/>
      <x:c r="I193" s="129" t="str">
        <x:f>IF(OR(G193="",H193=""),"",IF(H193="Completado","OK",IF(G193&lt;TODAY(),"VENCIDO",IF(G193&lt;=TODAY()+3,"PRÓXIMO","EN TIEMPO"))))</x:f>
      </x:c>
      <x:c r="J193" s="161"/>
      <x:c r="K193" s="161"/>
      <x:c r="L193" s="161"/>
      <x:c r="M193" s="161"/>
      <x:c r="N193" s="161"/>
      <x:c r="O193" s="161"/>
      <x:c r="P193" s="161"/>
      <x:c r="Q193" s="161"/>
      <x:c r="R193" s="161"/>
      <x:c r="S193" s="161"/>
      <x:c r="T193" s="161"/>
      <x:c r="U193" s="161"/>
      <x:c r="V193" s="161"/>
      <x:c r="W193" s="161"/>
      <x:c r="X193" s="161"/>
      <x:c r="Y193" s="161"/>
      <x:c r="Z193" s="161"/>
    </x:row>
    <x:row r="194">
      <x:c r="A194" s="124"/>
      <x:c r="B194" s="108"/>
      <x:c r="C194" s="108"/>
      <x:c r="D194" s="108"/>
      <x:c r="E194" s="108"/>
      <x:c r="F194" s="108"/>
      <x:c r="G194" s="124"/>
      <x:c r="H194" s="108"/>
      <x:c r="I194" s="129" t="str">
        <x:f>IF(OR(G194="",H194=""),"",IF(H194="Completado","OK",IF(G194&lt;TODAY(),"VENCIDO",IF(G194&lt;=TODAY()+3,"PRÓXIMO","EN TIEMPO"))))</x:f>
      </x:c>
      <x:c r="J194" s="161"/>
      <x:c r="K194" s="161"/>
      <x:c r="L194" s="161"/>
      <x:c r="M194" s="161"/>
      <x:c r="N194" s="161"/>
      <x:c r="O194" s="161"/>
      <x:c r="P194" s="161"/>
      <x:c r="Q194" s="161"/>
      <x:c r="R194" s="161"/>
      <x:c r="S194" s="161"/>
      <x:c r="T194" s="161"/>
      <x:c r="U194" s="161"/>
      <x:c r="V194" s="161"/>
      <x:c r="W194" s="161"/>
      <x:c r="X194" s="161"/>
      <x:c r="Y194" s="161"/>
      <x:c r="Z194" s="161"/>
    </x:row>
    <x:row r="195">
      <x:c r="A195" s="124"/>
      <x:c r="B195" s="108"/>
      <x:c r="C195" s="108"/>
      <x:c r="D195" s="108"/>
      <x:c r="E195" s="108"/>
      <x:c r="F195" s="108"/>
      <x:c r="G195" s="124"/>
      <x:c r="H195" s="108"/>
      <x:c r="I195" s="129" t="str">
        <x:f>IF(OR(G195="",H195=""),"",IF(H195="Completado","OK",IF(G195&lt;TODAY(),"VENCIDO",IF(G195&lt;=TODAY()+3,"PRÓXIMO","EN TIEMPO"))))</x:f>
      </x:c>
      <x:c r="J195" s="161"/>
      <x:c r="K195" s="161"/>
      <x:c r="L195" s="161"/>
      <x:c r="M195" s="161"/>
      <x:c r="N195" s="161"/>
      <x:c r="O195" s="161"/>
      <x:c r="P195" s="161"/>
      <x:c r="Q195" s="161"/>
      <x:c r="R195" s="161"/>
      <x:c r="S195" s="161"/>
      <x:c r="T195" s="161"/>
      <x:c r="U195" s="161"/>
      <x:c r="V195" s="161"/>
      <x:c r="W195" s="161"/>
      <x:c r="X195" s="161"/>
      <x:c r="Y195" s="161"/>
      <x:c r="Z195" s="161"/>
    </x:row>
    <x:row r="196">
      <x:c r="A196" s="124"/>
      <x:c r="B196" s="108"/>
      <x:c r="C196" s="108"/>
      <x:c r="D196" s="108"/>
      <x:c r="E196" s="108"/>
      <x:c r="F196" s="108"/>
      <x:c r="G196" s="124"/>
      <x:c r="H196" s="108"/>
      <x:c r="I196" s="129" t="str">
        <x:f>IF(OR(G196="",H196=""),"",IF(H196="Completado","OK",IF(G196&lt;TODAY(),"VENCIDO",IF(G196&lt;=TODAY()+3,"PRÓXIMO","EN TIEMPO"))))</x:f>
      </x:c>
      <x:c r="J196" s="161"/>
      <x:c r="K196" s="161"/>
      <x:c r="L196" s="161"/>
      <x:c r="M196" s="161"/>
      <x:c r="N196" s="161"/>
      <x:c r="O196" s="161"/>
      <x:c r="P196" s="161"/>
      <x:c r="Q196" s="161"/>
      <x:c r="R196" s="161"/>
      <x:c r="S196" s="161"/>
      <x:c r="T196" s="161"/>
      <x:c r="U196" s="161"/>
      <x:c r="V196" s="161"/>
      <x:c r="W196" s="161"/>
      <x:c r="X196" s="161"/>
      <x:c r="Y196" s="161"/>
      <x:c r="Z196" s="161"/>
    </x:row>
    <x:row r="197">
      <x:c r="A197" s="124"/>
      <x:c r="B197" s="108"/>
      <x:c r="C197" s="108"/>
      <x:c r="D197" s="108"/>
      <x:c r="E197" s="108"/>
      <x:c r="F197" s="108"/>
      <x:c r="G197" s="124"/>
      <x:c r="H197" s="108"/>
      <x:c r="I197" s="129" t="str">
        <x:f>IF(OR(G197="",H197=""),"",IF(H197="Completado","OK",IF(G197&lt;TODAY(),"VENCIDO",IF(G197&lt;=TODAY()+3,"PRÓXIMO","EN TIEMPO"))))</x:f>
      </x:c>
      <x:c r="J197" s="161"/>
      <x:c r="K197" s="161"/>
      <x:c r="L197" s="161"/>
      <x:c r="M197" s="161"/>
      <x:c r="N197" s="161"/>
      <x:c r="O197" s="161"/>
      <x:c r="P197" s="161"/>
      <x:c r="Q197" s="161"/>
      <x:c r="R197" s="161"/>
      <x:c r="S197" s="161"/>
      <x:c r="T197" s="161"/>
      <x:c r="U197" s="161"/>
      <x:c r="V197" s="161"/>
      <x:c r="W197" s="161"/>
      <x:c r="X197" s="161"/>
      <x:c r="Y197" s="161"/>
      <x:c r="Z197" s="161"/>
    </x:row>
    <x:row r="198">
      <x:c r="A198" s="124"/>
      <x:c r="B198" s="108"/>
      <x:c r="C198" s="108"/>
      <x:c r="D198" s="108"/>
      <x:c r="E198" s="108"/>
      <x:c r="F198" s="108"/>
      <x:c r="G198" s="124"/>
      <x:c r="H198" s="108"/>
      <x:c r="I198" s="129" t="str">
        <x:f>IF(OR(G198="",H198=""),"",IF(H198="Completado","OK",IF(G198&lt;TODAY(),"VENCIDO",IF(G198&lt;=TODAY()+3,"PRÓXIMO","EN TIEMPO"))))</x:f>
      </x:c>
      <x:c r="J198" s="161"/>
      <x:c r="K198" s="161"/>
      <x:c r="L198" s="161"/>
      <x:c r="M198" s="161"/>
      <x:c r="N198" s="161"/>
      <x:c r="O198" s="161"/>
      <x:c r="P198" s="161"/>
      <x:c r="Q198" s="161"/>
      <x:c r="R198" s="161"/>
      <x:c r="S198" s="161"/>
      <x:c r="T198" s="161"/>
      <x:c r="U198" s="161"/>
      <x:c r="V198" s="161"/>
      <x:c r="W198" s="161"/>
      <x:c r="X198" s="161"/>
      <x:c r="Y198" s="161"/>
      <x:c r="Z198" s="161"/>
    </x:row>
    <x:row r="199">
      <x:c r="A199" s="124"/>
      <x:c r="B199" s="108"/>
      <x:c r="C199" s="108"/>
      <x:c r="D199" s="108"/>
      <x:c r="E199" s="108"/>
      <x:c r="F199" s="108"/>
      <x:c r="G199" s="124"/>
      <x:c r="H199" s="108"/>
      <x:c r="I199" s="129" t="str">
        <x:f>IF(OR(G199="",H199=""),"",IF(H199="Completado","OK",IF(G199&lt;TODAY(),"VENCIDO",IF(G199&lt;=TODAY()+3,"PRÓXIMO","EN TIEMPO"))))</x:f>
      </x:c>
      <x:c r="J199" s="161"/>
      <x:c r="K199" s="161"/>
      <x:c r="L199" s="161"/>
      <x:c r="M199" s="161"/>
      <x:c r="N199" s="161"/>
      <x:c r="O199" s="161"/>
      <x:c r="P199" s="161"/>
      <x:c r="Q199" s="161"/>
      <x:c r="R199" s="161"/>
      <x:c r="S199" s="161"/>
      <x:c r="T199" s="161"/>
      <x:c r="U199" s="161"/>
      <x:c r="V199" s="161"/>
      <x:c r="W199" s="161"/>
      <x:c r="X199" s="161"/>
      <x:c r="Y199" s="161"/>
      <x:c r="Z199" s="161"/>
    </x:row>
    <x:row r="200">
      <x:c r="A200" s="124"/>
      <x:c r="B200" s="108"/>
      <x:c r="C200" s="108"/>
      <x:c r="D200" s="108"/>
      <x:c r="E200" s="108"/>
      <x:c r="F200" s="108"/>
      <x:c r="G200" s="124"/>
      <x:c r="H200" s="108"/>
      <x:c r="I200" s="129" t="str">
        <x:f>IF(OR(G200="",H200=""),"",IF(H200="Completado","OK",IF(G200&lt;TODAY(),"VENCIDO",IF(G200&lt;=TODAY()+3,"PRÓXIMO","EN TIEMPO"))))</x:f>
      </x:c>
      <x:c r="J200" s="161"/>
      <x:c r="K200" s="161"/>
      <x:c r="L200" s="161"/>
      <x:c r="M200" s="161"/>
      <x:c r="N200" s="161"/>
      <x:c r="O200" s="161"/>
      <x:c r="P200" s="161"/>
      <x:c r="Q200" s="161"/>
      <x:c r="R200" s="161"/>
      <x:c r="S200" s="161"/>
      <x:c r="T200" s="161"/>
      <x:c r="U200" s="161"/>
      <x:c r="V200" s="161"/>
      <x:c r="W200" s="161"/>
      <x:c r="X200" s="161"/>
      <x:c r="Y200" s="161"/>
      <x:c r="Z200" s="161"/>
    </x:row>
    <x:row r="201">
      <x:c r="A201" s="160"/>
      <x:c r="B201" s="160"/>
      <x:c r="C201" s="160"/>
      <x:c r="D201" s="160"/>
      <x:c r="E201" s="160"/>
      <x:c r="F201" s="160"/>
      <x:c r="G201" s="160"/>
      <x:c r="H201" s="160"/>
      <x:c r="I201" s="160"/>
      <x:c r="J201" s="161"/>
      <x:c r="K201" s="161"/>
      <x:c r="L201" s="161"/>
      <x:c r="M201" s="161"/>
      <x:c r="N201" s="161"/>
      <x:c r="O201" s="161"/>
      <x:c r="P201" s="161"/>
      <x:c r="Q201" s="161"/>
      <x:c r="R201" s="161"/>
      <x:c r="S201" s="161"/>
      <x:c r="T201" s="161"/>
      <x:c r="U201" s="161"/>
      <x:c r="V201" s="161"/>
      <x:c r="W201" s="161"/>
      <x:c r="X201" s="161"/>
      <x:c r="Y201" s="161"/>
      <x:c r="Z201" s="161"/>
    </x:row>
    <x:row r="202">
      <x:c r="A202" s="160"/>
      <x:c r="B202" s="160"/>
      <x:c r="C202" s="160"/>
      <x:c r="D202" s="160"/>
      <x:c r="E202" s="160"/>
      <x:c r="F202" s="160"/>
      <x:c r="G202" s="160"/>
      <x:c r="H202" s="160"/>
      <x:c r="I202" s="160"/>
      <x:c r="J202" s="161"/>
      <x:c r="K202" s="161"/>
      <x:c r="L202" s="161"/>
      <x:c r="M202" s="161"/>
      <x:c r="N202" s="161"/>
      <x:c r="O202" s="161"/>
      <x:c r="P202" s="161"/>
      <x:c r="Q202" s="161"/>
      <x:c r="R202" s="161"/>
      <x:c r="S202" s="161"/>
      <x:c r="T202" s="161"/>
      <x:c r="U202" s="161"/>
      <x:c r="V202" s="161"/>
      <x:c r="W202" s="161"/>
      <x:c r="X202" s="161"/>
      <x:c r="Y202" s="161"/>
      <x:c r="Z202" s="161"/>
    </x:row>
    <x:row r="203">
      <x:c r="A203" s="160"/>
      <x:c r="B203" s="160"/>
      <x:c r="C203" s="160"/>
      <x:c r="D203" s="160"/>
      <x:c r="E203" s="160"/>
      <x:c r="F203" s="160"/>
      <x:c r="G203" s="160"/>
      <x:c r="H203" s="160"/>
      <x:c r="I203" s="160"/>
      <x:c r="J203" s="161"/>
      <x:c r="K203" s="161"/>
      <x:c r="L203" s="161"/>
      <x:c r="M203" s="161"/>
      <x:c r="N203" s="161"/>
      <x:c r="O203" s="161"/>
      <x:c r="P203" s="161"/>
      <x:c r="Q203" s="161"/>
      <x:c r="R203" s="161"/>
      <x:c r="S203" s="161"/>
      <x:c r="T203" s="161"/>
      <x:c r="U203" s="161"/>
      <x:c r="V203" s="161"/>
      <x:c r="W203" s="161"/>
      <x:c r="X203" s="161"/>
      <x:c r="Y203" s="161"/>
      <x:c r="Z203" s="161"/>
    </x:row>
    <x:row r="204">
      <x:c r="A204" s="160"/>
      <x:c r="B204" s="160"/>
      <x:c r="C204" s="160"/>
      <x:c r="D204" s="160"/>
      <x:c r="E204" s="160"/>
      <x:c r="F204" s="160"/>
      <x:c r="G204" s="160"/>
      <x:c r="H204" s="160"/>
      <x:c r="I204" s="160"/>
      <x:c r="J204" s="161"/>
      <x:c r="K204" s="161"/>
      <x:c r="L204" s="161"/>
      <x:c r="M204" s="161"/>
      <x:c r="N204" s="161"/>
      <x:c r="O204" s="161"/>
      <x:c r="P204" s="161"/>
      <x:c r="Q204" s="161"/>
      <x:c r="R204" s="161"/>
      <x:c r="S204" s="161"/>
      <x:c r="T204" s="161"/>
      <x:c r="U204" s="161"/>
      <x:c r="V204" s="161"/>
      <x:c r="W204" s="161"/>
      <x:c r="X204" s="161"/>
      <x:c r="Y204" s="161"/>
      <x:c r="Z204" s="161"/>
    </x:row>
    <x:row r="205">
      <x:c r="A205" s="160"/>
      <x:c r="B205" s="160"/>
      <x:c r="C205" s="160"/>
      <x:c r="D205" s="160"/>
      <x:c r="E205" s="160"/>
      <x:c r="F205" s="160"/>
      <x:c r="G205" s="160"/>
      <x:c r="H205" s="160"/>
      <x:c r="I205" s="160"/>
      <x:c r="J205" s="161"/>
      <x:c r="K205" s="161"/>
      <x:c r="L205" s="161"/>
      <x:c r="M205" s="161"/>
      <x:c r="N205" s="161"/>
      <x:c r="O205" s="161"/>
      <x:c r="P205" s="161"/>
      <x:c r="Q205" s="161"/>
      <x:c r="R205" s="161"/>
      <x:c r="S205" s="161"/>
      <x:c r="T205" s="161"/>
      <x:c r="U205" s="161"/>
      <x:c r="V205" s="161"/>
      <x:c r="W205" s="161"/>
      <x:c r="X205" s="161"/>
      <x:c r="Y205" s="161"/>
      <x:c r="Z205" s="161"/>
    </x:row>
    <x:row r="206">
      <x:c r="A206" s="160"/>
      <x:c r="B206" s="160"/>
      <x:c r="C206" s="160"/>
      <x:c r="D206" s="160"/>
      <x:c r="E206" s="160"/>
      <x:c r="F206" s="160"/>
      <x:c r="G206" s="160"/>
      <x:c r="H206" s="160"/>
      <x:c r="I206" s="160"/>
      <x:c r="J206" s="161"/>
      <x:c r="K206" s="161"/>
      <x:c r="L206" s="161"/>
      <x:c r="M206" s="161"/>
      <x:c r="N206" s="161"/>
      <x:c r="O206" s="161"/>
      <x:c r="P206" s="161"/>
      <x:c r="Q206" s="161"/>
      <x:c r="R206" s="161"/>
      <x:c r="S206" s="161"/>
      <x:c r="T206" s="161"/>
      <x:c r="U206" s="161"/>
      <x:c r="V206" s="161"/>
      <x:c r="W206" s="161"/>
      <x:c r="X206" s="161"/>
      <x:c r="Y206" s="161"/>
      <x:c r="Z206" s="161"/>
    </x:row>
    <x:row r="207">
      <x:c r="A207" s="160"/>
      <x:c r="B207" s="160"/>
      <x:c r="C207" s="160"/>
      <x:c r="D207" s="160"/>
      <x:c r="E207" s="160"/>
      <x:c r="F207" s="160"/>
      <x:c r="G207" s="160"/>
      <x:c r="H207" s="160"/>
      <x:c r="I207" s="160"/>
      <x:c r="J207" s="161"/>
      <x:c r="K207" s="161"/>
      <x:c r="L207" s="161"/>
      <x:c r="M207" s="161"/>
      <x:c r="N207" s="161"/>
      <x:c r="O207" s="161"/>
      <x:c r="P207" s="161"/>
      <x:c r="Q207" s="161"/>
      <x:c r="R207" s="161"/>
      <x:c r="S207" s="161"/>
      <x:c r="T207" s="161"/>
      <x:c r="U207" s="161"/>
      <x:c r="V207" s="161"/>
      <x:c r="W207" s="161"/>
      <x:c r="X207" s="161"/>
      <x:c r="Y207" s="161"/>
      <x:c r="Z207" s="161"/>
    </x:row>
    <x:row r="208">
      <x:c r="A208" s="160"/>
      <x:c r="B208" s="160"/>
      <x:c r="C208" s="160"/>
      <x:c r="D208" s="160"/>
      <x:c r="E208" s="160"/>
      <x:c r="F208" s="160"/>
      <x:c r="G208" s="160"/>
      <x:c r="H208" s="160"/>
      <x:c r="I208" s="160"/>
      <x:c r="J208" s="161"/>
      <x:c r="K208" s="161"/>
      <x:c r="L208" s="161"/>
      <x:c r="M208" s="161"/>
      <x:c r="N208" s="161"/>
      <x:c r="O208" s="161"/>
      <x:c r="P208" s="161"/>
      <x:c r="Q208" s="161"/>
      <x:c r="R208" s="161"/>
      <x:c r="S208" s="161"/>
      <x:c r="T208" s="161"/>
      <x:c r="U208" s="161"/>
      <x:c r="V208" s="161"/>
      <x:c r="W208" s="161"/>
      <x:c r="X208" s="161"/>
      <x:c r="Y208" s="161"/>
      <x:c r="Z208" s="161"/>
    </x:row>
    <x:row r="209">
      <x:c r="A209" s="160"/>
      <x:c r="B209" s="160"/>
      <x:c r="C209" s="160"/>
      <x:c r="D209" s="160"/>
      <x:c r="E209" s="160"/>
      <x:c r="F209" s="160"/>
      <x:c r="G209" s="160"/>
      <x:c r="H209" s="160"/>
      <x:c r="I209" s="160"/>
      <x:c r="J209" s="161"/>
      <x:c r="K209" s="161"/>
      <x:c r="L209" s="161"/>
      <x:c r="M209" s="161"/>
      <x:c r="N209" s="161"/>
      <x:c r="O209" s="161"/>
      <x:c r="P209" s="161"/>
      <x:c r="Q209" s="161"/>
      <x:c r="R209" s="161"/>
      <x:c r="S209" s="161"/>
      <x:c r="T209" s="161"/>
      <x:c r="U209" s="161"/>
      <x:c r="V209" s="161"/>
      <x:c r="W209" s="161"/>
      <x:c r="X209" s="161"/>
      <x:c r="Y209" s="161"/>
      <x:c r="Z209" s="161"/>
    </x:row>
    <x:row r="210">
      <x:c r="A210" s="160"/>
      <x:c r="B210" s="160"/>
      <x:c r="C210" s="160"/>
      <x:c r="D210" s="160"/>
      <x:c r="E210" s="160"/>
      <x:c r="F210" s="160"/>
      <x:c r="G210" s="160"/>
      <x:c r="H210" s="160"/>
      <x:c r="I210" s="160"/>
      <x:c r="J210" s="161"/>
      <x:c r="K210" s="161"/>
      <x:c r="L210" s="161"/>
      <x:c r="M210" s="161"/>
      <x:c r="N210" s="161"/>
      <x:c r="O210" s="161"/>
      <x:c r="P210" s="161"/>
      <x:c r="Q210" s="161"/>
      <x:c r="R210" s="161"/>
      <x:c r="S210" s="161"/>
      <x:c r="T210" s="161"/>
      <x:c r="U210" s="161"/>
      <x:c r="V210" s="161"/>
      <x:c r="W210" s="161"/>
      <x:c r="X210" s="161"/>
      <x:c r="Y210" s="161"/>
      <x:c r="Z210" s="161"/>
    </x:row>
    <x:row r="211">
      <x:c r="A211" s="160"/>
      <x:c r="B211" s="160"/>
      <x:c r="C211" s="160"/>
      <x:c r="D211" s="160"/>
      <x:c r="E211" s="160"/>
      <x:c r="F211" s="160"/>
      <x:c r="G211" s="160"/>
      <x:c r="H211" s="160"/>
      <x:c r="I211" s="160"/>
      <x:c r="J211" s="161"/>
      <x:c r="K211" s="161"/>
      <x:c r="L211" s="161"/>
      <x:c r="M211" s="161"/>
      <x:c r="N211" s="161"/>
      <x:c r="O211" s="161"/>
      <x:c r="P211" s="161"/>
      <x:c r="Q211" s="161"/>
      <x:c r="R211" s="161"/>
      <x:c r="S211" s="161"/>
      <x:c r="T211" s="161"/>
      <x:c r="U211" s="161"/>
      <x:c r="V211" s="161"/>
      <x:c r="W211" s="161"/>
      <x:c r="X211" s="161"/>
      <x:c r="Y211" s="161"/>
      <x:c r="Z211" s="161"/>
    </x:row>
    <x:row r="212">
      <x:c r="A212" s="160"/>
      <x:c r="B212" s="160"/>
      <x:c r="C212" s="160"/>
      <x:c r="D212" s="160"/>
      <x:c r="E212" s="160"/>
      <x:c r="F212" s="160"/>
      <x:c r="G212" s="160"/>
      <x:c r="H212" s="160"/>
      <x:c r="I212" s="160"/>
      <x:c r="J212" s="161"/>
      <x:c r="K212" s="161"/>
      <x:c r="L212" s="161"/>
      <x:c r="M212" s="161"/>
      <x:c r="N212" s="161"/>
      <x:c r="O212" s="161"/>
      <x:c r="P212" s="161"/>
      <x:c r="Q212" s="161"/>
      <x:c r="R212" s="161"/>
      <x:c r="S212" s="161"/>
      <x:c r="T212" s="161"/>
      <x:c r="U212" s="161"/>
      <x:c r="V212" s="161"/>
      <x:c r="W212" s="161"/>
      <x:c r="X212" s="161"/>
      <x:c r="Y212" s="161"/>
      <x:c r="Z212" s="161"/>
    </x:row>
    <x:row r="213">
      <x:c r="A213" s="160"/>
      <x:c r="B213" s="160"/>
      <x:c r="C213" s="160"/>
      <x:c r="D213" s="160"/>
      <x:c r="E213" s="160"/>
      <x:c r="F213" s="160"/>
      <x:c r="G213" s="160"/>
      <x:c r="H213" s="160"/>
      <x:c r="I213" s="160"/>
      <x:c r="J213" s="161"/>
      <x:c r="K213" s="161"/>
      <x:c r="L213" s="161"/>
      <x:c r="M213" s="161"/>
      <x:c r="N213" s="161"/>
      <x:c r="O213" s="161"/>
      <x:c r="P213" s="161"/>
      <x:c r="Q213" s="161"/>
      <x:c r="R213" s="161"/>
      <x:c r="S213" s="161"/>
      <x:c r="T213" s="161"/>
      <x:c r="U213" s="161"/>
      <x:c r="V213" s="161"/>
      <x:c r="W213" s="161"/>
      <x:c r="X213" s="161"/>
      <x:c r="Y213" s="161"/>
      <x:c r="Z213" s="161"/>
    </x:row>
    <x:row r="214">
      <x:c r="A214" s="160"/>
      <x:c r="B214" s="160"/>
      <x:c r="C214" s="160"/>
      <x:c r="D214" s="160"/>
      <x:c r="E214" s="160"/>
      <x:c r="F214" s="160"/>
      <x:c r="G214" s="160"/>
      <x:c r="H214" s="160"/>
      <x:c r="I214" s="160"/>
      <x:c r="J214" s="161"/>
      <x:c r="K214" s="161"/>
      <x:c r="L214" s="161"/>
      <x:c r="M214" s="161"/>
      <x:c r="N214" s="161"/>
      <x:c r="O214" s="161"/>
      <x:c r="P214" s="161"/>
      <x:c r="Q214" s="161"/>
      <x:c r="R214" s="161"/>
      <x:c r="S214" s="161"/>
      <x:c r="T214" s="161"/>
      <x:c r="U214" s="161"/>
      <x:c r="V214" s="161"/>
      <x:c r="W214" s="161"/>
      <x:c r="X214" s="161"/>
      <x:c r="Y214" s="161"/>
      <x:c r="Z214" s="161"/>
    </x:row>
    <x:row r="215">
      <x:c r="A215" s="160"/>
      <x:c r="B215" s="160"/>
      <x:c r="C215" s="160"/>
      <x:c r="D215" s="160"/>
      <x:c r="E215" s="160"/>
      <x:c r="F215" s="160"/>
      <x:c r="G215" s="160"/>
      <x:c r="H215" s="160"/>
      <x:c r="I215" s="160"/>
      <x:c r="J215" s="161"/>
      <x:c r="K215" s="161"/>
      <x:c r="L215" s="161"/>
      <x:c r="M215" s="161"/>
      <x:c r="N215" s="161"/>
      <x:c r="O215" s="161"/>
      <x:c r="P215" s="161"/>
      <x:c r="Q215" s="161"/>
      <x:c r="R215" s="161"/>
      <x:c r="S215" s="161"/>
      <x:c r="T215" s="161"/>
      <x:c r="U215" s="161"/>
      <x:c r="V215" s="161"/>
      <x:c r="W215" s="161"/>
      <x:c r="X215" s="161"/>
      <x:c r="Y215" s="161"/>
      <x:c r="Z215" s="161"/>
    </x:row>
    <x:row r="216">
      <x:c r="A216" s="160"/>
      <x:c r="B216" s="160"/>
      <x:c r="C216" s="160"/>
      <x:c r="D216" s="160"/>
      <x:c r="E216" s="160"/>
      <x:c r="F216" s="160"/>
      <x:c r="G216" s="160"/>
      <x:c r="H216" s="160"/>
      <x:c r="I216" s="160"/>
      <x:c r="J216" s="161"/>
      <x:c r="K216" s="161"/>
      <x:c r="L216" s="161"/>
      <x:c r="M216" s="161"/>
      <x:c r="N216" s="161"/>
      <x:c r="O216" s="161"/>
      <x:c r="P216" s="161"/>
      <x:c r="Q216" s="161"/>
      <x:c r="R216" s="161"/>
      <x:c r="S216" s="161"/>
      <x:c r="T216" s="161"/>
      <x:c r="U216" s="161"/>
      <x:c r="V216" s="161"/>
      <x:c r="W216" s="161"/>
      <x:c r="X216" s="161"/>
      <x:c r="Y216" s="161"/>
      <x:c r="Z216" s="161"/>
    </x:row>
    <x:row r="217">
      <x:c r="A217" s="160"/>
      <x:c r="B217" s="160"/>
      <x:c r="C217" s="160"/>
      <x:c r="D217" s="160"/>
      <x:c r="E217" s="160"/>
      <x:c r="F217" s="160"/>
      <x:c r="G217" s="160"/>
      <x:c r="H217" s="160"/>
      <x:c r="I217" s="160"/>
      <x:c r="J217" s="161"/>
      <x:c r="K217" s="161"/>
      <x:c r="L217" s="161"/>
      <x:c r="M217" s="161"/>
      <x:c r="N217" s="161"/>
      <x:c r="O217" s="161"/>
      <x:c r="P217" s="161"/>
      <x:c r="Q217" s="161"/>
      <x:c r="R217" s="161"/>
      <x:c r="S217" s="161"/>
      <x:c r="T217" s="161"/>
      <x:c r="U217" s="161"/>
      <x:c r="V217" s="161"/>
      <x:c r="W217" s="161"/>
      <x:c r="X217" s="161"/>
      <x:c r="Y217" s="161"/>
      <x:c r="Z217" s="161"/>
    </x:row>
    <x:row r="218">
      <x:c r="A218" s="160"/>
      <x:c r="B218" s="160"/>
      <x:c r="C218" s="160"/>
      <x:c r="D218" s="160"/>
      <x:c r="E218" s="160"/>
      <x:c r="F218" s="160"/>
      <x:c r="G218" s="160"/>
      <x:c r="H218" s="160"/>
      <x:c r="I218" s="160"/>
      <x:c r="J218" s="161"/>
      <x:c r="K218" s="161"/>
      <x:c r="L218" s="161"/>
      <x:c r="M218" s="161"/>
      <x:c r="N218" s="161"/>
      <x:c r="O218" s="161"/>
      <x:c r="P218" s="161"/>
      <x:c r="Q218" s="161"/>
      <x:c r="R218" s="161"/>
      <x:c r="S218" s="161"/>
      <x:c r="T218" s="161"/>
      <x:c r="U218" s="161"/>
      <x:c r="V218" s="161"/>
      <x:c r="W218" s="161"/>
      <x:c r="X218" s="161"/>
      <x:c r="Y218" s="161"/>
      <x:c r="Z218" s="161"/>
    </x:row>
    <x:row r="219">
      <x:c r="A219" s="160"/>
      <x:c r="B219" s="160"/>
      <x:c r="C219" s="160"/>
      <x:c r="D219" s="160"/>
      <x:c r="E219" s="160"/>
      <x:c r="F219" s="160"/>
      <x:c r="G219" s="160"/>
      <x:c r="H219" s="160"/>
      <x:c r="I219" s="160"/>
      <x:c r="J219" s="161"/>
      <x:c r="K219" s="161"/>
      <x:c r="L219" s="161"/>
      <x:c r="M219" s="161"/>
      <x:c r="N219" s="161"/>
      <x:c r="O219" s="161"/>
      <x:c r="P219" s="161"/>
      <x:c r="Q219" s="161"/>
      <x:c r="R219" s="161"/>
      <x:c r="S219" s="161"/>
      <x:c r="T219" s="161"/>
      <x:c r="U219" s="161"/>
      <x:c r="V219" s="161"/>
      <x:c r="W219" s="161"/>
      <x:c r="X219" s="161"/>
      <x:c r="Y219" s="161"/>
      <x:c r="Z219" s="161"/>
    </x:row>
    <x:row r="220">
      <x:c r="A220" s="160"/>
      <x:c r="B220" s="160"/>
      <x:c r="C220" s="160"/>
      <x:c r="D220" s="160"/>
      <x:c r="E220" s="160"/>
      <x:c r="F220" s="160"/>
      <x:c r="G220" s="160"/>
      <x:c r="H220" s="160"/>
      <x:c r="I220" s="160"/>
      <x:c r="J220" s="161"/>
      <x:c r="K220" s="161"/>
      <x:c r="L220" s="161"/>
      <x:c r="M220" s="161"/>
      <x:c r="N220" s="161"/>
      <x:c r="O220" s="161"/>
      <x:c r="P220" s="161"/>
      <x:c r="Q220" s="161"/>
      <x:c r="R220" s="161"/>
      <x:c r="S220" s="161"/>
      <x:c r="T220" s="161"/>
      <x:c r="U220" s="161"/>
      <x:c r="V220" s="161"/>
      <x:c r="W220" s="161"/>
      <x:c r="X220" s="161"/>
      <x:c r="Y220" s="161"/>
      <x:c r="Z220" s="161"/>
    </x:row>
    <x:row r="221">
      <x:c r="A221" s="161"/>
      <x:c r="B221" s="161"/>
      <x:c r="C221" s="161"/>
      <x:c r="D221" s="161"/>
      <x:c r="E221" s="161"/>
      <x:c r="F221" s="161"/>
      <x:c r="G221" s="161"/>
      <x:c r="H221" s="161"/>
      <x:c r="I221" s="161"/>
      <x:c r="J221" s="161"/>
      <x:c r="K221" s="161"/>
      <x:c r="L221" s="161"/>
      <x:c r="M221" s="161"/>
      <x:c r="N221" s="161"/>
      <x:c r="O221" s="161"/>
      <x:c r="P221" s="161"/>
      <x:c r="Q221" s="161"/>
      <x:c r="R221" s="161"/>
      <x:c r="S221" s="161"/>
      <x:c r="T221" s="161"/>
      <x:c r="U221" s="161"/>
      <x:c r="V221" s="161"/>
      <x:c r="W221" s="161"/>
      <x:c r="X221" s="161"/>
      <x:c r="Y221" s="161"/>
      <x:c r="Z221" s="161"/>
    </x:row>
    <x:row r="222">
      <x:c r="A222" s="161"/>
      <x:c r="B222" s="161"/>
      <x:c r="C222" s="161"/>
      <x:c r="D222" s="161"/>
      <x:c r="E222" s="161"/>
      <x:c r="F222" s="161"/>
      <x:c r="G222" s="161"/>
      <x:c r="H222" s="161"/>
      <x:c r="I222" s="161"/>
      <x:c r="J222" s="161"/>
      <x:c r="K222" s="161"/>
      <x:c r="L222" s="161"/>
      <x:c r="M222" s="161"/>
      <x:c r="N222" s="161"/>
      <x:c r="O222" s="161"/>
      <x:c r="P222" s="161"/>
      <x:c r="Q222" s="161"/>
      <x:c r="R222" s="161"/>
      <x:c r="S222" s="161"/>
      <x:c r="T222" s="161"/>
      <x:c r="U222" s="161"/>
      <x:c r="V222" s="161"/>
      <x:c r="W222" s="161"/>
      <x:c r="X222" s="161"/>
      <x:c r="Y222" s="161"/>
      <x:c r="Z222" s="161"/>
    </x:row>
    <x:row r="223">
      <x:c r="A223" s="161"/>
      <x:c r="B223" s="161"/>
      <x:c r="C223" s="161"/>
      <x:c r="D223" s="161"/>
      <x:c r="E223" s="161"/>
      <x:c r="F223" s="161"/>
      <x:c r="G223" s="161"/>
      <x:c r="H223" s="161"/>
      <x:c r="I223" s="161"/>
      <x:c r="J223" s="161"/>
      <x:c r="K223" s="161"/>
      <x:c r="L223" s="161"/>
      <x:c r="M223" s="161"/>
      <x:c r="N223" s="161"/>
      <x:c r="O223" s="161"/>
      <x:c r="P223" s="161"/>
      <x:c r="Q223" s="161"/>
      <x:c r="R223" s="161"/>
      <x:c r="S223" s="161"/>
      <x:c r="T223" s="161"/>
      <x:c r="U223" s="161"/>
      <x:c r="V223" s="161"/>
      <x:c r="W223" s="161"/>
      <x:c r="X223" s="161"/>
      <x:c r="Y223" s="161"/>
      <x:c r="Z223" s="161"/>
    </x:row>
    <x:row r="224">
      <x:c r="A224" s="161"/>
      <x:c r="B224" s="161"/>
      <x:c r="C224" s="161"/>
      <x:c r="D224" s="161"/>
      <x:c r="E224" s="161"/>
      <x:c r="F224" s="161"/>
      <x:c r="G224" s="161"/>
      <x:c r="H224" s="161"/>
      <x:c r="I224" s="161"/>
      <x:c r="J224" s="161"/>
      <x:c r="K224" s="161"/>
      <x:c r="L224" s="161"/>
      <x:c r="M224" s="161"/>
      <x:c r="N224" s="161"/>
      <x:c r="O224" s="161"/>
      <x:c r="P224" s="161"/>
      <x:c r="Q224" s="161"/>
      <x:c r="R224" s="161"/>
      <x:c r="S224" s="161"/>
      <x:c r="T224" s="161"/>
      <x:c r="U224" s="161"/>
      <x:c r="V224" s="161"/>
      <x:c r="W224" s="161"/>
      <x:c r="X224" s="161"/>
      <x:c r="Y224" s="161"/>
      <x:c r="Z224" s="161"/>
    </x:row>
    <x:row r="225">
      <x:c r="A225" s="161"/>
      <x:c r="B225" s="161"/>
      <x:c r="C225" s="161"/>
      <x:c r="D225" s="161"/>
      <x:c r="E225" s="161"/>
      <x:c r="F225" s="161"/>
      <x:c r="G225" s="161"/>
      <x:c r="H225" s="161"/>
      <x:c r="I225" s="161"/>
      <x:c r="J225" s="161"/>
      <x:c r="K225" s="161"/>
      <x:c r="L225" s="161"/>
      <x:c r="M225" s="161"/>
      <x:c r="N225" s="161"/>
      <x:c r="O225" s="161"/>
      <x:c r="P225" s="161"/>
      <x:c r="Q225" s="161"/>
      <x:c r="R225" s="161"/>
      <x:c r="S225" s="161"/>
      <x:c r="T225" s="161"/>
      <x:c r="U225" s="161"/>
      <x:c r="V225" s="161"/>
      <x:c r="W225" s="161"/>
      <x:c r="X225" s="161"/>
      <x:c r="Y225" s="161"/>
      <x:c r="Z225" s="161"/>
    </x:row>
    <x:row r="226">
      <x:c r="A226" s="161"/>
      <x:c r="B226" s="161"/>
      <x:c r="C226" s="161"/>
      <x:c r="D226" s="161"/>
      <x:c r="E226" s="161"/>
      <x:c r="F226" s="161"/>
      <x:c r="G226" s="161"/>
      <x:c r="H226" s="161"/>
      <x:c r="I226" s="161"/>
      <x:c r="J226" s="161"/>
      <x:c r="K226" s="161"/>
      <x:c r="L226" s="161"/>
      <x:c r="M226" s="161"/>
      <x:c r="N226" s="161"/>
      <x:c r="O226" s="161"/>
      <x:c r="P226" s="161"/>
      <x:c r="Q226" s="161"/>
      <x:c r="R226" s="161"/>
      <x:c r="S226" s="161"/>
      <x:c r="T226" s="161"/>
      <x:c r="U226" s="161"/>
      <x:c r="V226" s="161"/>
      <x:c r="W226" s="161"/>
      <x:c r="X226" s="161"/>
      <x:c r="Y226" s="161"/>
      <x:c r="Z226" s="161"/>
    </x:row>
    <x:row r="227">
      <x:c r="A227" s="161"/>
      <x:c r="B227" s="161"/>
      <x:c r="C227" s="161"/>
      <x:c r="D227" s="161"/>
      <x:c r="E227" s="161"/>
      <x:c r="F227" s="161"/>
      <x:c r="G227" s="161"/>
      <x:c r="H227" s="161"/>
      <x:c r="I227" s="161"/>
      <x:c r="J227" s="161"/>
      <x:c r="K227" s="161"/>
      <x:c r="L227" s="161"/>
      <x:c r="M227" s="161"/>
      <x:c r="N227" s="161"/>
      <x:c r="O227" s="161"/>
      <x:c r="P227" s="161"/>
      <x:c r="Q227" s="161"/>
      <x:c r="R227" s="161"/>
      <x:c r="S227" s="161"/>
      <x:c r="T227" s="161"/>
      <x:c r="U227" s="161"/>
      <x:c r="V227" s="161"/>
      <x:c r="W227" s="161"/>
      <x:c r="X227" s="161"/>
      <x:c r="Y227" s="161"/>
      <x:c r="Z227" s="161"/>
    </x:row>
    <x:row r="228">
      <x:c r="A228" s="161"/>
      <x:c r="B228" s="161"/>
      <x:c r="C228" s="161"/>
      <x:c r="D228" s="161"/>
      <x:c r="E228" s="161"/>
      <x:c r="F228" s="161"/>
      <x:c r="G228" s="161"/>
      <x:c r="H228" s="161"/>
      <x:c r="I228" s="161"/>
      <x:c r="J228" s="161"/>
      <x:c r="K228" s="161"/>
      <x:c r="L228" s="161"/>
      <x:c r="M228" s="161"/>
      <x:c r="N228" s="161"/>
      <x:c r="O228" s="161"/>
      <x:c r="P228" s="161"/>
      <x:c r="Q228" s="161"/>
      <x:c r="R228" s="161"/>
      <x:c r="S228" s="161"/>
      <x:c r="T228" s="161"/>
      <x:c r="U228" s="161"/>
      <x:c r="V228" s="161"/>
      <x:c r="W228" s="161"/>
      <x:c r="X228" s="161"/>
      <x:c r="Y228" s="161"/>
      <x:c r="Z228" s="161"/>
    </x:row>
    <x:row r="229">
      <x:c r="A229" s="161"/>
      <x:c r="B229" s="161"/>
      <x:c r="C229" s="161"/>
      <x:c r="D229" s="161"/>
      <x:c r="E229" s="161"/>
      <x:c r="F229" s="161"/>
      <x:c r="G229" s="161"/>
      <x:c r="H229" s="161"/>
      <x:c r="I229" s="161"/>
      <x:c r="J229" s="161"/>
      <x:c r="K229" s="161"/>
      <x:c r="L229" s="161"/>
      <x:c r="M229" s="161"/>
      <x:c r="N229" s="161"/>
      <x:c r="O229" s="161"/>
      <x:c r="P229" s="161"/>
      <x:c r="Q229" s="161"/>
      <x:c r="R229" s="161"/>
      <x:c r="S229" s="161"/>
      <x:c r="T229" s="161"/>
      <x:c r="U229" s="161"/>
      <x:c r="V229" s="161"/>
      <x:c r="W229" s="161"/>
      <x:c r="X229" s="161"/>
      <x:c r="Y229" s="161"/>
      <x:c r="Z229" s="161"/>
    </x:row>
    <x:row r="230">
      <x:c r="A230" s="161"/>
      <x:c r="B230" s="161"/>
      <x:c r="C230" s="161"/>
      <x:c r="D230" s="161"/>
      <x:c r="E230" s="161"/>
      <x:c r="F230" s="161"/>
      <x:c r="G230" s="161"/>
      <x:c r="H230" s="161"/>
      <x:c r="I230" s="161"/>
      <x:c r="J230" s="161"/>
      <x:c r="K230" s="161"/>
      <x:c r="L230" s="161"/>
      <x:c r="M230" s="161"/>
      <x:c r="N230" s="161"/>
      <x:c r="O230" s="161"/>
      <x:c r="P230" s="161"/>
      <x:c r="Q230" s="161"/>
      <x:c r="R230" s="161"/>
      <x:c r="S230" s="161"/>
      <x:c r="T230" s="161"/>
      <x:c r="U230" s="161"/>
      <x:c r="V230" s="161"/>
      <x:c r="W230" s="161"/>
      <x:c r="X230" s="161"/>
      <x:c r="Y230" s="161"/>
      <x:c r="Z230" s="161"/>
    </x:row>
    <x:row r="231">
      <x:c r="A231" s="161"/>
      <x:c r="B231" s="161"/>
      <x:c r="C231" s="161"/>
      <x:c r="D231" s="161"/>
      <x:c r="E231" s="161"/>
      <x:c r="F231" s="161"/>
      <x:c r="G231" s="161"/>
      <x:c r="H231" s="161"/>
      <x:c r="I231" s="161"/>
      <x:c r="J231" s="161"/>
      <x:c r="K231" s="161"/>
      <x:c r="L231" s="161"/>
      <x:c r="M231" s="161"/>
      <x:c r="N231" s="161"/>
      <x:c r="O231" s="161"/>
      <x:c r="P231" s="161"/>
      <x:c r="Q231" s="161"/>
      <x:c r="R231" s="161"/>
      <x:c r="S231" s="161"/>
      <x:c r="T231" s="161"/>
      <x:c r="U231" s="161"/>
      <x:c r="V231" s="161"/>
      <x:c r="W231" s="161"/>
      <x:c r="X231" s="161"/>
      <x:c r="Y231" s="161"/>
      <x:c r="Z231" s="161"/>
    </x:row>
    <x:row r="232">
      <x:c r="A232" s="161"/>
      <x:c r="B232" s="161"/>
      <x:c r="C232" s="161"/>
      <x:c r="D232" s="161"/>
      <x:c r="E232" s="161"/>
      <x:c r="F232" s="161"/>
      <x:c r="G232" s="161"/>
      <x:c r="H232" s="161"/>
      <x:c r="I232" s="161"/>
      <x:c r="J232" s="161"/>
      <x:c r="K232" s="161"/>
      <x:c r="L232" s="161"/>
      <x:c r="M232" s="161"/>
      <x:c r="N232" s="161"/>
      <x:c r="O232" s="161"/>
      <x:c r="P232" s="161"/>
      <x:c r="Q232" s="161"/>
      <x:c r="R232" s="161"/>
      <x:c r="S232" s="161"/>
      <x:c r="T232" s="161"/>
      <x:c r="U232" s="161"/>
      <x:c r="V232" s="161"/>
      <x:c r="W232" s="161"/>
      <x:c r="X232" s="161"/>
      <x:c r="Y232" s="161"/>
      <x:c r="Z232" s="161"/>
    </x:row>
    <x:row r="233">
      <x:c r="A233" s="161"/>
      <x:c r="B233" s="161"/>
      <x:c r="C233" s="161"/>
      <x:c r="D233" s="161"/>
      <x:c r="E233" s="161"/>
      <x:c r="F233" s="161"/>
      <x:c r="G233" s="161"/>
      <x:c r="H233" s="161"/>
      <x:c r="I233" s="161"/>
      <x:c r="J233" s="161"/>
      <x:c r="K233" s="161"/>
      <x:c r="L233" s="161"/>
      <x:c r="M233" s="161"/>
      <x:c r="N233" s="161"/>
      <x:c r="O233" s="161"/>
      <x:c r="P233" s="161"/>
      <x:c r="Q233" s="161"/>
      <x:c r="R233" s="161"/>
      <x:c r="S233" s="161"/>
      <x:c r="T233" s="161"/>
      <x:c r="U233" s="161"/>
      <x:c r="V233" s="161"/>
      <x:c r="W233" s="161"/>
      <x:c r="X233" s="161"/>
      <x:c r="Y233" s="161"/>
      <x:c r="Z233" s="161"/>
    </x:row>
    <x:row r="234">
      <x:c r="A234" s="161"/>
      <x:c r="B234" s="161"/>
      <x:c r="C234" s="161"/>
      <x:c r="D234" s="161"/>
      <x:c r="E234" s="161"/>
      <x:c r="F234" s="161"/>
      <x:c r="G234" s="161"/>
      <x:c r="H234" s="161"/>
      <x:c r="I234" s="161"/>
      <x:c r="J234" s="161"/>
      <x:c r="K234" s="161"/>
      <x:c r="L234" s="161"/>
      <x:c r="M234" s="161"/>
      <x:c r="N234" s="161"/>
      <x:c r="O234" s="161"/>
      <x:c r="P234" s="161"/>
      <x:c r="Q234" s="161"/>
      <x:c r="R234" s="161"/>
      <x:c r="S234" s="161"/>
      <x:c r="T234" s="161"/>
      <x:c r="U234" s="161"/>
      <x:c r="V234" s="161"/>
      <x:c r="W234" s="161"/>
      <x:c r="X234" s="161"/>
      <x:c r="Y234" s="161"/>
      <x:c r="Z234" s="161"/>
    </x:row>
    <x:row r="235">
      <x:c r="A235" s="161"/>
      <x:c r="B235" s="161"/>
      <x:c r="C235" s="161"/>
      <x:c r="D235" s="161"/>
      <x:c r="E235" s="161"/>
      <x:c r="F235" s="161"/>
      <x:c r="G235" s="161"/>
      <x:c r="H235" s="161"/>
      <x:c r="I235" s="161"/>
      <x:c r="J235" s="161"/>
      <x:c r="K235" s="161"/>
      <x:c r="L235" s="161"/>
      <x:c r="M235" s="161"/>
      <x:c r="N235" s="161"/>
      <x:c r="O235" s="161"/>
      <x:c r="P235" s="161"/>
      <x:c r="Q235" s="161"/>
      <x:c r="R235" s="161"/>
      <x:c r="S235" s="161"/>
      <x:c r="T235" s="161"/>
      <x:c r="U235" s="161"/>
      <x:c r="V235" s="161"/>
      <x:c r="W235" s="161"/>
      <x:c r="X235" s="161"/>
      <x:c r="Y235" s="161"/>
      <x:c r="Z235" s="161"/>
    </x:row>
    <x:row r="236">
      <x:c r="A236" s="161"/>
      <x:c r="B236" s="161"/>
      <x:c r="C236" s="161"/>
      <x:c r="D236" s="161"/>
      <x:c r="E236" s="161"/>
      <x:c r="F236" s="161"/>
      <x:c r="G236" s="161"/>
      <x:c r="H236" s="161"/>
      <x:c r="I236" s="161"/>
      <x:c r="J236" s="161"/>
      <x:c r="K236" s="161"/>
      <x:c r="L236" s="161"/>
      <x:c r="M236" s="161"/>
      <x:c r="N236" s="161"/>
      <x:c r="O236" s="161"/>
      <x:c r="P236" s="161"/>
      <x:c r="Q236" s="161"/>
      <x:c r="R236" s="161"/>
      <x:c r="S236" s="161"/>
      <x:c r="T236" s="161"/>
      <x:c r="U236" s="161"/>
      <x:c r="V236" s="161"/>
      <x:c r="W236" s="161"/>
      <x:c r="X236" s="161"/>
      <x:c r="Y236" s="161"/>
      <x:c r="Z236" s="161"/>
    </x:row>
    <x:row r="237">
      <x:c r="A237" s="161"/>
      <x:c r="B237" s="161"/>
      <x:c r="C237" s="161"/>
      <x:c r="D237" s="161"/>
      <x:c r="E237" s="161"/>
      <x:c r="F237" s="161"/>
      <x:c r="G237" s="161"/>
      <x:c r="H237" s="161"/>
      <x:c r="I237" s="161"/>
      <x:c r="J237" s="161"/>
      <x:c r="K237" s="161"/>
      <x:c r="L237" s="161"/>
      <x:c r="M237" s="161"/>
      <x:c r="N237" s="161"/>
      <x:c r="O237" s="161"/>
      <x:c r="P237" s="161"/>
      <x:c r="Q237" s="161"/>
      <x:c r="R237" s="161"/>
      <x:c r="S237" s="161"/>
      <x:c r="T237" s="161"/>
      <x:c r="U237" s="161"/>
      <x:c r="V237" s="161"/>
      <x:c r="W237" s="161"/>
      <x:c r="X237" s="161"/>
      <x:c r="Y237" s="161"/>
      <x:c r="Z237" s="161"/>
    </x:row>
    <x:row r="238">
      <x:c r="A238" s="161"/>
      <x:c r="B238" s="161"/>
      <x:c r="C238" s="161"/>
      <x:c r="D238" s="161"/>
      <x:c r="E238" s="161"/>
      <x:c r="F238" s="161"/>
      <x:c r="G238" s="161"/>
      <x:c r="H238" s="161"/>
      <x:c r="I238" s="161"/>
      <x:c r="J238" s="161"/>
      <x:c r="K238" s="161"/>
      <x:c r="L238" s="161"/>
      <x:c r="M238" s="161"/>
      <x:c r="N238" s="161"/>
      <x:c r="O238" s="161"/>
      <x:c r="P238" s="161"/>
      <x:c r="Q238" s="161"/>
      <x:c r="R238" s="161"/>
      <x:c r="S238" s="161"/>
      <x:c r="T238" s="161"/>
      <x:c r="U238" s="161"/>
      <x:c r="V238" s="161"/>
      <x:c r="W238" s="161"/>
      <x:c r="X238" s="161"/>
      <x:c r="Y238" s="161"/>
      <x:c r="Z238" s="161"/>
    </x:row>
    <x:row r="239">
      <x:c r="A239" s="161"/>
      <x:c r="B239" s="161"/>
      <x:c r="C239" s="161"/>
      <x:c r="D239" s="161"/>
      <x:c r="E239" s="161"/>
      <x:c r="F239" s="161"/>
      <x:c r="G239" s="161"/>
      <x:c r="H239" s="161"/>
      <x:c r="I239" s="161"/>
      <x:c r="J239" s="161"/>
      <x:c r="K239" s="161"/>
      <x:c r="L239" s="161"/>
      <x:c r="M239" s="161"/>
      <x:c r="N239" s="161"/>
      <x:c r="O239" s="161"/>
      <x:c r="P239" s="161"/>
      <x:c r="Q239" s="161"/>
      <x:c r="R239" s="161"/>
      <x:c r="S239" s="161"/>
      <x:c r="T239" s="161"/>
      <x:c r="U239" s="161"/>
      <x:c r="V239" s="161"/>
      <x:c r="W239" s="161"/>
      <x:c r="X239" s="161"/>
      <x:c r="Y239" s="161"/>
      <x:c r="Z239" s="161"/>
    </x:row>
    <x:row r="240">
      <x:c r="A240" s="161"/>
      <x:c r="B240" s="161"/>
      <x:c r="C240" s="161"/>
      <x:c r="D240" s="161"/>
      <x:c r="E240" s="161"/>
      <x:c r="F240" s="161"/>
      <x:c r="G240" s="161"/>
      <x:c r="H240" s="161"/>
      <x:c r="I240" s="161"/>
      <x:c r="J240" s="161"/>
      <x:c r="K240" s="161"/>
      <x:c r="L240" s="161"/>
      <x:c r="M240" s="161"/>
      <x:c r="N240" s="161"/>
      <x:c r="O240" s="161"/>
      <x:c r="P240" s="161"/>
      <x:c r="Q240" s="161"/>
      <x:c r="R240" s="161"/>
      <x:c r="S240" s="161"/>
      <x:c r="T240" s="161"/>
      <x:c r="U240" s="161"/>
      <x:c r="V240" s="161"/>
      <x:c r="W240" s="161"/>
      <x:c r="X240" s="161"/>
      <x:c r="Y240" s="161"/>
      <x:c r="Z240" s="161"/>
    </x:row>
    <x:row r="241">
      <x:c r="A241" s="161"/>
      <x:c r="B241" s="161"/>
      <x:c r="C241" s="161"/>
      <x:c r="D241" s="161"/>
      <x:c r="E241" s="161"/>
      <x:c r="F241" s="161"/>
      <x:c r="G241" s="161"/>
      <x:c r="H241" s="161"/>
      <x:c r="I241" s="161"/>
      <x:c r="J241" s="161"/>
      <x:c r="K241" s="161"/>
      <x:c r="L241" s="161"/>
      <x:c r="M241" s="161"/>
      <x:c r="N241" s="161"/>
      <x:c r="O241" s="161"/>
      <x:c r="P241" s="161"/>
      <x:c r="Q241" s="161"/>
      <x:c r="R241" s="161"/>
      <x:c r="S241" s="161"/>
      <x:c r="T241" s="161"/>
      <x:c r="U241" s="161"/>
      <x:c r="V241" s="161"/>
      <x:c r="W241" s="161"/>
      <x:c r="X241" s="161"/>
      <x:c r="Y241" s="161"/>
      <x:c r="Z241" s="161"/>
    </x:row>
    <x:row r="242">
      <x:c r="A242" s="161"/>
      <x:c r="B242" s="161"/>
      <x:c r="C242" s="161"/>
      <x:c r="D242" s="161"/>
      <x:c r="E242" s="161"/>
      <x:c r="F242" s="161"/>
      <x:c r="G242" s="161"/>
      <x:c r="H242" s="161"/>
      <x:c r="I242" s="161"/>
      <x:c r="J242" s="161"/>
      <x:c r="K242" s="161"/>
      <x:c r="L242" s="161"/>
      <x:c r="M242" s="161"/>
      <x:c r="N242" s="161"/>
      <x:c r="O242" s="161"/>
      <x:c r="P242" s="161"/>
      <x:c r="Q242" s="161"/>
      <x:c r="R242" s="161"/>
      <x:c r="S242" s="161"/>
      <x:c r="T242" s="161"/>
      <x:c r="U242" s="161"/>
      <x:c r="V242" s="161"/>
      <x:c r="W242" s="161"/>
      <x:c r="X242" s="161"/>
      <x:c r="Y242" s="161"/>
      <x:c r="Z242" s="161"/>
    </x:row>
    <x:row r="243">
      <x:c r="A243" s="161"/>
      <x:c r="B243" s="161"/>
      <x:c r="C243" s="161"/>
      <x:c r="D243" s="161"/>
      <x:c r="E243" s="161"/>
      <x:c r="F243" s="161"/>
      <x:c r="G243" s="161"/>
      <x:c r="H243" s="161"/>
      <x:c r="I243" s="161"/>
      <x:c r="J243" s="161"/>
      <x:c r="K243" s="161"/>
      <x:c r="L243" s="161"/>
      <x:c r="M243" s="161"/>
      <x:c r="N243" s="161"/>
      <x:c r="O243" s="161"/>
      <x:c r="P243" s="161"/>
      <x:c r="Q243" s="161"/>
      <x:c r="R243" s="161"/>
      <x:c r="S243" s="161"/>
      <x:c r="T243" s="161"/>
      <x:c r="U243" s="161"/>
      <x:c r="V243" s="161"/>
      <x:c r="W243" s="161"/>
      <x:c r="X243" s="161"/>
      <x:c r="Y243" s="161"/>
      <x:c r="Z243" s="161"/>
    </x:row>
    <x:row r="244">
      <x:c r="A244" s="161"/>
      <x:c r="B244" s="161"/>
      <x:c r="C244" s="161"/>
      <x:c r="D244" s="161"/>
      <x:c r="E244" s="161"/>
      <x:c r="F244" s="161"/>
      <x:c r="G244" s="161"/>
      <x:c r="H244" s="161"/>
      <x:c r="I244" s="161"/>
      <x:c r="J244" s="161"/>
      <x:c r="K244" s="161"/>
      <x:c r="L244" s="161"/>
      <x:c r="M244" s="161"/>
      <x:c r="N244" s="161"/>
      <x:c r="O244" s="161"/>
      <x:c r="P244" s="161"/>
      <x:c r="Q244" s="161"/>
      <x:c r="R244" s="161"/>
      <x:c r="S244" s="161"/>
      <x:c r="T244" s="161"/>
      <x:c r="U244" s="161"/>
      <x:c r="V244" s="161"/>
      <x:c r="W244" s="161"/>
      <x:c r="X244" s="161"/>
      <x:c r="Y244" s="161"/>
      <x:c r="Z244" s="161"/>
    </x:row>
    <x:row r="245">
      <x:c r="A245" s="161"/>
      <x:c r="B245" s="161"/>
      <x:c r="C245" s="161"/>
      <x:c r="D245" s="161"/>
      <x:c r="E245" s="161"/>
      <x:c r="F245" s="161"/>
      <x:c r="G245" s="161"/>
      <x:c r="H245" s="161"/>
      <x:c r="I245" s="161"/>
      <x:c r="J245" s="161"/>
      <x:c r="K245" s="161"/>
      <x:c r="L245" s="161"/>
      <x:c r="M245" s="161"/>
      <x:c r="N245" s="161"/>
      <x:c r="O245" s="161"/>
      <x:c r="P245" s="161"/>
      <x:c r="Q245" s="161"/>
      <x:c r="R245" s="161"/>
      <x:c r="S245" s="161"/>
      <x:c r="T245" s="161"/>
      <x:c r="U245" s="161"/>
      <x:c r="V245" s="161"/>
      <x:c r="W245" s="161"/>
      <x:c r="X245" s="161"/>
      <x:c r="Y245" s="161"/>
      <x:c r="Z245" s="161"/>
    </x:row>
    <x:row r="246">
      <x:c r="A246" s="161"/>
      <x:c r="B246" s="161"/>
      <x:c r="C246" s="161"/>
      <x:c r="D246" s="161"/>
      <x:c r="E246" s="161"/>
      <x:c r="F246" s="161"/>
      <x:c r="G246" s="161"/>
      <x:c r="H246" s="161"/>
      <x:c r="I246" s="161"/>
      <x:c r="J246" s="161"/>
      <x:c r="K246" s="161"/>
      <x:c r="L246" s="161"/>
      <x:c r="M246" s="161"/>
      <x:c r="N246" s="161"/>
      <x:c r="O246" s="161"/>
      <x:c r="P246" s="161"/>
      <x:c r="Q246" s="161"/>
      <x:c r="R246" s="161"/>
      <x:c r="S246" s="161"/>
      <x:c r="T246" s="161"/>
      <x:c r="U246" s="161"/>
      <x:c r="V246" s="161"/>
      <x:c r="W246" s="161"/>
      <x:c r="X246" s="161"/>
      <x:c r="Y246" s="161"/>
      <x:c r="Z246" s="161"/>
    </x:row>
    <x:row r="247">
      <x:c r="A247" s="161"/>
      <x:c r="B247" s="161"/>
      <x:c r="C247" s="161"/>
      <x:c r="D247" s="161"/>
      <x:c r="E247" s="161"/>
      <x:c r="F247" s="161"/>
      <x:c r="G247" s="161"/>
      <x:c r="H247" s="161"/>
      <x:c r="I247" s="161"/>
      <x:c r="J247" s="161"/>
      <x:c r="K247" s="161"/>
      <x:c r="L247" s="161"/>
      <x:c r="M247" s="161"/>
      <x:c r="N247" s="161"/>
      <x:c r="O247" s="161"/>
      <x:c r="P247" s="161"/>
      <x:c r="Q247" s="161"/>
      <x:c r="R247" s="161"/>
      <x:c r="S247" s="161"/>
      <x:c r="T247" s="161"/>
      <x:c r="U247" s="161"/>
      <x:c r="V247" s="161"/>
      <x:c r="W247" s="161"/>
      <x:c r="X247" s="161"/>
      <x:c r="Y247" s="161"/>
      <x:c r="Z247" s="161"/>
    </x:row>
    <x:row r="248">
      <x:c r="A248" s="161"/>
      <x:c r="B248" s="161"/>
      <x:c r="C248" s="161"/>
      <x:c r="D248" s="161"/>
      <x:c r="E248" s="161"/>
      <x:c r="F248" s="161"/>
      <x:c r="G248" s="161"/>
      <x:c r="H248" s="161"/>
      <x:c r="I248" s="161"/>
      <x:c r="J248" s="161"/>
      <x:c r="K248" s="161"/>
      <x:c r="L248" s="161"/>
      <x:c r="M248" s="161"/>
      <x:c r="N248" s="161"/>
      <x:c r="O248" s="161"/>
      <x:c r="P248" s="161"/>
      <x:c r="Q248" s="161"/>
      <x:c r="R248" s="161"/>
      <x:c r="S248" s="161"/>
      <x:c r="T248" s="161"/>
      <x:c r="U248" s="161"/>
      <x:c r="V248" s="161"/>
      <x:c r="W248" s="161"/>
      <x:c r="X248" s="161"/>
      <x:c r="Y248" s="161"/>
      <x:c r="Z248" s="161"/>
    </x:row>
    <x:row r="249">
      <x:c r="A249" s="161"/>
      <x:c r="B249" s="161"/>
      <x:c r="C249" s="161"/>
      <x:c r="D249" s="161"/>
      <x:c r="E249" s="161"/>
      <x:c r="F249" s="161"/>
      <x:c r="G249" s="161"/>
      <x:c r="H249" s="161"/>
      <x:c r="I249" s="161"/>
      <x:c r="J249" s="161"/>
      <x:c r="K249" s="161"/>
      <x:c r="L249" s="161"/>
      <x:c r="M249" s="161"/>
      <x:c r="N249" s="161"/>
      <x:c r="O249" s="161"/>
      <x:c r="P249" s="161"/>
      <x:c r="Q249" s="161"/>
      <x:c r="R249" s="161"/>
      <x:c r="S249" s="161"/>
      <x:c r="T249" s="161"/>
      <x:c r="U249" s="161"/>
      <x:c r="V249" s="161"/>
      <x:c r="W249" s="161"/>
      <x:c r="X249" s="161"/>
      <x:c r="Y249" s="161"/>
      <x:c r="Z249" s="161"/>
    </x:row>
    <x:row r="250">
      <x:c r="A250" s="161"/>
      <x:c r="B250" s="161"/>
      <x:c r="C250" s="161"/>
      <x:c r="D250" s="161"/>
      <x:c r="E250" s="161"/>
      <x:c r="F250" s="161"/>
      <x:c r="G250" s="161"/>
      <x:c r="H250" s="161"/>
      <x:c r="I250" s="161"/>
      <x:c r="J250" s="161"/>
      <x:c r="K250" s="161"/>
      <x:c r="L250" s="161"/>
      <x:c r="M250" s="161"/>
      <x:c r="N250" s="161"/>
      <x:c r="O250" s="161"/>
      <x:c r="P250" s="161"/>
      <x:c r="Q250" s="161"/>
      <x:c r="R250" s="161"/>
      <x:c r="S250" s="161"/>
      <x:c r="T250" s="161"/>
      <x:c r="U250" s="161"/>
      <x:c r="V250" s="161"/>
      <x:c r="W250" s="161"/>
      <x:c r="X250" s="161"/>
      <x:c r="Y250" s="161"/>
      <x:c r="Z250" s="161"/>
    </x:row>
  </x:sheetData>
  <x:mergeCells>
    <x:mergeCell ref="A1:H1"/>
    <x:mergeCell ref="A2:H3"/>
    <x:mergeCell ref="I1:J1"/>
  </x:mergeCells>
  <x:conditionalFormatting sqref="I6:I200">
    <x:cfRule type="expression" dxfId="2" priority="1">
      <x:formula>I6="VENCIDO"</x:formula>
    </x:cfRule>
    <x:cfRule type="expression" dxfId="3" priority="2">
      <x:formula>I6="PRÓXIMO"</x:formula>
    </x:cfRule>
    <x:cfRule type="expression" dxfId="4" priority="3">
      <x:formula>I6="EN TIEMPO"</x:formula>
    </x:cfRule>
  </x:conditionalFormatting>
  <x:dataValidations count="3">
    <x:dataValidation type="list" sqref="D6:D200">
      <x:formula1>'02 Config'!$D$6:$D$10</x:formula1>
    </x:dataValidation>
    <x:dataValidation type="list" sqref="F6:F200">
      <x:formula1>'02 Config'!$J$19:$J$21</x:formula1>
    </x:dataValidation>
    <x:dataValidation type="list" sqref="H6:H200">
      <x:formula1>"Pendiente,En proceso,Completado,Cancelado"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ecfe0c5b8d498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2" hidden="0" customWidth="1"/>
    <x:col min="8" max="8" width="15" hidden="0" customWidth="1"/>
    <x:col min="9" max="9" width="15" hidden="0" customWidth="1"/>
    <x:col min="10" max="10" width="15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42" customHeight="1">
      <x:c r="A1" s="45" t="str">
        <x:v>Dashboard Ejecutivo CRM</x:v>
      </x:c>
      <x:c r="B1" s="160"/>
      <x:c r="C1" s="160"/>
      <x:c r="D1" s="160"/>
      <x:c r="E1" s="160"/>
      <x:c r="F1" s="160"/>
      <x:c r="G1" s="160"/>
      <x:c r="H1" s="160"/>
      <x:c r="I1" s="58" t="str">
        <x:v>AUTOMÁTICO</x:v>
      </x:c>
      <x:c r="J1" s="160"/>
      <x:c r="K1" s="160"/>
      <x:c r="L1" s="160"/>
      <x:c r="M1" s="160"/>
      <x:c r="N1" s="160"/>
      <x:c r="O1" s="161"/>
      <x:c r="P1" s="161"/>
      <x:c r="Q1" s="161"/>
      <x:c r="R1" s="161"/>
      <x:c r="S1" s="161"/>
      <x:c r="T1" s="161"/>
      <x:c r="U1" s="161"/>
      <x:c r="V1" s="161"/>
      <x:c r="W1" s="161"/>
      <x:c r="X1" s="161"/>
      <x:c r="Y1" s="161"/>
      <x:c r="Z1" s="161"/>
    </x:row>
    <x:row r="2">
      <x:c r="A2" s="166" t="str">
        <x:v>Panel visual con indicadores clave de clientes, pipeline, propuestas y seguimiento. Se actualiza al capturar información en las hojas operativas.</x:v>
      </x:c>
      <x:c r="B2" s="160"/>
      <x:c r="C2" s="160"/>
      <x:c r="D2" s="160"/>
      <x:c r="E2" s="160"/>
      <x:c r="F2" s="160"/>
      <x:c r="G2" s="160"/>
      <x:c r="H2" s="160"/>
      <x:c r="I2" s="160"/>
      <x:c r="J2" s="160"/>
      <x:c r="K2" s="160"/>
      <x:c r="L2" s="160"/>
      <x:c r="M2" s="160"/>
      <x:c r="N2" s="160"/>
      <x:c r="O2" s="161"/>
      <x:c r="P2" s="161"/>
      <x:c r="Q2" s="161"/>
      <x:c r="R2" s="161"/>
      <x:c r="S2" s="161"/>
      <x:c r="T2" s="161"/>
      <x:c r="U2" s="161"/>
      <x:c r="V2" s="161"/>
      <x:c r="W2" s="161"/>
      <x:c r="X2" s="161"/>
      <x:c r="Y2" s="161"/>
      <x:c r="Z2" s="161"/>
    </x:row>
    <x:row r="3">
      <x:c r="A3" s="160"/>
      <x:c r="B3" s="160"/>
      <x:c r="C3" s="160"/>
      <x:c r="D3" s="160"/>
      <x:c r="E3" s="160"/>
      <x:c r="F3" s="160"/>
      <x:c r="G3" s="160"/>
      <x:c r="H3" s="160"/>
      <x:c r="I3" s="160"/>
      <x:c r="J3" s="160"/>
      <x:c r="K3" s="160"/>
      <x:c r="L3" s="160"/>
      <x:c r="M3" s="160"/>
      <x:c r="N3" s="160"/>
      <x:c r="O3" s="161"/>
      <x:c r="P3" s="161"/>
      <x:c r="Q3" s="161"/>
      <x:c r="R3" s="161"/>
      <x:c r="S3" s="161"/>
      <x:c r="T3" s="161"/>
      <x:c r="U3" s="161"/>
      <x:c r="V3" s="161"/>
      <x:c r="W3" s="161"/>
      <x:c r="X3" s="161"/>
      <x:c r="Y3" s="161"/>
      <x:c r="Z3" s="161"/>
    </x:row>
    <x:row r="4">
      <x:c r="A4" s="160"/>
      <x:c r="B4" s="160"/>
      <x:c r="C4" s="160"/>
      <x:c r="D4" s="160"/>
      <x:c r="E4" s="160"/>
      <x:c r="F4" s="160"/>
      <x:c r="G4" s="160"/>
      <x:c r="H4" s="160"/>
      <x:c r="I4" s="160"/>
      <x:c r="J4" s="160"/>
      <x:c r="K4" s="160"/>
      <x:c r="L4" s="160"/>
      <x:c r="M4" s="160"/>
      <x:c r="N4" s="160"/>
      <x:c r="O4" s="161"/>
      <x:c r="P4" s="161"/>
      <x:c r="Q4" s="161"/>
      <x:c r="R4" s="161"/>
      <x:c r="S4" s="161"/>
      <x:c r="T4" s="161"/>
      <x:c r="U4" s="161"/>
      <x:c r="V4" s="161"/>
      <x:c r="W4" s="161"/>
      <x:c r="X4" s="161"/>
      <x:c r="Y4" s="161"/>
      <x:c r="Z4" s="161"/>
    </x:row>
    <x:row r="5">
      <x:c r="A5" s="65" t="str">
        <x:v>Indicadores clave</x:v>
      </x:c>
      <x:c r="B5" s="65"/>
      <x:c r="C5" s="65"/>
      <x:c r="D5" s="65"/>
      <x:c r="E5" s="65"/>
      <x:c r="F5" s="65"/>
      <x:c r="G5" s="65"/>
      <x:c r="H5" s="65"/>
      <x:c r="I5" s="65"/>
      <x:c r="J5" s="65"/>
      <x:c r="K5" s="65"/>
      <x:c r="L5" s="65"/>
      <x:c r="M5" s="65"/>
      <x:c r="N5" s="65"/>
      <x:c r="O5" s="161"/>
      <x:c r="P5" s="161"/>
      <x:c r="Q5" s="161"/>
      <x:c r="R5" s="161"/>
      <x:c r="S5" s="161"/>
      <x:c r="T5" s="161"/>
      <x:c r="U5" s="161"/>
      <x:c r="V5" s="161"/>
      <x:c r="W5" s="161"/>
      <x:c r="X5" s="161"/>
      <x:c r="Y5" s="161"/>
      <x:c r="Z5" s="161"/>
    </x:row>
    <x:row r="6">
      <x:c r="A6" s="160"/>
      <x:c r="B6" s="160"/>
      <x:c r="C6" s="160"/>
      <x:c r="D6" s="160"/>
      <x:c r="E6" s="160"/>
      <x:c r="F6" s="160"/>
      <x:c r="G6" s="160"/>
      <x:c r="H6" s="160"/>
      <x:c r="I6" s="160"/>
      <x:c r="J6" s="160"/>
      <x:c r="K6" s="160"/>
      <x:c r="L6" s="160"/>
      <x:c r="M6" s="160"/>
      <x:c r="N6" s="160"/>
      <x:c r="O6" s="161"/>
      <x:c r="P6" s="161"/>
      <x:c r="Q6" s="161"/>
      <x:c r="R6" s="161"/>
      <x:c r="S6" s="161"/>
      <x:c r="T6" s="161"/>
      <x:c r="U6" s="161"/>
      <x:c r="V6" s="161"/>
      <x:c r="W6" s="161"/>
      <x:c r="X6" s="161"/>
      <x:c r="Y6" s="161"/>
      <x:c r="Z6" s="161"/>
    </x:row>
    <x:row r="7">
      <x:c r="A7" s="182" t="str">
        <x:v>Clientes registrados</x:v>
      </x:c>
      <x:c r="B7" s="183"/>
      <x:c r="C7" s="183"/>
      <x:c r="D7" s="182" t="str">
        <x:v>Clientes activos</x:v>
      </x:c>
      <x:c r="E7" s="183"/>
      <x:c r="F7" s="183"/>
      <x:c r="G7" s="182" t="str">
        <x:v>Oportunidades abiertas</x:v>
      </x:c>
      <x:c r="H7" s="183"/>
      <x:c r="I7" s="183"/>
      <x:c r="J7" s="182" t="str">
        <x:v>Pipeline estimado</x:v>
      </x:c>
      <x:c r="K7" s="183"/>
      <x:c r="L7" s="183"/>
      <x:c r="M7" s="160"/>
      <x:c r="N7" s="160"/>
      <x:c r="O7" s="161"/>
      <x:c r="P7" s="161"/>
      <x:c r="Q7" s="161"/>
      <x:c r="R7" s="161"/>
      <x:c r="S7" s="161"/>
      <x:c r="T7" s="161"/>
      <x:c r="U7" s="161"/>
      <x:c r="V7" s="161"/>
      <x:c r="W7" s="161"/>
      <x:c r="X7" s="161"/>
      <x:c r="Y7" s="161"/>
      <x:c r="Z7" s="161"/>
    </x:row>
    <x:row r="8">
      <x:c r="A8" s="142" t="n">
        <x:f>COUNTA('03 Clientes'!B6:B200)</x:f>
        <x:v>3</x:v>
      </x:c>
      <x:c r="B8" s="183"/>
      <x:c r="C8" s="183"/>
      <x:c r="D8" s="142" t="n">
        <x:f>COUNTIF('03 Clientes'!J6:J200,"Activo")</x:f>
        <x:v>1</x:v>
      </x:c>
      <x:c r="E8" s="183"/>
      <x:c r="F8" s="183"/>
      <x:c r="G8" s="142" t="n">
        <x:f>COUNTIF('06 Oportunidades'!L6:L200,"Abierta")</x:f>
        <x:v>3</x:v>
      </x:c>
      <x:c r="H8" s="183"/>
      <x:c r="I8" s="183"/>
      <x:c r="J8" s="146" t="n">
        <x:f>SUMIFS('06 Oportunidades'!G6:G200,'06 Oportunidades'!L6:L200,"Abierta")</x:f>
        <x:v>250000</x:v>
      </x:c>
      <x:c r="K8" s="183"/>
      <x:c r="L8" s="183"/>
      <x:c r="M8" s="160"/>
      <x:c r="N8" s="160"/>
      <x:c r="O8" s="161"/>
      <x:c r="P8" s="161"/>
      <x:c r="Q8" s="161"/>
      <x:c r="R8" s="161"/>
      <x:c r="S8" s="161"/>
      <x:c r="T8" s="161"/>
      <x:c r="U8" s="161"/>
      <x:c r="V8" s="161"/>
      <x:c r="W8" s="161"/>
      <x:c r="X8" s="161"/>
      <x:c r="Y8" s="161"/>
      <x:c r="Z8" s="161"/>
    </x:row>
    <x:row r="9">
      <x:c r="A9" s="183"/>
      <x:c r="B9" s="183"/>
      <x:c r="C9" s="183"/>
      <x:c r="D9" s="183"/>
      <x:c r="E9" s="183"/>
      <x:c r="F9" s="183"/>
      <x:c r="G9" s="183"/>
      <x:c r="H9" s="183"/>
      <x:c r="I9" s="183"/>
      <x:c r="J9" s="183"/>
      <x:c r="K9" s="183"/>
      <x:c r="L9" s="183"/>
      <x:c r="M9" s="160"/>
      <x:c r="N9" s="160"/>
      <x:c r="O9" s="161"/>
      <x:c r="P9" s="161"/>
      <x:c r="Q9" s="161"/>
      <x:c r="R9" s="161"/>
      <x:c r="S9" s="161"/>
      <x:c r="T9" s="161"/>
      <x:c r="U9" s="161"/>
      <x:c r="V9" s="161"/>
      <x:c r="W9" s="161"/>
      <x:c r="X9" s="161"/>
      <x:c r="Y9" s="161"/>
      <x:c r="Z9" s="161"/>
    </x:row>
    <x:row r="10">
      <x:c r="A10" s="160"/>
      <x:c r="B10" s="160"/>
      <x:c r="C10" s="160"/>
      <x:c r="D10" s="160"/>
      <x:c r="E10" s="160"/>
      <x:c r="F10" s="160"/>
      <x:c r="G10" s="160"/>
      <x:c r="H10" s="160"/>
      <x:c r="I10" s="160"/>
      <x:c r="J10" s="160"/>
      <x:c r="K10" s="160"/>
      <x:c r="L10" s="160"/>
      <x:c r="M10" s="160"/>
      <x:c r="N10" s="160"/>
      <x:c r="O10" s="161"/>
      <x:c r="P10" s="161"/>
      <x:c r="Q10" s="161"/>
      <x:c r="R10" s="161"/>
      <x:c r="S10" s="161"/>
      <x:c r="T10" s="161"/>
      <x:c r="U10" s="161"/>
      <x:c r="V10" s="161"/>
      <x:c r="W10" s="161"/>
      <x:c r="X10" s="161"/>
      <x:c r="Y10" s="161"/>
      <x:c r="Z10" s="161"/>
    </x:row>
    <x:row r="11">
      <x:c r="A11" s="182" t="str">
        <x:v>Valor ponderado</x:v>
      </x:c>
      <x:c r="B11" s="183"/>
      <x:c r="C11" s="183"/>
      <x:c r="D11" s="182" t="str">
        <x:v>Propuestas pendientes</x:v>
      </x:c>
      <x:c r="E11" s="183"/>
      <x:c r="F11" s="183"/>
      <x:c r="G11" s="182" t="str">
        <x:v>Seguimientos vencidos</x:v>
      </x:c>
      <x:c r="H11" s="183"/>
      <x:c r="I11" s="183"/>
      <x:c r="J11" s="182" t="str">
        <x:v>Tasa cierre</x:v>
      </x:c>
      <x:c r="K11" s="183"/>
      <x:c r="L11" s="183"/>
      <x:c r="M11" s="160"/>
      <x:c r="N11" s="160"/>
      <x:c r="O11" s="161"/>
      <x:c r="P11" s="161"/>
      <x:c r="Q11" s="161"/>
      <x:c r="R11" s="161"/>
      <x:c r="S11" s="161"/>
      <x:c r="T11" s="161"/>
      <x:c r="U11" s="161"/>
      <x:c r="V11" s="161"/>
      <x:c r="W11" s="161"/>
      <x:c r="X11" s="161"/>
      <x:c r="Y11" s="161"/>
      <x:c r="Z11" s="161"/>
    </x:row>
    <x:row r="12">
      <x:c r="A12" s="146" t="n">
        <x:f>SUMIFS('06 Oportunidades'!H6:H200,'06 Oportunidades'!L6:L200,"Abierta")</x:f>
        <x:v>116250</x:v>
      </x:c>
      <x:c r="B12" s="183"/>
      <x:c r="C12" s="183"/>
      <x:c r="D12" s="142" t="n">
        <x:f>COUNTIF('07 Propuestas'!F6:F200,"En revisión")+COUNTIF('07 Propuestas'!F6:F200,"Enviada")</x:f>
        <x:v>1</x:v>
      </x:c>
      <x:c r="E12" s="183"/>
      <x:c r="F12" s="183"/>
      <x:c r="G12" s="142" t="n">
        <x:f>COUNTIFS('08 Seguimiento'!G6:G200,"&lt;"&amp;TODAY(),'08 Seguimiento'!G6:G200,"&lt;&gt;",'08 Seguimiento'!H6:H200,"&lt;&gt;Completado",'08 Seguimiento'!H6:H200,"&lt;&gt;")</x:f>
        <x:v>0</x:v>
      </x:c>
      <x:c r="H12" s="183"/>
      <x:c r="I12" s="183"/>
      <x:c r="J12" s="148" t="n">
        <x:f>IFERROR(COUNTIF('06 Oportunidades'!L6:L200,"Ganada")/(COUNTIF('06 Oportunidades'!L6:L200,"Ganada")+COUNTIF('06 Oportunidades'!L6:L200,"Perdida")),0)</x:f>
        <x:v>0</x:v>
      </x:c>
      <x:c r="K12" s="183"/>
      <x:c r="L12" s="183"/>
      <x:c r="M12" s="160"/>
      <x:c r="N12" s="160"/>
      <x:c r="O12" s="161"/>
      <x:c r="P12" s="161"/>
      <x:c r="Q12" s="161"/>
      <x:c r="R12" s="161"/>
      <x:c r="S12" s="161"/>
      <x:c r="T12" s="161"/>
      <x:c r="U12" s="161"/>
      <x:c r="V12" s="161"/>
      <x:c r="W12" s="161"/>
      <x:c r="X12" s="161"/>
      <x:c r="Y12" s="161"/>
      <x:c r="Z12" s="161"/>
    </x:row>
    <x:row r="13">
      <x:c r="A13" s="183"/>
      <x:c r="B13" s="183"/>
      <x:c r="C13" s="183"/>
      <x:c r="D13" s="183"/>
      <x:c r="E13" s="183"/>
      <x:c r="F13" s="183"/>
      <x:c r="G13" s="183"/>
      <x:c r="H13" s="183"/>
      <x:c r="I13" s="183"/>
      <x:c r="J13" s="183"/>
      <x:c r="K13" s="183"/>
      <x:c r="L13" s="183"/>
      <x:c r="M13" s="160"/>
      <x:c r="N13" s="160"/>
      <x:c r="O13" s="161"/>
      <x:c r="P13" s="161"/>
      <x:c r="Q13" s="161"/>
      <x:c r="R13" s="161"/>
      <x:c r="S13" s="161"/>
      <x:c r="T13" s="161"/>
      <x:c r="U13" s="161"/>
      <x:c r="V13" s="161"/>
      <x:c r="W13" s="161"/>
      <x:c r="X13" s="161"/>
      <x:c r="Y13" s="161"/>
      <x:c r="Z13" s="161"/>
    </x:row>
    <x:row r="14">
      <x:c r="A14" s="160"/>
      <x:c r="B14" s="160"/>
      <x:c r="C14" s="160"/>
      <x:c r="D14" s="160"/>
      <x:c r="E14" s="160"/>
      <x:c r="F14" s="160"/>
      <x:c r="G14" s="160"/>
      <x:c r="H14" s="160"/>
      <x:c r="I14" s="160"/>
      <x:c r="J14" s="160"/>
      <x:c r="K14" s="160"/>
      <x:c r="L14" s="160"/>
      <x:c r="M14" s="160"/>
      <x:c r="N14" s="160"/>
      <x:c r="O14" s="161"/>
      <x:c r="P14" s="161"/>
      <x:c r="Q14" s="161"/>
      <x:c r="R14" s="161"/>
      <x:c r="S14" s="161"/>
      <x:c r="T14" s="161"/>
      <x:c r="U14" s="161"/>
      <x:c r="V14" s="161"/>
      <x:c r="W14" s="161"/>
      <x:c r="X14" s="161"/>
      <x:c r="Y14" s="161"/>
      <x:c r="Z14" s="161"/>
    </x:row>
    <x:row r="15">
      <x:c r="A15" s="160"/>
      <x:c r="B15" s="160"/>
      <x:c r="C15" s="160"/>
      <x:c r="D15" s="160"/>
      <x:c r="E15" s="160"/>
      <x:c r="F15" s="160"/>
      <x:c r="G15" s="160"/>
      <x:c r="H15" s="160"/>
      <x:c r="I15" s="160"/>
      <x:c r="J15" s="160"/>
      <x:c r="K15" s="160"/>
      <x:c r="L15" s="160"/>
      <x:c r="M15" s="160"/>
      <x:c r="N15" s="160"/>
      <x:c r="O15" s="161"/>
      <x:c r="P15" s="161"/>
      <x:c r="Q15" s="161"/>
      <x:c r="R15" s="161"/>
      <x:c r="S15" s="161"/>
      <x:c r="T15" s="161"/>
      <x:c r="U15" s="161"/>
      <x:c r="V15" s="161"/>
      <x:c r="W15" s="161"/>
      <x:c r="X15" s="161"/>
      <x:c r="Y15" s="161"/>
      <x:c r="Z15" s="161"/>
    </x:row>
    <x:row r="16">
      <x:c r="A16" s="78" t="str">
        <x:v>Embudo por etapa</x:v>
      </x:c>
      <x:c r="B16" s="78"/>
      <x:c r="C16" s="78"/>
      <x:c r="D16" s="78"/>
      <x:c r="E16" s="78"/>
      <x:c r="F16" s="160"/>
      <x:c r="G16" s="78" t="str">
        <x:v>Proyección mensual de cierres</x:v>
      </x:c>
      <x:c r="H16" s="78"/>
      <x:c r="I16" s="78"/>
      <x:c r="J16" s="78"/>
      <x:c r="K16" s="78"/>
      <x:c r="L16" s="78"/>
      <x:c r="M16" s="78"/>
      <x:c r="N16" s="78"/>
      <x:c r="O16" s="161"/>
      <x:c r="P16" s="161"/>
      <x:c r="Q16" s="161"/>
      <x:c r="R16" s="161"/>
      <x:c r="S16" s="161"/>
      <x:c r="T16" s="161"/>
      <x:c r="U16" s="161"/>
      <x:c r="V16" s="161"/>
      <x:c r="W16" s="161"/>
      <x:c r="X16" s="161"/>
      <x:c r="Y16" s="161"/>
      <x:c r="Z16" s="161"/>
    </x:row>
    <x:row r="17">
      <x:c r="A17" s="65" t="str">
        <x:v>Etapa</x:v>
      </x:c>
      <x:c r="B17" s="65" t="str">
        <x:v>Oportunidades</x:v>
      </x:c>
      <x:c r="C17" s="65" t="str">
        <x:v>Valor estimado</x:v>
      </x:c>
      <x:c r="D17" s="160"/>
      <x:c r="E17" s="160"/>
      <x:c r="F17" s="160"/>
      <x:c r="G17" s="65" t="str">
        <x:v>Mes</x:v>
      </x:c>
      <x:c r="H17" s="65" t="str">
        <x:v>Pipeline</x:v>
      </x:c>
      <x:c r="I17" s="65" t="str">
        <x:v>Ponderado</x:v>
      </x:c>
      <x:c r="J17" s="65" t="str">
        <x:v>Ganado</x:v>
      </x:c>
      <x:c r="K17" s="160" t="str">
        <x:v>Notas</x:v>
      </x:c>
      <x:c r="L17" s="160" t="str"/>
      <x:c r="M17" s="160" t="str"/>
      <x:c r="N17" s="160" t="str"/>
      <x:c r="O17" s="161"/>
      <x:c r="P17" s="161"/>
      <x:c r="Q17" s="161"/>
      <x:c r="R17" s="161"/>
      <x:c r="S17" s="161"/>
      <x:c r="T17" s="161"/>
      <x:c r="U17" s="161"/>
      <x:c r="V17" s="161"/>
      <x:c r="W17" s="161"/>
      <x:c r="X17" s="161"/>
      <x:c r="Y17" s="161"/>
      <x:c r="Z17" s="161"/>
    </x:row>
    <x:row r="18">
      <x:c r="A18" s="86" t="str">
        <x:v>Lead nuevo</x:v>
      </x:c>
      <x:c r="B18" s="86" t="n">
        <x:f>COUNTIF('06 Oportunidades'!$E$6:$E$200,A18)</x:f>
        <x:v>0</x:v>
      </x:c>
      <x:c r="C18" s="184" t="n">
        <x:f>SUMIF('06 Oportunidades'!$E$6:$E$200,A18,'06 Oportunidades'!$G$6:$G$200)</x:f>
        <x:v>0</x:v>
      </x:c>
      <x:c r="D18" s="160"/>
      <x:c r="E18" s="160"/>
      <x:c r="F18" s="160"/>
      <x:c r="G18" s="185" t="str">
        <x:v>Ene</x:v>
      </x:c>
      <x:c r="H18" s="186" t="n">
        <x:f>SUMIFS('06 Oportunidades'!$G$6:$G$200,'06 Oportunidades'!$J$6:$J$200,"&gt;="&amp;DATE('02 Config'!$B$7,1,1),'06 Oportunidades'!$J$6:$J$200,"&lt;"&amp;EDATE(DATE('02 Config'!$B$7,1,1),1),'06 Oportunidades'!$L$6:$L$200,"Abierta")</x:f>
        <x:v>0</x:v>
      </x:c>
      <x:c r="I18" s="186" t="n">
        <x:f>SUMIFS('06 Oportunidades'!$H$6:$H$200,'06 Oportunidades'!$J$6:$J$200,"&gt;="&amp;DATE('02 Config'!$B$7,1,1),'06 Oportunidades'!$J$6:$J$200,"&lt;"&amp;EDATE(DATE('02 Config'!$B$7,1,1),1),'06 Oportunidades'!$L$6:$L$200,"Abierta")</x:f>
        <x:v>0</x:v>
      </x:c>
      <x:c r="J18" s="186" t="n">
        <x:f>SUMIFS('06 Oportunidades'!$G$6:$G$200,'06 Oportunidades'!$J$6:$J$200,"&gt;="&amp;DATE('02 Config'!$B$7,1,1),'06 Oportunidades'!$J$6:$J$200,"&lt;"&amp;EDATE(DATE('02 Config'!$B$7,1,1),1),'06 Oportunidades'!$L$6:$L$200,"Ganada")</x:f>
        <x:v>0</x:v>
      </x:c>
      <x:c r="K18" s="160"/>
      <x:c r="L18" s="160"/>
      <x:c r="M18" s="160"/>
      <x:c r="N18" s="160"/>
      <x:c r="O18" s="161"/>
      <x:c r="P18" s="161"/>
      <x:c r="Q18" s="161"/>
      <x:c r="R18" s="161"/>
      <x:c r="S18" s="161"/>
      <x:c r="T18" s="161"/>
      <x:c r="U18" s="161"/>
      <x:c r="V18" s="161"/>
      <x:c r="W18" s="161"/>
      <x:c r="X18" s="161"/>
      <x:c r="Y18" s="161"/>
      <x:c r="Z18" s="161"/>
    </x:row>
    <x:row r="19">
      <x:c r="A19" s="86" t="str">
        <x:v>Contactado</x:v>
      </x:c>
      <x:c r="B19" s="86" t="n">
        <x:f>COUNTIF('06 Oportunidades'!$E$6:$E$200,A19)</x:f>
        <x:v>1</x:v>
      </x:c>
      <x:c r="C19" s="184" t="n">
        <x:f>SUMIF('06 Oportunidades'!$E$6:$E$200,A19,'06 Oportunidades'!$G$6:$G$200)</x:f>
        <x:v>120000</x:v>
      </x:c>
      <x:c r="D19" s="160"/>
      <x:c r="E19" s="160"/>
      <x:c r="F19" s="160"/>
      <x:c r="G19" s="185" t="str">
        <x:v>Feb</x:v>
      </x:c>
      <x:c r="H19" s="186" t="n">
        <x:f>SUMIFS('06 Oportunidades'!$G$6:$G$200,'06 Oportunidades'!$J$6:$J$200,"&gt;="&amp;DATE('02 Config'!$B$7,2,1),'06 Oportunidades'!$J$6:$J$200,"&lt;"&amp;EDATE(DATE('02 Config'!$B$7,2,1),1),'06 Oportunidades'!$L$6:$L$200,"Abierta")</x:f>
        <x:v>0</x:v>
      </x:c>
      <x:c r="I19" s="186" t="n">
        <x:f>SUMIFS('06 Oportunidades'!$H$6:$H$200,'06 Oportunidades'!$J$6:$J$200,"&gt;="&amp;DATE('02 Config'!$B$7,2,1),'06 Oportunidades'!$J$6:$J$200,"&lt;"&amp;EDATE(DATE('02 Config'!$B$7,2,1),1),'06 Oportunidades'!$L$6:$L$200,"Abierta")</x:f>
        <x:v>0</x:v>
      </x:c>
      <x:c r="J19" s="186" t="n">
        <x:f>SUMIFS('06 Oportunidades'!$G$6:$G$200,'06 Oportunidades'!$J$6:$J$200,"&gt;="&amp;DATE('02 Config'!$B$7,2,1),'06 Oportunidades'!$J$6:$J$200,"&lt;"&amp;EDATE(DATE('02 Config'!$B$7,2,1),1),'06 Oportunidades'!$L$6:$L$200,"Ganada")</x:f>
        <x:v>0</x:v>
      </x:c>
      <x:c r="K19" s="160"/>
      <x:c r="L19" s="160"/>
      <x:c r="M19" s="160"/>
      <x:c r="N19" s="160"/>
      <x:c r="O19" s="161"/>
      <x:c r="P19" s="161"/>
      <x:c r="Q19" s="161"/>
      <x:c r="R19" s="161"/>
      <x:c r="S19" s="161"/>
      <x:c r="T19" s="161"/>
      <x:c r="U19" s="161"/>
      <x:c r="V19" s="161"/>
      <x:c r="W19" s="161"/>
      <x:c r="X19" s="161"/>
      <x:c r="Y19" s="161"/>
      <x:c r="Z19" s="161"/>
    </x:row>
    <x:row r="20">
      <x:c r="A20" s="86" t="str">
        <x:v>Diagnóstico</x:v>
      </x:c>
      <x:c r="B20" s="86" t="n">
        <x:f>COUNTIF('06 Oportunidades'!$E$6:$E$200,A20)</x:f>
        <x:v>1</x:v>
      </x:c>
      <x:c r="C20" s="184" t="n">
        <x:f>SUMIF('06 Oportunidades'!$E$6:$E$200,A20,'06 Oportunidades'!$G$6:$G$200)</x:f>
        <x:v>45000</x:v>
      </x:c>
      <x:c r="D20" s="160"/>
      <x:c r="E20" s="160"/>
      <x:c r="F20" s="160"/>
      <x:c r="G20" s="185" t="str">
        <x:v>Mar</x:v>
      </x:c>
      <x:c r="H20" s="186" t="n">
        <x:f>SUMIFS('06 Oportunidades'!$G$6:$G$200,'06 Oportunidades'!$J$6:$J$200,"&gt;="&amp;DATE('02 Config'!$B$7,3,1),'06 Oportunidades'!$J$6:$J$200,"&lt;"&amp;EDATE(DATE('02 Config'!$B$7,3,1),1),'06 Oportunidades'!$L$6:$L$200,"Abierta")</x:f>
        <x:v>0</x:v>
      </x:c>
      <x:c r="I20" s="186" t="n">
        <x:f>SUMIFS('06 Oportunidades'!$H$6:$H$200,'06 Oportunidades'!$J$6:$J$200,"&gt;="&amp;DATE('02 Config'!$B$7,3,1),'06 Oportunidades'!$J$6:$J$200,"&lt;"&amp;EDATE(DATE('02 Config'!$B$7,3,1),1),'06 Oportunidades'!$L$6:$L$200,"Abierta")</x:f>
        <x:v>0</x:v>
      </x:c>
      <x:c r="J20" s="186" t="n">
        <x:f>SUMIFS('06 Oportunidades'!$G$6:$G$200,'06 Oportunidades'!$J$6:$J$200,"&gt;="&amp;DATE('02 Config'!$B$7,3,1),'06 Oportunidades'!$J$6:$J$200,"&lt;"&amp;EDATE(DATE('02 Config'!$B$7,3,1),1),'06 Oportunidades'!$L$6:$L$200,"Ganada")</x:f>
        <x:v>0</x:v>
      </x:c>
      <x:c r="K20" s="160"/>
      <x:c r="L20" s="160"/>
      <x:c r="M20" s="160"/>
      <x:c r="N20" s="160"/>
      <x:c r="O20" s="161"/>
      <x:c r="P20" s="161"/>
      <x:c r="Q20" s="161"/>
      <x:c r="R20" s="161"/>
      <x:c r="S20" s="161"/>
      <x:c r="T20" s="161"/>
      <x:c r="U20" s="161"/>
      <x:c r="V20" s="161"/>
      <x:c r="W20" s="161"/>
      <x:c r="X20" s="161"/>
      <x:c r="Y20" s="161"/>
      <x:c r="Z20" s="161"/>
    </x:row>
    <x:row r="21">
      <x:c r="A21" s="86" t="str">
        <x:v>Propuesta enviada</x:v>
      </x:c>
      <x:c r="B21" s="86" t="n">
        <x:f>COUNTIF('06 Oportunidades'!$E$6:$E$200,A21)</x:f>
        <x:v>1</x:v>
      </x:c>
      <x:c r="C21" s="184" t="n">
        <x:f>SUMIF('06 Oportunidades'!$E$6:$E$200,A21,'06 Oportunidades'!$G$6:$G$200)</x:f>
        <x:v>85000</x:v>
      </x:c>
      <x:c r="D21" s="160"/>
      <x:c r="E21" s="160"/>
      <x:c r="F21" s="160"/>
      <x:c r="G21" s="185" t="str">
        <x:v>Abr</x:v>
      </x:c>
      <x:c r="H21" s="186" t="n">
        <x:f>SUMIFS('06 Oportunidades'!$G$6:$G$200,'06 Oportunidades'!$J$6:$J$200,"&gt;="&amp;DATE('02 Config'!$B$7,4,1),'06 Oportunidades'!$J$6:$J$200,"&lt;"&amp;EDATE(DATE('02 Config'!$B$7,4,1),1),'06 Oportunidades'!$L$6:$L$200,"Abierta")</x:f>
        <x:v>0</x:v>
      </x:c>
      <x:c r="I21" s="186" t="n">
        <x:f>SUMIFS('06 Oportunidades'!$H$6:$H$200,'06 Oportunidades'!$J$6:$J$200,"&gt;="&amp;DATE('02 Config'!$B$7,4,1),'06 Oportunidades'!$J$6:$J$200,"&lt;"&amp;EDATE(DATE('02 Config'!$B$7,4,1),1),'06 Oportunidades'!$L$6:$L$200,"Abierta")</x:f>
        <x:v>0</x:v>
      </x:c>
      <x:c r="J21" s="186" t="n">
        <x:f>SUMIFS('06 Oportunidades'!$G$6:$G$200,'06 Oportunidades'!$J$6:$J$200,"&gt;="&amp;DATE('02 Config'!$B$7,4,1),'06 Oportunidades'!$J$6:$J$200,"&lt;"&amp;EDATE(DATE('02 Config'!$B$7,4,1),1),'06 Oportunidades'!$L$6:$L$200,"Ganada")</x:f>
        <x:v>0</x:v>
      </x:c>
      <x:c r="K21" s="160"/>
      <x:c r="L21" s="160"/>
      <x:c r="M21" s="160"/>
      <x:c r="N21" s="160"/>
      <x:c r="O21" s="161"/>
      <x:c r="P21" s="161"/>
      <x:c r="Q21" s="161"/>
      <x:c r="R21" s="161"/>
      <x:c r="S21" s="161"/>
      <x:c r="T21" s="161"/>
      <x:c r="U21" s="161"/>
      <x:c r="V21" s="161"/>
      <x:c r="W21" s="161"/>
      <x:c r="X21" s="161"/>
      <x:c r="Y21" s="161"/>
      <x:c r="Z21" s="161"/>
    </x:row>
    <x:row r="22">
      <x:c r="A22" s="86" t="str">
        <x:v>Negociación</x:v>
      </x:c>
      <x:c r="B22" s="86" t="n">
        <x:f>COUNTIF('06 Oportunidades'!$E$6:$E$200,A22)</x:f>
        <x:v>0</x:v>
      </x:c>
      <x:c r="C22" s="184" t="n">
        <x:f>SUMIF('06 Oportunidades'!$E$6:$E$200,A22,'06 Oportunidades'!$G$6:$G$200)</x:f>
        <x:v>0</x:v>
      </x:c>
      <x:c r="D22" s="160"/>
      <x:c r="E22" s="160"/>
      <x:c r="F22" s="160"/>
      <x:c r="G22" s="185" t="str">
        <x:v>May</x:v>
      </x:c>
      <x:c r="H22" s="186" t="n">
        <x:f>SUMIFS('06 Oportunidades'!$G$6:$G$200,'06 Oportunidades'!$J$6:$J$200,"&gt;="&amp;DATE('02 Config'!$B$7,5,1),'06 Oportunidades'!$J$6:$J$200,"&lt;"&amp;EDATE(DATE('02 Config'!$B$7,5,1),1),'06 Oportunidades'!$L$6:$L$200,"Abierta")</x:f>
        <x:v>85000</x:v>
      </x:c>
      <x:c r="I22" s="186" t="n">
        <x:f>SUMIFS('06 Oportunidades'!$H$6:$H$200,'06 Oportunidades'!$J$6:$J$200,"&gt;="&amp;DATE('02 Config'!$B$7,5,1),'06 Oportunidades'!$J$6:$J$200,"&lt;"&amp;EDATE(DATE('02 Config'!$B$7,5,1),1),'06 Oportunidades'!$L$6:$L$200,"Abierta")</x:f>
        <x:v>63750</x:v>
      </x:c>
      <x:c r="J22" s="186" t="n">
        <x:f>SUMIFS('06 Oportunidades'!$G$6:$G$200,'06 Oportunidades'!$J$6:$J$200,"&gt;="&amp;DATE('02 Config'!$B$7,5,1),'06 Oportunidades'!$J$6:$J$200,"&lt;"&amp;EDATE(DATE('02 Config'!$B$7,5,1),1),'06 Oportunidades'!$L$6:$L$200,"Ganada")</x:f>
        <x:v>0</x:v>
      </x:c>
      <x:c r="K22" s="160"/>
      <x:c r="L22" s="160"/>
      <x:c r="M22" s="160"/>
      <x:c r="N22" s="160"/>
      <x:c r="O22" s="161"/>
      <x:c r="P22" s="161"/>
      <x:c r="Q22" s="161"/>
      <x:c r="R22" s="161"/>
      <x:c r="S22" s="161"/>
      <x:c r="T22" s="161"/>
      <x:c r="U22" s="161"/>
      <x:c r="V22" s="161"/>
      <x:c r="W22" s="161"/>
      <x:c r="X22" s="161"/>
      <x:c r="Y22" s="161"/>
      <x:c r="Z22" s="161"/>
    </x:row>
    <x:row r="23">
      <x:c r="A23" s="86" t="str">
        <x:v>Ganada</x:v>
      </x:c>
      <x:c r="B23" s="86" t="n">
        <x:f>COUNTIF('06 Oportunidades'!$E$6:$E$200,A23)</x:f>
        <x:v>0</x:v>
      </x:c>
      <x:c r="C23" s="184" t="n">
        <x:f>SUMIF('06 Oportunidades'!$E$6:$E$200,A23,'06 Oportunidades'!$G$6:$G$200)</x:f>
        <x:v>0</x:v>
      </x:c>
      <x:c r="D23" s="160"/>
      <x:c r="E23" s="160"/>
      <x:c r="F23" s="160"/>
      <x:c r="G23" s="185" t="str">
        <x:v>Jun</x:v>
      </x:c>
      <x:c r="H23" s="186" t="n">
        <x:f>SUMIFS('06 Oportunidades'!$G$6:$G$200,'06 Oportunidades'!$J$6:$J$200,"&gt;="&amp;DATE('02 Config'!$B$7,6,1),'06 Oportunidades'!$J$6:$J$200,"&lt;"&amp;EDATE(DATE('02 Config'!$B$7,6,1),1),'06 Oportunidades'!$L$6:$L$200,"Abierta")</x:f>
        <x:v>45000</x:v>
      </x:c>
      <x:c r="I23" s="186" t="n">
        <x:f>SUMIFS('06 Oportunidades'!$H$6:$H$200,'06 Oportunidades'!$J$6:$J$200,"&gt;="&amp;DATE('02 Config'!$B$7,6,1),'06 Oportunidades'!$J$6:$J$200,"&lt;"&amp;EDATE(DATE('02 Config'!$B$7,6,1),1),'06 Oportunidades'!$L$6:$L$200,"Abierta")</x:f>
        <x:v>22500</x:v>
      </x:c>
      <x:c r="J23" s="186" t="n">
        <x:f>SUMIFS('06 Oportunidades'!$G$6:$G$200,'06 Oportunidades'!$J$6:$J$200,"&gt;="&amp;DATE('02 Config'!$B$7,6,1),'06 Oportunidades'!$J$6:$J$200,"&lt;"&amp;EDATE(DATE('02 Config'!$B$7,6,1),1),'06 Oportunidades'!$L$6:$L$200,"Ganada")</x:f>
        <x:v>0</x:v>
      </x:c>
      <x:c r="K23" s="160"/>
      <x:c r="L23" s="160"/>
      <x:c r="M23" s="160"/>
      <x:c r="N23" s="160"/>
      <x:c r="O23" s="161"/>
      <x:c r="P23" s="161"/>
      <x:c r="Q23" s="161"/>
      <x:c r="R23" s="161"/>
      <x:c r="S23" s="161"/>
      <x:c r="T23" s="161"/>
      <x:c r="U23" s="161"/>
      <x:c r="V23" s="161"/>
      <x:c r="W23" s="161"/>
      <x:c r="X23" s="161"/>
      <x:c r="Y23" s="161"/>
      <x:c r="Z23" s="161"/>
    </x:row>
    <x:row r="24">
      <x:c r="A24" s="86" t="str">
        <x:v>Perdida</x:v>
      </x:c>
      <x:c r="B24" s="86" t="n">
        <x:f>COUNTIF('06 Oportunidades'!$E$6:$E$200,A24)</x:f>
        <x:v>0</x:v>
      </x:c>
      <x:c r="C24" s="184" t="n">
        <x:f>SUMIF('06 Oportunidades'!$E$6:$E$200,A24,'06 Oportunidades'!$G$6:$G$200)</x:f>
        <x:v>0</x:v>
      </x:c>
      <x:c r="D24" s="160"/>
      <x:c r="E24" s="160"/>
      <x:c r="F24" s="160"/>
      <x:c r="G24" s="185" t="str">
        <x:v>Jul</x:v>
      </x:c>
      <x:c r="H24" s="186" t="n">
        <x:f>SUMIFS('06 Oportunidades'!$G$6:$G$200,'06 Oportunidades'!$J$6:$J$200,"&gt;="&amp;DATE('02 Config'!$B$7,7,1),'06 Oportunidades'!$J$6:$J$200,"&lt;"&amp;EDATE(DATE('02 Config'!$B$7,7,1),1),'06 Oportunidades'!$L$6:$L$200,"Abierta")</x:f>
        <x:v>120000</x:v>
      </x:c>
      <x:c r="I24" s="186" t="n">
        <x:f>SUMIFS('06 Oportunidades'!$H$6:$H$200,'06 Oportunidades'!$J$6:$J$200,"&gt;="&amp;DATE('02 Config'!$B$7,7,1),'06 Oportunidades'!$J$6:$J$200,"&lt;"&amp;EDATE(DATE('02 Config'!$B$7,7,1),1),'06 Oportunidades'!$L$6:$L$200,"Abierta")</x:f>
        <x:v>30000</x:v>
      </x:c>
      <x:c r="J24" s="186" t="n">
        <x:f>SUMIFS('06 Oportunidades'!$G$6:$G$200,'06 Oportunidades'!$J$6:$J$200,"&gt;="&amp;DATE('02 Config'!$B$7,7,1),'06 Oportunidades'!$J$6:$J$200,"&lt;"&amp;EDATE(DATE('02 Config'!$B$7,7,1),1),'06 Oportunidades'!$L$6:$L$200,"Ganada")</x:f>
        <x:v>0</x:v>
      </x:c>
      <x:c r="K24" s="160"/>
      <x:c r="L24" s="160"/>
      <x:c r="M24" s="160"/>
      <x:c r="N24" s="160"/>
      <x:c r="O24" s="161"/>
      <x:c r="P24" s="161"/>
      <x:c r="Q24" s="161"/>
      <x:c r="R24" s="161"/>
      <x:c r="S24" s="161"/>
      <x:c r="T24" s="161"/>
      <x:c r="U24" s="161"/>
      <x:c r="V24" s="161"/>
      <x:c r="W24" s="161"/>
      <x:c r="X24" s="161"/>
      <x:c r="Y24" s="161"/>
      <x:c r="Z24" s="161"/>
    </x:row>
    <x:row r="25">
      <x:c r="A25" s="160"/>
      <x:c r="B25" s="160"/>
      <x:c r="C25" s="160"/>
      <x:c r="D25" s="160"/>
      <x:c r="E25" s="160"/>
      <x:c r="F25" s="160"/>
      <x:c r="G25" s="185" t="str">
        <x:v>Ago</x:v>
      </x:c>
      <x:c r="H25" s="186" t="n">
        <x:f>SUMIFS('06 Oportunidades'!$G$6:$G$200,'06 Oportunidades'!$J$6:$J$200,"&gt;="&amp;DATE('02 Config'!$B$7,8,1),'06 Oportunidades'!$J$6:$J$200,"&lt;"&amp;EDATE(DATE('02 Config'!$B$7,8,1),1),'06 Oportunidades'!$L$6:$L$200,"Abierta")</x:f>
        <x:v>0</x:v>
      </x:c>
      <x:c r="I25" s="186" t="n">
        <x:f>SUMIFS('06 Oportunidades'!$H$6:$H$200,'06 Oportunidades'!$J$6:$J$200,"&gt;="&amp;DATE('02 Config'!$B$7,8,1),'06 Oportunidades'!$J$6:$J$200,"&lt;"&amp;EDATE(DATE('02 Config'!$B$7,8,1),1),'06 Oportunidades'!$L$6:$L$200,"Abierta")</x:f>
        <x:v>0</x:v>
      </x:c>
      <x:c r="J25" s="186" t="n">
        <x:f>SUMIFS('06 Oportunidades'!$G$6:$G$200,'06 Oportunidades'!$J$6:$J$200,"&gt;="&amp;DATE('02 Config'!$B$7,8,1),'06 Oportunidades'!$J$6:$J$200,"&lt;"&amp;EDATE(DATE('02 Config'!$B$7,8,1),1),'06 Oportunidades'!$L$6:$L$200,"Ganada")</x:f>
        <x:v>0</x:v>
      </x:c>
      <x:c r="K25" s="160"/>
      <x:c r="L25" s="160"/>
      <x:c r="M25" s="160"/>
      <x:c r="N25" s="160"/>
      <x:c r="O25" s="161"/>
      <x:c r="P25" s="161"/>
      <x:c r="Q25" s="161"/>
      <x:c r="R25" s="161"/>
      <x:c r="S25" s="161"/>
      <x:c r="T25" s="161"/>
      <x:c r="U25" s="161"/>
      <x:c r="V25" s="161"/>
      <x:c r="W25" s="161"/>
      <x:c r="X25" s="161"/>
      <x:c r="Y25" s="161"/>
      <x:c r="Z25" s="161"/>
    </x:row>
    <x:row r="26">
      <x:c r="A26" s="160"/>
      <x:c r="B26" s="160"/>
      <x:c r="C26" s="160"/>
      <x:c r="D26" s="160"/>
      <x:c r="E26" s="160"/>
      <x:c r="F26" s="160"/>
      <x:c r="G26" s="185" t="str">
        <x:v>Sep</x:v>
      </x:c>
      <x:c r="H26" s="186" t="n">
        <x:f>SUMIFS('06 Oportunidades'!$G$6:$G$200,'06 Oportunidades'!$J$6:$J$200,"&gt;="&amp;DATE('02 Config'!$B$7,9,1),'06 Oportunidades'!$J$6:$J$200,"&lt;"&amp;EDATE(DATE('02 Config'!$B$7,9,1),1),'06 Oportunidades'!$L$6:$L$200,"Abierta")</x:f>
        <x:v>0</x:v>
      </x:c>
      <x:c r="I26" s="186" t="n">
        <x:f>SUMIFS('06 Oportunidades'!$H$6:$H$200,'06 Oportunidades'!$J$6:$J$200,"&gt;="&amp;DATE('02 Config'!$B$7,9,1),'06 Oportunidades'!$J$6:$J$200,"&lt;"&amp;EDATE(DATE('02 Config'!$B$7,9,1),1),'06 Oportunidades'!$L$6:$L$200,"Abierta")</x:f>
        <x:v>0</x:v>
      </x:c>
      <x:c r="J26" s="186" t="n">
        <x:f>SUMIFS('06 Oportunidades'!$G$6:$G$200,'06 Oportunidades'!$J$6:$J$200,"&gt;="&amp;DATE('02 Config'!$B$7,9,1),'06 Oportunidades'!$J$6:$J$200,"&lt;"&amp;EDATE(DATE('02 Config'!$B$7,9,1),1),'06 Oportunidades'!$L$6:$L$200,"Ganada")</x:f>
        <x:v>0</x:v>
      </x:c>
      <x:c r="K26" s="160"/>
      <x:c r="L26" s="160"/>
      <x:c r="M26" s="160"/>
      <x:c r="N26" s="160"/>
      <x:c r="O26" s="161"/>
      <x:c r="P26" s="161"/>
      <x:c r="Q26" s="161"/>
      <x:c r="R26" s="161"/>
      <x:c r="S26" s="161"/>
      <x:c r="T26" s="161"/>
      <x:c r="U26" s="161"/>
      <x:c r="V26" s="161"/>
      <x:c r="W26" s="161"/>
      <x:c r="X26" s="161"/>
      <x:c r="Y26" s="161"/>
      <x:c r="Z26" s="161"/>
    </x:row>
    <x:row r="27">
      <x:c r="A27" s="160"/>
      <x:c r="B27" s="160"/>
      <x:c r="C27" s="160"/>
      <x:c r="D27" s="160"/>
      <x:c r="E27" s="160"/>
      <x:c r="F27" s="160"/>
      <x:c r="G27" s="185" t="str">
        <x:v>Oct</x:v>
      </x:c>
      <x:c r="H27" s="186" t="n">
        <x:f>SUMIFS('06 Oportunidades'!$G$6:$G$200,'06 Oportunidades'!$J$6:$J$200,"&gt;="&amp;DATE('02 Config'!$B$7,10,1),'06 Oportunidades'!$J$6:$J$200,"&lt;"&amp;EDATE(DATE('02 Config'!$B$7,10,1),1),'06 Oportunidades'!$L$6:$L$200,"Abierta")</x:f>
        <x:v>0</x:v>
      </x:c>
      <x:c r="I27" s="186" t="n">
        <x:f>SUMIFS('06 Oportunidades'!$H$6:$H$200,'06 Oportunidades'!$J$6:$J$200,"&gt;="&amp;DATE('02 Config'!$B$7,10,1),'06 Oportunidades'!$J$6:$J$200,"&lt;"&amp;EDATE(DATE('02 Config'!$B$7,10,1),1),'06 Oportunidades'!$L$6:$L$200,"Abierta")</x:f>
        <x:v>0</x:v>
      </x:c>
      <x:c r="J27" s="186" t="n">
        <x:f>SUMIFS('06 Oportunidades'!$G$6:$G$200,'06 Oportunidades'!$J$6:$J$200,"&gt;="&amp;DATE('02 Config'!$B$7,10,1),'06 Oportunidades'!$J$6:$J$200,"&lt;"&amp;EDATE(DATE('02 Config'!$B$7,10,1),1),'06 Oportunidades'!$L$6:$L$200,"Ganada")</x:f>
        <x:v>0</x:v>
      </x:c>
      <x:c r="K27" s="160"/>
      <x:c r="L27" s="160"/>
      <x:c r="M27" s="160"/>
      <x:c r="N27" s="160"/>
      <x:c r="O27" s="161"/>
      <x:c r="P27" s="161"/>
      <x:c r="Q27" s="161"/>
      <x:c r="R27" s="161"/>
      <x:c r="S27" s="161"/>
      <x:c r="T27" s="161"/>
      <x:c r="U27" s="161"/>
      <x:c r="V27" s="161"/>
      <x:c r="W27" s="161"/>
      <x:c r="X27" s="161"/>
      <x:c r="Y27" s="161"/>
      <x:c r="Z27" s="161"/>
    </x:row>
    <x:row r="28">
      <x:c r="A28" s="160"/>
      <x:c r="B28" s="160"/>
      <x:c r="C28" s="160"/>
      <x:c r="D28" s="160"/>
      <x:c r="E28" s="160"/>
      <x:c r="F28" s="160"/>
      <x:c r="G28" s="185" t="str">
        <x:v>Nov</x:v>
      </x:c>
      <x:c r="H28" s="186" t="n">
        <x:f>SUMIFS('06 Oportunidades'!$G$6:$G$200,'06 Oportunidades'!$J$6:$J$200,"&gt;="&amp;DATE('02 Config'!$B$7,11,1),'06 Oportunidades'!$J$6:$J$200,"&lt;"&amp;EDATE(DATE('02 Config'!$B$7,11,1),1),'06 Oportunidades'!$L$6:$L$200,"Abierta")</x:f>
        <x:v>0</x:v>
      </x:c>
      <x:c r="I28" s="186" t="n">
        <x:f>SUMIFS('06 Oportunidades'!$H$6:$H$200,'06 Oportunidades'!$J$6:$J$200,"&gt;="&amp;DATE('02 Config'!$B$7,11,1),'06 Oportunidades'!$J$6:$J$200,"&lt;"&amp;EDATE(DATE('02 Config'!$B$7,11,1),1),'06 Oportunidades'!$L$6:$L$200,"Abierta")</x:f>
        <x:v>0</x:v>
      </x:c>
      <x:c r="J28" s="186" t="n">
        <x:f>SUMIFS('06 Oportunidades'!$G$6:$G$200,'06 Oportunidades'!$J$6:$J$200,"&gt;="&amp;DATE('02 Config'!$B$7,11,1),'06 Oportunidades'!$J$6:$J$200,"&lt;"&amp;EDATE(DATE('02 Config'!$B$7,11,1),1),'06 Oportunidades'!$L$6:$L$200,"Ganada")</x:f>
        <x:v>0</x:v>
      </x:c>
      <x:c r="K28" s="160"/>
      <x:c r="L28" s="160"/>
      <x:c r="M28" s="160"/>
      <x:c r="N28" s="160"/>
      <x:c r="O28" s="161"/>
      <x:c r="P28" s="161"/>
      <x:c r="Q28" s="161"/>
      <x:c r="R28" s="161"/>
      <x:c r="S28" s="161"/>
      <x:c r="T28" s="161"/>
      <x:c r="U28" s="161"/>
      <x:c r="V28" s="161"/>
      <x:c r="W28" s="161"/>
      <x:c r="X28" s="161"/>
      <x:c r="Y28" s="161"/>
      <x:c r="Z28" s="161"/>
    </x:row>
    <x:row r="29">
      <x:c r="A29" s="160"/>
      <x:c r="B29" s="160"/>
      <x:c r="C29" s="160"/>
      <x:c r="D29" s="160"/>
      <x:c r="E29" s="160"/>
      <x:c r="F29" s="160"/>
      <x:c r="G29" s="185" t="str">
        <x:v>Dic</x:v>
      </x:c>
      <x:c r="H29" s="186" t="n">
        <x:f>SUMIFS('06 Oportunidades'!$G$6:$G$200,'06 Oportunidades'!$J$6:$J$200,"&gt;="&amp;DATE('02 Config'!$B$7,12,1),'06 Oportunidades'!$J$6:$J$200,"&lt;"&amp;EDATE(DATE('02 Config'!$B$7,12,1),1),'06 Oportunidades'!$L$6:$L$200,"Abierta")</x:f>
        <x:v>0</x:v>
      </x:c>
      <x:c r="I29" s="186" t="n">
        <x:f>SUMIFS('06 Oportunidades'!$H$6:$H$200,'06 Oportunidades'!$J$6:$J$200,"&gt;="&amp;DATE('02 Config'!$B$7,12,1),'06 Oportunidades'!$J$6:$J$200,"&lt;"&amp;EDATE(DATE('02 Config'!$B$7,12,1),1),'06 Oportunidades'!$L$6:$L$200,"Abierta")</x:f>
        <x:v>0</x:v>
      </x:c>
      <x:c r="J29" s="186" t="n">
        <x:f>SUMIFS('06 Oportunidades'!$G$6:$G$200,'06 Oportunidades'!$J$6:$J$200,"&gt;="&amp;DATE('02 Config'!$B$7,12,1),'06 Oportunidades'!$J$6:$J$200,"&lt;"&amp;EDATE(DATE('02 Config'!$B$7,12,1),1),'06 Oportunidades'!$L$6:$L$200,"Ganada")</x:f>
        <x:v>0</x:v>
      </x:c>
      <x:c r="K29" s="160"/>
      <x:c r="L29" s="160"/>
      <x:c r="M29" s="160"/>
      <x:c r="N29" s="160"/>
      <x:c r="O29" s="161"/>
      <x:c r="P29" s="161"/>
      <x:c r="Q29" s="161"/>
      <x:c r="R29" s="161"/>
      <x:c r="S29" s="161"/>
      <x:c r="T29" s="161"/>
      <x:c r="U29" s="161"/>
      <x:c r="V29" s="161"/>
      <x:c r="W29" s="161"/>
      <x:c r="X29" s="161"/>
      <x:c r="Y29" s="161"/>
      <x:c r="Z29" s="161"/>
    </x:row>
    <x:row r="30">
      <x:c r="A30" s="160"/>
      <x:c r="B30" s="160"/>
      <x:c r="C30" s="160"/>
      <x:c r="D30" s="160"/>
      <x:c r="E30" s="160"/>
      <x:c r="F30" s="160"/>
      <x:c r="G30" s="160"/>
      <x:c r="H30" s="160"/>
      <x:c r="I30" s="160"/>
      <x:c r="J30" s="160"/>
      <x:c r="K30" s="160"/>
      <x:c r="L30" s="160"/>
      <x:c r="M30" s="160"/>
      <x:c r="N30" s="160"/>
      <x:c r="O30" s="161"/>
      <x:c r="P30" s="161"/>
      <x:c r="Q30" s="161"/>
      <x:c r="R30" s="161"/>
      <x:c r="S30" s="161"/>
      <x:c r="T30" s="161"/>
      <x:c r="U30" s="161"/>
      <x:c r="V30" s="161"/>
      <x:c r="W30" s="161"/>
      <x:c r="X30" s="161"/>
      <x:c r="Y30" s="161"/>
      <x:c r="Z30" s="161"/>
    </x:row>
    <x:row r="31">
      <x:c r="A31" s="78" t="str">
        <x:v>Lectura ejecutiva automática</x:v>
      </x:c>
      <x:c r="B31" s="78"/>
      <x:c r="C31" s="78"/>
      <x:c r="D31" s="78"/>
      <x:c r="E31" s="78"/>
      <x:c r="F31" s="78"/>
      <x:c r="G31" s="78"/>
      <x:c r="H31" s="78"/>
      <x:c r="I31" s="78"/>
      <x:c r="J31" s="78"/>
      <x:c r="K31" s="78"/>
      <x:c r="L31" s="78"/>
      <x:c r="M31" s="78"/>
      <x:c r="N31" s="78"/>
      <x:c r="O31" s="161"/>
      <x:c r="P31" s="161"/>
      <x:c r="Q31" s="161"/>
      <x:c r="R31" s="161"/>
      <x:c r="S31" s="161"/>
      <x:c r="T31" s="161"/>
      <x:c r="U31" s="161"/>
      <x:c r="V31" s="161"/>
      <x:c r="W31" s="161"/>
      <x:c r="X31" s="161"/>
      <x:c r="Y31" s="161"/>
      <x:c r="Z31" s="161"/>
    </x:row>
    <x:row r="32">
      <x:c r="A32" s="86" t="str">
        <x:f>TEXTJOIN(CHAR(10),TRUE,IF(B12&gt;0,"• Hay seguimientos vencidos: prioriza contactar hoy mismo.","• No hay seguimientos vencidos críticos."),IF(J8&lt;'02 Config'!$B$9,"• El pipeline abierto está por debajo de la meta mensual: genera nuevas oportunidades.","• El pipeline abierto supera o cubre la meta mensual."),IF(J12&lt;0.3,"• La tasa de cierre aún es baja: revisa objeciones, propuesta de valor y calidad de prospectos.","• La tasa de cierre muestra avance saludable."))</x:f>
        <x:v>• No hay seguimientos vencidos críticos.
• El pipeline abierto supera o cubre la meta mensual.
• La tasa de cierre aún es baja: revisa objeciones, propuesta de valor y calidad de prospectos.</x:v>
      </x:c>
      <x:c r="B32" s="160"/>
      <x:c r="C32" s="160"/>
      <x:c r="D32" s="160"/>
      <x:c r="E32" s="160"/>
      <x:c r="F32" s="160"/>
      <x:c r="G32" s="160"/>
      <x:c r="H32" s="160"/>
      <x:c r="I32" s="160"/>
      <x:c r="J32" s="160"/>
      <x:c r="K32" s="160"/>
      <x:c r="L32" s="160"/>
      <x:c r="M32" s="160"/>
      <x:c r="N32" s="160"/>
      <x:c r="O32" s="161"/>
      <x:c r="P32" s="161"/>
      <x:c r="Q32" s="161"/>
      <x:c r="R32" s="161"/>
      <x:c r="S32" s="161"/>
      <x:c r="T32" s="161"/>
      <x:c r="U32" s="161"/>
      <x:c r="V32" s="161"/>
      <x:c r="W32" s="161"/>
      <x:c r="X32" s="161"/>
      <x:c r="Y32" s="161"/>
      <x:c r="Z32" s="161"/>
    </x:row>
    <x:row r="33">
      <x:c r="A33" s="160"/>
      <x:c r="B33" s="160"/>
      <x:c r="C33" s="160"/>
      <x:c r="D33" s="160"/>
      <x:c r="E33" s="160"/>
      <x:c r="F33" s="160"/>
      <x:c r="G33" s="160"/>
      <x:c r="H33" s="160"/>
      <x:c r="I33" s="160"/>
      <x:c r="J33" s="160"/>
      <x:c r="K33" s="160"/>
      <x:c r="L33" s="160"/>
      <x:c r="M33" s="160"/>
      <x:c r="N33" s="160"/>
      <x:c r="O33" s="161"/>
      <x:c r="P33" s="161"/>
      <x:c r="Q33" s="161"/>
      <x:c r="R33" s="161"/>
      <x:c r="S33" s="161"/>
      <x:c r="T33" s="161"/>
      <x:c r="U33" s="161"/>
      <x:c r="V33" s="161"/>
      <x:c r="W33" s="161"/>
      <x:c r="X33" s="161"/>
      <x:c r="Y33" s="161"/>
      <x:c r="Z33" s="161"/>
    </x:row>
    <x:row r="34">
      <x:c r="A34" s="160"/>
      <x:c r="B34" s="160"/>
      <x:c r="C34" s="160"/>
      <x:c r="D34" s="160"/>
      <x:c r="E34" s="160"/>
      <x:c r="F34" s="160"/>
      <x:c r="G34" s="160"/>
      <x:c r="H34" s="160"/>
      <x:c r="I34" s="160"/>
      <x:c r="J34" s="160"/>
      <x:c r="K34" s="160"/>
      <x:c r="L34" s="160"/>
      <x:c r="M34" s="160"/>
      <x:c r="N34" s="160"/>
      <x:c r="O34" s="161"/>
      <x:c r="P34" s="161"/>
      <x:c r="Q34" s="161"/>
      <x:c r="R34" s="161"/>
      <x:c r="S34" s="161"/>
      <x:c r="T34" s="161"/>
      <x:c r="U34" s="161"/>
      <x:c r="V34" s="161"/>
      <x:c r="W34" s="161"/>
      <x:c r="X34" s="161"/>
      <x:c r="Y34" s="161"/>
      <x:c r="Z34" s="161"/>
    </x:row>
    <x:row r="35">
      <x:c r="A35" s="160"/>
      <x:c r="B35" s="160"/>
      <x:c r="C35" s="160"/>
      <x:c r="D35" s="160"/>
      <x:c r="E35" s="160"/>
      <x:c r="F35" s="160"/>
      <x:c r="G35" s="160"/>
      <x:c r="H35" s="160"/>
      <x:c r="I35" s="160"/>
      <x:c r="J35" s="160"/>
      <x:c r="K35" s="160"/>
      <x:c r="L35" s="160"/>
      <x:c r="M35" s="160"/>
      <x:c r="N35" s="160"/>
      <x:c r="O35" s="161"/>
      <x:c r="P35" s="161"/>
      <x:c r="Q35" s="161"/>
      <x:c r="R35" s="161"/>
      <x:c r="S35" s="161"/>
      <x:c r="T35" s="161"/>
      <x:c r="U35" s="161"/>
      <x:c r="V35" s="161"/>
      <x:c r="W35" s="161"/>
      <x:c r="X35" s="161"/>
      <x:c r="Y35" s="161"/>
      <x:c r="Z35" s="161"/>
    </x:row>
    <x:row r="36">
      <x:c r="A36" s="160"/>
      <x:c r="B36" s="160"/>
      <x:c r="C36" s="160"/>
      <x:c r="D36" s="160"/>
      <x:c r="E36" s="160"/>
      <x:c r="F36" s="160"/>
      <x:c r="G36" s="160"/>
      <x:c r="H36" s="160"/>
      <x:c r="I36" s="160"/>
      <x:c r="J36" s="160"/>
      <x:c r="K36" s="160"/>
      <x:c r="L36" s="160"/>
      <x:c r="M36" s="160"/>
      <x:c r="N36" s="160"/>
      <x:c r="O36" s="161"/>
      <x:c r="P36" s="161"/>
      <x:c r="Q36" s="161"/>
      <x:c r="R36" s="161"/>
      <x:c r="S36" s="161"/>
      <x:c r="T36" s="161"/>
      <x:c r="U36" s="161"/>
      <x:c r="V36" s="161"/>
      <x:c r="W36" s="161"/>
      <x:c r="X36" s="161"/>
      <x:c r="Y36" s="161"/>
      <x:c r="Z36" s="161"/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  <x:c r="K37" s="160"/>
      <x:c r="L37" s="160"/>
      <x:c r="M37" s="160"/>
      <x:c r="N37" s="160"/>
      <x:c r="O37" s="161"/>
      <x:c r="P37" s="161"/>
      <x:c r="Q37" s="161"/>
      <x:c r="R37" s="161"/>
      <x:c r="S37" s="161"/>
      <x:c r="T37" s="161"/>
      <x:c r="U37" s="161"/>
      <x:c r="V37" s="161"/>
      <x:c r="W37" s="161"/>
      <x:c r="X37" s="161"/>
      <x:c r="Y37" s="161"/>
      <x:c r="Z37" s="161"/>
    </x:row>
    <x:row r="38">
      <x:c r="A38" s="160"/>
      <x:c r="B38" s="160"/>
      <x:c r="C38" s="160"/>
      <x:c r="D38" s="160"/>
      <x:c r="E38" s="160"/>
      <x:c r="F38" s="160"/>
      <x:c r="G38" s="160"/>
      <x:c r="H38" s="160"/>
      <x:c r="I38" s="160"/>
      <x:c r="J38" s="160"/>
      <x:c r="K38" s="160"/>
      <x:c r="L38" s="160"/>
      <x:c r="M38" s="160"/>
      <x:c r="N38" s="160"/>
      <x:c r="O38" s="161"/>
      <x:c r="P38" s="161"/>
      <x:c r="Q38" s="161"/>
      <x:c r="R38" s="161"/>
      <x:c r="S38" s="161"/>
      <x:c r="T38" s="161"/>
      <x:c r="U38" s="161"/>
      <x:c r="V38" s="161"/>
      <x:c r="W38" s="161"/>
      <x:c r="X38" s="161"/>
      <x:c r="Y38" s="161"/>
      <x:c r="Z38" s="161"/>
    </x:row>
    <x:row r="39">
      <x:c r="A39" s="160"/>
      <x:c r="B39" s="160"/>
      <x:c r="C39" s="160"/>
      <x:c r="D39" s="160"/>
      <x:c r="E39" s="160"/>
      <x:c r="F39" s="160"/>
      <x:c r="G39" s="160"/>
      <x:c r="H39" s="160"/>
      <x:c r="I39" s="160"/>
      <x:c r="J39" s="160"/>
      <x:c r="K39" s="160"/>
      <x:c r="L39" s="160"/>
      <x:c r="M39" s="160"/>
      <x:c r="N39" s="160"/>
      <x:c r="O39" s="161"/>
      <x:c r="P39" s="161"/>
      <x:c r="Q39" s="161"/>
      <x:c r="R39" s="161"/>
      <x:c r="S39" s="161"/>
      <x:c r="T39" s="161"/>
      <x:c r="U39" s="161"/>
      <x:c r="V39" s="161"/>
      <x:c r="W39" s="161"/>
      <x:c r="X39" s="161"/>
      <x:c r="Y39" s="161"/>
      <x:c r="Z39" s="161"/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  <x:c r="K40" s="160"/>
      <x:c r="L40" s="160"/>
      <x:c r="M40" s="160"/>
      <x:c r="N40" s="160"/>
      <x:c r="O40" s="161"/>
      <x:c r="P40" s="161"/>
      <x:c r="Q40" s="161"/>
      <x:c r="R40" s="161"/>
      <x:c r="S40" s="161"/>
      <x:c r="T40" s="161"/>
      <x:c r="U40" s="161"/>
      <x:c r="V40" s="161"/>
      <x:c r="W40" s="161"/>
      <x:c r="X40" s="161"/>
      <x:c r="Y40" s="161"/>
      <x:c r="Z40" s="161"/>
    </x:row>
    <x:row r="41">
      <x:c r="A41" s="160"/>
      <x:c r="B41" s="160"/>
      <x:c r="C41" s="160"/>
      <x:c r="D41" s="160"/>
      <x:c r="E41" s="160"/>
      <x:c r="F41" s="160"/>
      <x:c r="G41" s="160"/>
      <x:c r="H41" s="160"/>
      <x:c r="I41" s="160"/>
      <x:c r="J41" s="160"/>
      <x:c r="K41" s="160"/>
      <x:c r="L41" s="160"/>
      <x:c r="M41" s="160"/>
      <x:c r="N41" s="160"/>
      <x:c r="O41" s="161"/>
      <x:c r="P41" s="161"/>
      <x:c r="Q41" s="161"/>
      <x:c r="R41" s="161"/>
      <x:c r="S41" s="161"/>
      <x:c r="T41" s="161"/>
      <x:c r="U41" s="161"/>
      <x:c r="V41" s="161"/>
      <x:c r="W41" s="161"/>
      <x:c r="X41" s="161"/>
      <x:c r="Y41" s="161"/>
      <x:c r="Z41" s="161"/>
    </x:row>
    <x:row r="42">
      <x:c r="A42" s="160"/>
      <x:c r="B42" s="160"/>
      <x:c r="C42" s="160"/>
      <x:c r="D42" s="160"/>
      <x:c r="E42" s="160"/>
      <x:c r="F42" s="160"/>
      <x:c r="G42" s="160"/>
      <x:c r="H42" s="160"/>
      <x:c r="I42" s="160"/>
      <x:c r="J42" s="160"/>
      <x:c r="K42" s="160"/>
      <x:c r="L42" s="160"/>
      <x:c r="M42" s="160"/>
      <x:c r="N42" s="160"/>
      <x:c r="O42" s="161"/>
      <x:c r="P42" s="161"/>
      <x:c r="Q42" s="161"/>
      <x:c r="R42" s="161"/>
      <x:c r="S42" s="161"/>
      <x:c r="T42" s="161"/>
      <x:c r="U42" s="161"/>
      <x:c r="V42" s="161"/>
      <x:c r="W42" s="161"/>
      <x:c r="X42" s="161"/>
      <x:c r="Y42" s="161"/>
      <x:c r="Z42" s="161"/>
    </x:row>
    <x:row r="43">
      <x:c r="A43" s="160"/>
      <x:c r="B43" s="160"/>
      <x:c r="C43" s="160"/>
      <x:c r="D43" s="160"/>
      <x:c r="E43" s="160"/>
      <x:c r="F43" s="160"/>
      <x:c r="G43" s="160"/>
      <x:c r="H43" s="160"/>
      <x:c r="I43" s="160"/>
      <x:c r="J43" s="160"/>
      <x:c r="K43" s="160"/>
      <x:c r="L43" s="160"/>
      <x:c r="M43" s="160"/>
      <x:c r="N43" s="160"/>
      <x:c r="O43" s="161"/>
      <x:c r="P43" s="161"/>
      <x:c r="Q43" s="161"/>
      <x:c r="R43" s="161"/>
      <x:c r="S43" s="161"/>
      <x:c r="T43" s="161"/>
      <x:c r="U43" s="161"/>
      <x:c r="V43" s="161"/>
      <x:c r="W43" s="161"/>
      <x:c r="X43" s="161"/>
      <x:c r="Y43" s="161"/>
      <x:c r="Z43" s="161"/>
    </x:row>
    <x:row r="44">
      <x:c r="A44" s="160"/>
      <x:c r="B44" s="160"/>
      <x:c r="C44" s="160"/>
      <x:c r="D44" s="160"/>
      <x:c r="E44" s="160"/>
      <x:c r="F44" s="160"/>
      <x:c r="G44" s="160"/>
      <x:c r="H44" s="160"/>
      <x:c r="I44" s="160"/>
      <x:c r="J44" s="160"/>
      <x:c r="K44" s="160"/>
      <x:c r="L44" s="160"/>
      <x:c r="M44" s="160"/>
      <x:c r="N44" s="160"/>
      <x:c r="O44" s="161"/>
      <x:c r="P44" s="161"/>
      <x:c r="Q44" s="161"/>
      <x:c r="R44" s="161"/>
      <x:c r="S44" s="161"/>
      <x:c r="T44" s="161"/>
      <x:c r="U44" s="161"/>
      <x:c r="V44" s="161"/>
      <x:c r="W44" s="161"/>
      <x:c r="X44" s="161"/>
      <x:c r="Y44" s="161"/>
      <x:c r="Z44" s="161"/>
    </x:row>
    <x:row r="45">
      <x:c r="A45" s="160"/>
      <x:c r="B45" s="160"/>
      <x:c r="C45" s="160"/>
      <x:c r="D45" s="160"/>
      <x:c r="E45" s="160"/>
      <x:c r="F45" s="160"/>
      <x:c r="G45" s="160"/>
      <x:c r="H45" s="160"/>
      <x:c r="I45" s="160"/>
      <x:c r="J45" s="160"/>
      <x:c r="K45" s="160"/>
      <x:c r="L45" s="160"/>
      <x:c r="M45" s="160"/>
      <x:c r="N45" s="160"/>
      <x:c r="O45" s="161"/>
      <x:c r="P45" s="161"/>
      <x:c r="Q45" s="161"/>
      <x:c r="R45" s="161"/>
      <x:c r="S45" s="161"/>
      <x:c r="T45" s="161"/>
      <x:c r="U45" s="161"/>
      <x:c r="V45" s="161"/>
      <x:c r="W45" s="161"/>
      <x:c r="X45" s="161"/>
      <x:c r="Y45" s="161"/>
      <x:c r="Z45" s="161"/>
    </x:row>
    <x:row r="46">
      <x:c r="A46" s="161"/>
      <x:c r="B46" s="161"/>
      <x:c r="C46" s="161"/>
      <x:c r="D46" s="161"/>
      <x:c r="E46" s="161"/>
      <x:c r="F46" s="161"/>
      <x:c r="G46" s="161"/>
      <x:c r="H46" s="161"/>
      <x:c r="I46" s="161"/>
      <x:c r="J46" s="161"/>
      <x:c r="K46" s="161"/>
      <x:c r="L46" s="161"/>
      <x:c r="M46" s="161"/>
      <x:c r="N46" s="161"/>
      <x:c r="O46" s="161"/>
      <x:c r="P46" s="161"/>
      <x:c r="Q46" s="161"/>
      <x:c r="R46" s="161"/>
      <x:c r="S46" s="161"/>
      <x:c r="T46" s="161"/>
      <x:c r="U46" s="161"/>
      <x:c r="V46" s="161"/>
      <x:c r="W46" s="161"/>
      <x:c r="X46" s="161"/>
      <x:c r="Y46" s="161"/>
      <x:c r="Z46" s="161"/>
    </x:row>
    <x:row r="47">
      <x:c r="A47" s="161"/>
      <x:c r="B47" s="161"/>
      <x:c r="C47" s="161"/>
      <x:c r="D47" s="161"/>
      <x:c r="E47" s="161"/>
      <x:c r="F47" s="161"/>
      <x:c r="G47" s="161"/>
      <x:c r="H47" s="161"/>
      <x:c r="I47" s="161"/>
      <x:c r="J47" s="161"/>
      <x:c r="K47" s="161"/>
      <x:c r="L47" s="161"/>
      <x:c r="M47" s="161"/>
      <x:c r="N47" s="161"/>
      <x:c r="O47" s="161"/>
      <x:c r="P47" s="161"/>
      <x:c r="Q47" s="161"/>
      <x:c r="R47" s="161"/>
      <x:c r="S47" s="161"/>
      <x:c r="T47" s="161"/>
      <x:c r="U47" s="161"/>
      <x:c r="V47" s="161"/>
      <x:c r="W47" s="161"/>
      <x:c r="X47" s="161"/>
      <x:c r="Y47" s="161"/>
      <x:c r="Z47" s="161"/>
    </x:row>
    <x:row r="48">
      <x:c r="A48" s="161"/>
      <x:c r="B48" s="161"/>
      <x:c r="C48" s="161"/>
      <x:c r="D48" s="161"/>
      <x:c r="E48" s="161"/>
      <x:c r="F48" s="161"/>
      <x:c r="G48" s="161"/>
      <x:c r="H48" s="161"/>
      <x:c r="I48" s="161"/>
      <x:c r="J48" s="161"/>
      <x:c r="K48" s="161"/>
      <x:c r="L48" s="161"/>
      <x:c r="M48" s="161"/>
      <x:c r="N48" s="161"/>
      <x:c r="O48" s="161"/>
      <x:c r="P48" s="161"/>
      <x:c r="Q48" s="161"/>
      <x:c r="R48" s="161"/>
      <x:c r="S48" s="161"/>
      <x:c r="T48" s="161"/>
      <x:c r="U48" s="161"/>
      <x:c r="V48" s="161"/>
      <x:c r="W48" s="161"/>
      <x:c r="X48" s="161"/>
      <x:c r="Y48" s="161"/>
      <x:c r="Z48" s="161"/>
    </x:row>
    <x:row r="49">
      <x:c r="A49" s="161"/>
      <x:c r="B49" s="161"/>
      <x:c r="C49" s="161"/>
      <x:c r="D49" s="161"/>
      <x:c r="E49" s="161"/>
      <x:c r="F49" s="161"/>
      <x:c r="G49" s="161"/>
      <x:c r="H49" s="161"/>
      <x:c r="I49" s="161"/>
      <x:c r="J49" s="161"/>
      <x:c r="K49" s="161"/>
      <x:c r="L49" s="161"/>
      <x:c r="M49" s="161"/>
      <x:c r="N49" s="161"/>
      <x:c r="O49" s="161"/>
      <x:c r="P49" s="161"/>
      <x:c r="Q49" s="161"/>
      <x:c r="R49" s="161"/>
      <x:c r="S49" s="161"/>
      <x:c r="T49" s="161"/>
      <x:c r="U49" s="161"/>
      <x:c r="V49" s="161"/>
      <x:c r="W49" s="161"/>
      <x:c r="X49" s="161"/>
      <x:c r="Y49" s="161"/>
      <x:c r="Z49" s="161"/>
    </x:row>
    <x:row r="50">
      <x:c r="A50" s="161"/>
      <x:c r="B50" s="161"/>
      <x:c r="C50" s="161"/>
      <x:c r="D50" s="161"/>
      <x:c r="E50" s="161"/>
      <x:c r="F50" s="161"/>
      <x:c r="G50" s="161"/>
      <x:c r="H50" s="161"/>
      <x:c r="I50" s="161"/>
      <x:c r="J50" s="161"/>
      <x:c r="K50" s="161"/>
      <x:c r="L50" s="161"/>
      <x:c r="M50" s="161"/>
      <x:c r="N50" s="161"/>
      <x:c r="O50" s="161"/>
      <x:c r="P50" s="161"/>
      <x:c r="Q50" s="161"/>
      <x:c r="R50" s="161"/>
      <x:c r="S50" s="161"/>
      <x:c r="T50" s="161"/>
      <x:c r="U50" s="161"/>
      <x:c r="V50" s="161"/>
      <x:c r="W50" s="161"/>
      <x:c r="X50" s="161"/>
      <x:c r="Y50" s="161"/>
      <x:c r="Z50" s="161"/>
    </x:row>
    <x:row r="51">
      <x:c r="A51" s="161"/>
      <x:c r="B51" s="161"/>
      <x:c r="C51" s="161"/>
      <x:c r="D51" s="161"/>
      <x:c r="E51" s="161"/>
      <x:c r="F51" s="161"/>
      <x:c r="G51" s="161"/>
      <x:c r="H51" s="161"/>
      <x:c r="I51" s="161"/>
      <x:c r="J51" s="161"/>
      <x:c r="K51" s="161"/>
      <x:c r="L51" s="161"/>
      <x:c r="M51" s="161"/>
      <x:c r="N51" s="161"/>
      <x:c r="O51" s="161"/>
      <x:c r="P51" s="161"/>
      <x:c r="Q51" s="161"/>
      <x:c r="R51" s="161"/>
      <x:c r="S51" s="161"/>
      <x:c r="T51" s="161"/>
      <x:c r="U51" s="161"/>
      <x:c r="V51" s="161"/>
      <x:c r="W51" s="161"/>
      <x:c r="X51" s="161"/>
      <x:c r="Y51" s="161"/>
      <x:c r="Z51" s="161"/>
    </x:row>
    <x:row r="52">
      <x:c r="A52" s="161"/>
      <x:c r="B52" s="161"/>
      <x:c r="C52" s="161"/>
      <x:c r="D52" s="161"/>
      <x:c r="E52" s="161"/>
      <x:c r="F52" s="161"/>
      <x:c r="G52" s="161"/>
      <x:c r="H52" s="161"/>
      <x:c r="I52" s="161"/>
      <x:c r="J52" s="161"/>
      <x:c r="K52" s="161"/>
      <x:c r="L52" s="161"/>
      <x:c r="M52" s="161"/>
      <x:c r="N52" s="161"/>
      <x:c r="O52" s="161"/>
      <x:c r="P52" s="161"/>
      <x:c r="Q52" s="161"/>
      <x:c r="R52" s="161"/>
      <x:c r="S52" s="161"/>
      <x:c r="T52" s="161"/>
      <x:c r="U52" s="161"/>
      <x:c r="V52" s="161"/>
      <x:c r="W52" s="161"/>
      <x:c r="X52" s="161"/>
      <x:c r="Y52" s="161"/>
      <x:c r="Z52" s="161"/>
    </x:row>
    <x:row r="53">
      <x:c r="A53" s="161"/>
      <x:c r="B53" s="161"/>
      <x:c r="C53" s="161"/>
      <x:c r="D53" s="161"/>
      <x:c r="E53" s="161"/>
      <x:c r="F53" s="161"/>
      <x:c r="G53" s="161"/>
      <x:c r="H53" s="161"/>
      <x:c r="I53" s="161"/>
      <x:c r="J53" s="161"/>
      <x:c r="K53" s="161"/>
      <x:c r="L53" s="161"/>
      <x:c r="M53" s="161"/>
      <x:c r="N53" s="161"/>
      <x:c r="O53" s="161"/>
      <x:c r="P53" s="161"/>
      <x:c r="Q53" s="161"/>
      <x:c r="R53" s="161"/>
      <x:c r="S53" s="161"/>
      <x:c r="T53" s="161"/>
      <x:c r="U53" s="161"/>
      <x:c r="V53" s="161"/>
      <x:c r="W53" s="161"/>
      <x:c r="X53" s="161"/>
      <x:c r="Y53" s="161"/>
      <x:c r="Z53" s="161"/>
    </x:row>
    <x:row r="54">
      <x:c r="A54" s="161"/>
      <x:c r="B54" s="161"/>
      <x:c r="C54" s="161"/>
      <x:c r="D54" s="161"/>
      <x:c r="E54" s="161"/>
      <x:c r="F54" s="161"/>
      <x:c r="G54" s="161"/>
      <x:c r="H54" s="161"/>
      <x:c r="I54" s="161"/>
      <x:c r="J54" s="161"/>
      <x:c r="K54" s="161"/>
      <x:c r="L54" s="161"/>
      <x:c r="M54" s="161"/>
      <x:c r="N54" s="161"/>
      <x:c r="O54" s="161"/>
      <x:c r="P54" s="161"/>
      <x:c r="Q54" s="161"/>
      <x:c r="R54" s="161"/>
      <x:c r="S54" s="161"/>
      <x:c r="T54" s="161"/>
      <x:c r="U54" s="161"/>
      <x:c r="V54" s="161"/>
      <x:c r="W54" s="161"/>
      <x:c r="X54" s="161"/>
      <x:c r="Y54" s="161"/>
      <x:c r="Z54" s="161"/>
    </x:row>
    <x:row r="55">
      <x:c r="A55" s="161"/>
      <x:c r="B55" s="161"/>
      <x:c r="C55" s="161"/>
      <x:c r="D55" s="161"/>
      <x:c r="E55" s="161"/>
      <x:c r="F55" s="161"/>
      <x:c r="G55" s="161"/>
      <x:c r="H55" s="161"/>
      <x:c r="I55" s="161"/>
      <x:c r="J55" s="161"/>
      <x:c r="K55" s="161"/>
      <x:c r="L55" s="161"/>
      <x:c r="M55" s="161"/>
      <x:c r="N55" s="161"/>
      <x:c r="O55" s="161"/>
      <x:c r="P55" s="161"/>
      <x:c r="Q55" s="161"/>
      <x:c r="R55" s="161"/>
      <x:c r="S55" s="161"/>
      <x:c r="T55" s="161"/>
      <x:c r="U55" s="161"/>
      <x:c r="V55" s="161"/>
      <x:c r="W55" s="161"/>
      <x:c r="X55" s="161"/>
      <x:c r="Y55" s="161"/>
      <x:c r="Z55" s="161"/>
    </x:row>
    <x:row r="56">
      <x:c r="A56" s="161"/>
      <x:c r="B56" s="161"/>
      <x:c r="C56" s="161"/>
      <x:c r="D56" s="161"/>
      <x:c r="E56" s="161"/>
      <x:c r="F56" s="161"/>
      <x:c r="G56" s="161"/>
      <x:c r="H56" s="161"/>
      <x:c r="I56" s="161"/>
      <x:c r="J56" s="161"/>
      <x:c r="K56" s="161"/>
      <x:c r="L56" s="161"/>
      <x:c r="M56" s="161"/>
      <x:c r="N56" s="161"/>
      <x:c r="O56" s="161"/>
      <x:c r="P56" s="161"/>
      <x:c r="Q56" s="161"/>
      <x:c r="R56" s="161"/>
      <x:c r="S56" s="161"/>
      <x:c r="T56" s="161"/>
      <x:c r="U56" s="161"/>
      <x:c r="V56" s="161"/>
      <x:c r="W56" s="161"/>
      <x:c r="X56" s="161"/>
      <x:c r="Y56" s="161"/>
      <x:c r="Z56" s="161"/>
    </x:row>
    <x:row r="57">
      <x:c r="A57" s="161"/>
      <x:c r="B57" s="161"/>
      <x:c r="C57" s="161"/>
      <x:c r="D57" s="161"/>
      <x:c r="E57" s="161"/>
      <x:c r="F57" s="161"/>
      <x:c r="G57" s="161"/>
      <x:c r="H57" s="161"/>
      <x:c r="I57" s="161"/>
      <x:c r="J57" s="161"/>
      <x:c r="K57" s="161"/>
      <x:c r="L57" s="161"/>
      <x:c r="M57" s="161"/>
      <x:c r="N57" s="161"/>
      <x:c r="O57" s="161"/>
      <x:c r="P57" s="161"/>
      <x:c r="Q57" s="161"/>
      <x:c r="R57" s="161"/>
      <x:c r="S57" s="161"/>
      <x:c r="T57" s="161"/>
      <x:c r="U57" s="161"/>
      <x:c r="V57" s="161"/>
      <x:c r="W57" s="161"/>
      <x:c r="X57" s="161"/>
      <x:c r="Y57" s="161"/>
      <x:c r="Z57" s="161"/>
    </x:row>
    <x:row r="58">
      <x:c r="A58" s="161"/>
      <x:c r="B58" s="161"/>
      <x:c r="C58" s="161"/>
      <x:c r="D58" s="161"/>
      <x:c r="E58" s="161"/>
      <x:c r="F58" s="161"/>
      <x:c r="G58" s="161"/>
      <x:c r="H58" s="161"/>
      <x:c r="I58" s="161"/>
      <x:c r="J58" s="161"/>
      <x:c r="K58" s="161"/>
      <x:c r="L58" s="161"/>
      <x:c r="M58" s="161"/>
      <x:c r="N58" s="161"/>
      <x:c r="O58" s="161"/>
      <x:c r="P58" s="161"/>
      <x:c r="Q58" s="161"/>
      <x:c r="R58" s="161"/>
      <x:c r="S58" s="161"/>
      <x:c r="T58" s="161"/>
      <x:c r="U58" s="161"/>
      <x:c r="V58" s="161"/>
      <x:c r="W58" s="161"/>
      <x:c r="X58" s="161"/>
      <x:c r="Y58" s="161"/>
      <x:c r="Z58" s="161"/>
    </x:row>
    <x:row r="59">
      <x:c r="A59" s="161"/>
      <x:c r="B59" s="161"/>
      <x:c r="C59" s="161"/>
      <x:c r="D59" s="161"/>
      <x:c r="E59" s="161"/>
      <x:c r="F59" s="161"/>
      <x:c r="G59" s="161"/>
      <x:c r="H59" s="161"/>
      <x:c r="I59" s="161"/>
      <x:c r="J59" s="161"/>
      <x:c r="K59" s="161"/>
      <x:c r="L59" s="161"/>
      <x:c r="M59" s="161"/>
      <x:c r="N59" s="161"/>
      <x:c r="O59" s="161"/>
      <x:c r="P59" s="161"/>
      <x:c r="Q59" s="161"/>
      <x:c r="R59" s="161"/>
      <x:c r="S59" s="161"/>
      <x:c r="T59" s="161"/>
      <x:c r="U59" s="161"/>
      <x:c r="V59" s="161"/>
      <x:c r="W59" s="161"/>
      <x:c r="X59" s="161"/>
      <x:c r="Y59" s="161"/>
      <x:c r="Z59" s="161"/>
    </x:row>
    <x:row r="60">
      <x:c r="A60" s="161"/>
      <x:c r="B60" s="161"/>
      <x:c r="C60" s="161"/>
      <x:c r="D60" s="161"/>
      <x:c r="E60" s="161"/>
      <x:c r="F60" s="161"/>
      <x:c r="G60" s="161"/>
      <x:c r="H60" s="161"/>
      <x:c r="I60" s="161"/>
      <x:c r="J60" s="161"/>
      <x:c r="K60" s="161"/>
      <x:c r="L60" s="161"/>
      <x:c r="M60" s="161"/>
      <x:c r="N60" s="161"/>
      <x:c r="O60" s="161"/>
      <x:c r="P60" s="161"/>
      <x:c r="Q60" s="161"/>
      <x:c r="R60" s="161"/>
      <x:c r="S60" s="161"/>
      <x:c r="T60" s="161"/>
      <x:c r="U60" s="161"/>
      <x:c r="V60" s="161"/>
      <x:c r="W60" s="161"/>
      <x:c r="X60" s="161"/>
      <x:c r="Y60" s="161"/>
      <x:c r="Z60" s="161"/>
    </x:row>
    <x:row r="61">
      <x:c r="A61" s="161"/>
      <x:c r="B61" s="161"/>
      <x:c r="C61" s="161"/>
      <x:c r="D61" s="161"/>
      <x:c r="E61" s="161"/>
      <x:c r="F61" s="161"/>
      <x:c r="G61" s="161"/>
      <x:c r="H61" s="161"/>
      <x:c r="I61" s="161"/>
      <x:c r="J61" s="161"/>
      <x:c r="K61" s="161"/>
      <x:c r="L61" s="161"/>
      <x:c r="M61" s="161"/>
      <x:c r="N61" s="161"/>
      <x:c r="O61" s="161"/>
      <x:c r="P61" s="161"/>
      <x:c r="Q61" s="161"/>
      <x:c r="R61" s="161"/>
      <x:c r="S61" s="161"/>
      <x:c r="T61" s="161"/>
      <x:c r="U61" s="161"/>
      <x:c r="V61" s="161"/>
      <x:c r="W61" s="161"/>
      <x:c r="X61" s="161"/>
      <x:c r="Y61" s="161"/>
      <x:c r="Z61" s="161"/>
    </x:row>
    <x:row r="62">
      <x:c r="A62" s="161"/>
      <x:c r="B62" s="161"/>
      <x:c r="C62" s="161"/>
      <x:c r="D62" s="161"/>
      <x:c r="E62" s="161"/>
      <x:c r="F62" s="161"/>
      <x:c r="G62" s="161"/>
      <x:c r="H62" s="161"/>
      <x:c r="I62" s="161"/>
      <x:c r="J62" s="161"/>
      <x:c r="K62" s="161"/>
      <x:c r="L62" s="161"/>
      <x:c r="M62" s="161"/>
      <x:c r="N62" s="161"/>
      <x:c r="O62" s="161"/>
      <x:c r="P62" s="161"/>
      <x:c r="Q62" s="161"/>
      <x:c r="R62" s="161"/>
      <x:c r="S62" s="161"/>
      <x:c r="T62" s="161"/>
      <x:c r="U62" s="161"/>
      <x:c r="V62" s="161"/>
      <x:c r="W62" s="161"/>
      <x:c r="X62" s="161"/>
      <x:c r="Y62" s="161"/>
      <x:c r="Z62" s="161"/>
    </x:row>
    <x:row r="63">
      <x:c r="A63" s="161"/>
      <x:c r="B63" s="161"/>
      <x:c r="C63" s="161"/>
      <x:c r="D63" s="161"/>
      <x:c r="E63" s="161"/>
      <x:c r="F63" s="161"/>
      <x:c r="G63" s="161"/>
      <x:c r="H63" s="161"/>
      <x:c r="I63" s="161"/>
      <x:c r="J63" s="161"/>
      <x:c r="K63" s="161"/>
      <x:c r="L63" s="161"/>
      <x:c r="M63" s="161"/>
      <x:c r="N63" s="161"/>
      <x:c r="O63" s="161"/>
      <x:c r="P63" s="161"/>
      <x:c r="Q63" s="161"/>
      <x:c r="R63" s="161"/>
      <x:c r="S63" s="161"/>
      <x:c r="T63" s="161"/>
      <x:c r="U63" s="161"/>
      <x:c r="V63" s="161"/>
      <x:c r="W63" s="161"/>
      <x:c r="X63" s="161"/>
      <x:c r="Y63" s="161"/>
      <x:c r="Z63" s="161"/>
    </x:row>
    <x:row r="64">
      <x:c r="A64" s="161"/>
      <x:c r="B64" s="161"/>
      <x:c r="C64" s="161"/>
      <x:c r="D64" s="161"/>
      <x:c r="E64" s="161"/>
      <x:c r="F64" s="161"/>
      <x:c r="G64" s="161"/>
      <x:c r="H64" s="161"/>
      <x:c r="I64" s="161"/>
      <x:c r="J64" s="161"/>
      <x:c r="K64" s="161"/>
      <x:c r="L64" s="161"/>
      <x:c r="M64" s="161"/>
      <x:c r="N64" s="161"/>
      <x:c r="O64" s="161"/>
      <x:c r="P64" s="161"/>
      <x:c r="Q64" s="161"/>
      <x:c r="R64" s="161"/>
      <x:c r="S64" s="161"/>
      <x:c r="T64" s="161"/>
      <x:c r="U64" s="161"/>
      <x:c r="V64" s="161"/>
      <x:c r="W64" s="161"/>
      <x:c r="X64" s="161"/>
      <x:c r="Y64" s="161"/>
      <x:c r="Z64" s="161"/>
    </x:row>
    <x:row r="65">
      <x:c r="A65" s="161"/>
      <x:c r="B65" s="161"/>
      <x:c r="C65" s="161"/>
      <x:c r="D65" s="161"/>
      <x:c r="E65" s="161"/>
      <x:c r="F65" s="161"/>
      <x:c r="G65" s="161"/>
      <x:c r="H65" s="161"/>
      <x:c r="I65" s="161"/>
      <x:c r="J65" s="161"/>
      <x:c r="K65" s="161"/>
      <x:c r="L65" s="161"/>
      <x:c r="M65" s="161"/>
      <x:c r="N65" s="161"/>
      <x:c r="O65" s="161"/>
      <x:c r="P65" s="161"/>
      <x:c r="Q65" s="161"/>
      <x:c r="R65" s="161"/>
      <x:c r="S65" s="161"/>
      <x:c r="T65" s="161"/>
      <x:c r="U65" s="161"/>
      <x:c r="V65" s="161"/>
      <x:c r="W65" s="161"/>
      <x:c r="X65" s="161"/>
      <x:c r="Y65" s="161"/>
      <x:c r="Z65" s="161"/>
    </x:row>
    <x:row r="66">
      <x:c r="A66" s="161"/>
      <x:c r="B66" s="161"/>
      <x:c r="C66" s="161"/>
      <x:c r="D66" s="161"/>
      <x:c r="E66" s="161"/>
      <x:c r="F66" s="161"/>
      <x:c r="G66" s="161"/>
      <x:c r="H66" s="161"/>
      <x:c r="I66" s="161"/>
      <x:c r="J66" s="161"/>
      <x:c r="K66" s="161"/>
      <x:c r="L66" s="161"/>
      <x:c r="M66" s="161"/>
      <x:c r="N66" s="161"/>
      <x:c r="O66" s="161"/>
      <x:c r="P66" s="161"/>
      <x:c r="Q66" s="161"/>
      <x:c r="R66" s="161"/>
      <x:c r="S66" s="161"/>
      <x:c r="T66" s="161"/>
      <x:c r="U66" s="161"/>
      <x:c r="V66" s="161"/>
      <x:c r="W66" s="161"/>
      <x:c r="X66" s="161"/>
      <x:c r="Y66" s="161"/>
      <x:c r="Z66" s="161"/>
    </x:row>
    <x:row r="67">
      <x:c r="A67" s="161"/>
      <x:c r="B67" s="161"/>
      <x:c r="C67" s="161"/>
      <x:c r="D67" s="161"/>
      <x:c r="E67" s="161"/>
      <x:c r="F67" s="161"/>
      <x:c r="G67" s="161"/>
      <x:c r="H67" s="161"/>
      <x:c r="I67" s="161"/>
      <x:c r="J67" s="161"/>
      <x:c r="K67" s="161"/>
      <x:c r="L67" s="161"/>
      <x:c r="M67" s="161"/>
      <x:c r="N67" s="161"/>
      <x:c r="O67" s="161"/>
      <x:c r="P67" s="161"/>
      <x:c r="Q67" s="161"/>
      <x:c r="R67" s="161"/>
      <x:c r="S67" s="161"/>
      <x:c r="T67" s="161"/>
      <x:c r="U67" s="161"/>
      <x:c r="V67" s="161"/>
      <x:c r="W67" s="161"/>
      <x:c r="X67" s="161"/>
      <x:c r="Y67" s="161"/>
      <x:c r="Z67" s="161"/>
    </x:row>
    <x:row r="68">
      <x:c r="A68" s="161"/>
      <x:c r="B68" s="161"/>
      <x:c r="C68" s="161"/>
      <x:c r="D68" s="161"/>
      <x:c r="E68" s="161"/>
      <x:c r="F68" s="161"/>
      <x:c r="G68" s="161"/>
      <x:c r="H68" s="161"/>
      <x:c r="I68" s="161"/>
      <x:c r="J68" s="161"/>
      <x:c r="K68" s="161"/>
      <x:c r="L68" s="161"/>
      <x:c r="M68" s="161"/>
      <x:c r="N68" s="161"/>
      <x:c r="O68" s="161"/>
      <x:c r="P68" s="161"/>
      <x:c r="Q68" s="161"/>
      <x:c r="R68" s="161"/>
      <x:c r="S68" s="161"/>
      <x:c r="T68" s="161"/>
      <x:c r="U68" s="161"/>
      <x:c r="V68" s="161"/>
      <x:c r="W68" s="161"/>
      <x:c r="X68" s="161"/>
      <x:c r="Y68" s="161"/>
      <x:c r="Z68" s="161"/>
    </x:row>
    <x:row r="69">
      <x:c r="A69" s="161"/>
      <x:c r="B69" s="161"/>
      <x:c r="C69" s="161"/>
      <x:c r="D69" s="161"/>
      <x:c r="E69" s="161"/>
      <x:c r="F69" s="161"/>
      <x:c r="G69" s="161"/>
      <x:c r="H69" s="161"/>
      <x:c r="I69" s="161"/>
      <x:c r="J69" s="161"/>
      <x:c r="K69" s="161"/>
      <x:c r="L69" s="161"/>
      <x:c r="M69" s="161"/>
      <x:c r="N69" s="161"/>
      <x:c r="O69" s="161"/>
      <x:c r="P69" s="161"/>
      <x:c r="Q69" s="161"/>
      <x:c r="R69" s="161"/>
      <x:c r="S69" s="161"/>
      <x:c r="T69" s="161"/>
      <x:c r="U69" s="161"/>
      <x:c r="V69" s="161"/>
      <x:c r="W69" s="161"/>
      <x:c r="X69" s="161"/>
      <x:c r="Y69" s="161"/>
      <x:c r="Z69" s="161"/>
    </x:row>
    <x:row r="70">
      <x:c r="A70" s="161"/>
      <x:c r="B70" s="161"/>
      <x:c r="C70" s="161"/>
      <x:c r="D70" s="161"/>
      <x:c r="E70" s="161"/>
      <x:c r="F70" s="161"/>
      <x:c r="G70" s="161"/>
      <x:c r="H70" s="161"/>
      <x:c r="I70" s="161"/>
      <x:c r="J70" s="161"/>
      <x:c r="K70" s="161"/>
      <x:c r="L70" s="161"/>
      <x:c r="M70" s="161"/>
      <x:c r="N70" s="161"/>
      <x:c r="O70" s="161"/>
      <x:c r="P70" s="161"/>
      <x:c r="Q70" s="161"/>
      <x:c r="R70" s="161"/>
      <x:c r="S70" s="161"/>
      <x:c r="T70" s="161"/>
      <x:c r="U70" s="161"/>
      <x:c r="V70" s="161"/>
      <x:c r="W70" s="161"/>
      <x:c r="X70" s="161"/>
      <x:c r="Y70" s="161"/>
      <x:c r="Z70" s="161"/>
    </x:row>
    <x:row r="71">
      <x:c r="A71" s="161"/>
      <x:c r="B71" s="161"/>
      <x:c r="C71" s="161"/>
      <x:c r="D71" s="161"/>
      <x:c r="E71" s="161"/>
      <x:c r="F71" s="161"/>
      <x:c r="G71" s="161"/>
      <x:c r="H71" s="161"/>
      <x:c r="I71" s="161"/>
      <x:c r="J71" s="161"/>
      <x:c r="K71" s="161"/>
      <x:c r="L71" s="161"/>
      <x:c r="M71" s="161"/>
      <x:c r="N71" s="161"/>
      <x:c r="O71" s="161"/>
      <x:c r="P71" s="161"/>
      <x:c r="Q71" s="161"/>
      <x:c r="R71" s="161"/>
      <x:c r="S71" s="161"/>
      <x:c r="T71" s="161"/>
      <x:c r="U71" s="161"/>
      <x:c r="V71" s="161"/>
      <x:c r="W71" s="161"/>
      <x:c r="X71" s="161"/>
      <x:c r="Y71" s="161"/>
      <x:c r="Z71" s="161"/>
    </x:row>
    <x:row r="72">
      <x:c r="A72" s="161"/>
      <x:c r="B72" s="161"/>
      <x:c r="C72" s="161"/>
      <x:c r="D72" s="161"/>
      <x:c r="E72" s="161"/>
      <x:c r="F72" s="161"/>
      <x:c r="G72" s="161"/>
      <x:c r="H72" s="161"/>
      <x:c r="I72" s="161"/>
      <x:c r="J72" s="161"/>
      <x:c r="K72" s="161"/>
      <x:c r="L72" s="161"/>
      <x:c r="M72" s="161"/>
      <x:c r="N72" s="161"/>
      <x:c r="O72" s="161"/>
      <x:c r="P72" s="161"/>
      <x:c r="Q72" s="161"/>
      <x:c r="R72" s="161"/>
      <x:c r="S72" s="161"/>
      <x:c r="T72" s="161"/>
      <x:c r="U72" s="161"/>
      <x:c r="V72" s="161"/>
      <x:c r="W72" s="161"/>
      <x:c r="X72" s="161"/>
      <x:c r="Y72" s="161"/>
      <x:c r="Z72" s="161"/>
    </x:row>
    <x:row r="73">
      <x:c r="A73" s="161"/>
      <x:c r="B73" s="161"/>
      <x:c r="C73" s="161"/>
      <x:c r="D73" s="161"/>
      <x:c r="E73" s="161"/>
      <x:c r="F73" s="161"/>
      <x:c r="G73" s="161"/>
      <x:c r="H73" s="161"/>
      <x:c r="I73" s="161"/>
      <x:c r="J73" s="161"/>
      <x:c r="K73" s="161"/>
      <x:c r="L73" s="161"/>
      <x:c r="M73" s="161"/>
      <x:c r="N73" s="161"/>
      <x:c r="O73" s="161"/>
      <x:c r="P73" s="161"/>
      <x:c r="Q73" s="161"/>
      <x:c r="R73" s="161"/>
      <x:c r="S73" s="161"/>
      <x:c r="T73" s="161"/>
      <x:c r="U73" s="161"/>
      <x:c r="V73" s="161"/>
      <x:c r="W73" s="161"/>
      <x:c r="X73" s="161"/>
      <x:c r="Y73" s="161"/>
      <x:c r="Z73" s="161"/>
    </x:row>
    <x:row r="74">
      <x:c r="A74" s="161"/>
      <x:c r="B74" s="161"/>
      <x:c r="C74" s="161"/>
      <x:c r="D74" s="161"/>
      <x:c r="E74" s="161"/>
      <x:c r="F74" s="161"/>
      <x:c r="G74" s="161"/>
      <x:c r="H74" s="161"/>
      <x:c r="I74" s="161"/>
      <x:c r="J74" s="161"/>
      <x:c r="K74" s="161"/>
      <x:c r="L74" s="161"/>
      <x:c r="M74" s="161"/>
      <x:c r="N74" s="161"/>
      <x:c r="O74" s="161"/>
      <x:c r="P74" s="161"/>
      <x:c r="Q74" s="161"/>
      <x:c r="R74" s="161"/>
      <x:c r="S74" s="161"/>
      <x:c r="T74" s="161"/>
      <x:c r="U74" s="161"/>
      <x:c r="V74" s="161"/>
      <x:c r="W74" s="161"/>
      <x:c r="X74" s="161"/>
      <x:c r="Y74" s="161"/>
      <x:c r="Z74" s="161"/>
    </x:row>
    <x:row r="75">
      <x:c r="A75" s="161"/>
      <x:c r="B75" s="161"/>
      <x:c r="C75" s="161"/>
      <x:c r="D75" s="161"/>
      <x:c r="E75" s="161"/>
      <x:c r="F75" s="161"/>
      <x:c r="G75" s="161"/>
      <x:c r="H75" s="161"/>
      <x:c r="I75" s="161"/>
      <x:c r="J75" s="161"/>
      <x:c r="K75" s="161"/>
      <x:c r="L75" s="161"/>
      <x:c r="M75" s="161"/>
      <x:c r="N75" s="161"/>
      <x:c r="O75" s="161"/>
      <x:c r="P75" s="161"/>
      <x:c r="Q75" s="161"/>
      <x:c r="R75" s="161"/>
      <x:c r="S75" s="161"/>
      <x:c r="T75" s="161"/>
      <x:c r="U75" s="161"/>
      <x:c r="V75" s="161"/>
      <x:c r="W75" s="161"/>
      <x:c r="X75" s="161"/>
      <x:c r="Y75" s="161"/>
      <x:c r="Z75" s="161"/>
    </x:row>
    <x:row r="76">
      <x:c r="A76" s="161"/>
      <x:c r="B76" s="161"/>
      <x:c r="C76" s="161"/>
      <x:c r="D76" s="161"/>
      <x:c r="E76" s="161"/>
      <x:c r="F76" s="161"/>
      <x:c r="G76" s="161"/>
      <x:c r="H76" s="161"/>
      <x:c r="I76" s="161"/>
      <x:c r="J76" s="161"/>
      <x:c r="K76" s="161"/>
      <x:c r="L76" s="161"/>
      <x:c r="M76" s="161"/>
      <x:c r="N76" s="161"/>
      <x:c r="O76" s="161"/>
      <x:c r="P76" s="161"/>
      <x:c r="Q76" s="161"/>
      <x:c r="R76" s="161"/>
      <x:c r="S76" s="161"/>
      <x:c r="T76" s="161"/>
      <x:c r="U76" s="161"/>
      <x:c r="V76" s="161"/>
      <x:c r="W76" s="161"/>
      <x:c r="X76" s="161"/>
      <x:c r="Y76" s="161"/>
      <x:c r="Z76" s="161"/>
    </x:row>
    <x:row r="77">
      <x:c r="A77" s="161"/>
      <x:c r="B77" s="161"/>
      <x:c r="C77" s="161"/>
      <x:c r="D77" s="161"/>
      <x:c r="E77" s="161"/>
      <x:c r="F77" s="161"/>
      <x:c r="G77" s="161"/>
      <x:c r="H77" s="161"/>
      <x:c r="I77" s="161"/>
      <x:c r="J77" s="161"/>
      <x:c r="K77" s="161"/>
      <x:c r="L77" s="161"/>
      <x:c r="M77" s="161"/>
      <x:c r="N77" s="161"/>
      <x:c r="O77" s="161"/>
      <x:c r="P77" s="161"/>
      <x:c r="Q77" s="161"/>
      <x:c r="R77" s="161"/>
      <x:c r="S77" s="161"/>
      <x:c r="T77" s="161"/>
      <x:c r="U77" s="161"/>
      <x:c r="V77" s="161"/>
      <x:c r="W77" s="161"/>
      <x:c r="X77" s="161"/>
      <x:c r="Y77" s="161"/>
      <x:c r="Z77" s="161"/>
    </x:row>
    <x:row r="78">
      <x:c r="A78" s="161"/>
      <x:c r="B78" s="161"/>
      <x:c r="C78" s="161"/>
      <x:c r="D78" s="161"/>
      <x:c r="E78" s="161"/>
      <x:c r="F78" s="161"/>
      <x:c r="G78" s="161"/>
      <x:c r="H78" s="161"/>
      <x:c r="I78" s="161"/>
      <x:c r="J78" s="161"/>
      <x:c r="K78" s="161"/>
      <x:c r="L78" s="161"/>
      <x:c r="M78" s="161"/>
      <x:c r="N78" s="161"/>
      <x:c r="O78" s="161"/>
      <x:c r="P78" s="161"/>
      <x:c r="Q78" s="161"/>
      <x:c r="R78" s="161"/>
      <x:c r="S78" s="161"/>
      <x:c r="T78" s="161"/>
      <x:c r="U78" s="161"/>
      <x:c r="V78" s="161"/>
      <x:c r="W78" s="161"/>
      <x:c r="X78" s="161"/>
      <x:c r="Y78" s="161"/>
      <x:c r="Z78" s="161"/>
    </x:row>
    <x:row r="79">
      <x:c r="A79" s="161"/>
      <x:c r="B79" s="161"/>
      <x:c r="C79" s="161"/>
      <x:c r="D79" s="161"/>
      <x:c r="E79" s="161"/>
      <x:c r="F79" s="161"/>
      <x:c r="G79" s="161"/>
      <x:c r="H79" s="161"/>
      <x:c r="I79" s="161"/>
      <x:c r="J79" s="161"/>
      <x:c r="K79" s="161"/>
      <x:c r="L79" s="161"/>
      <x:c r="M79" s="161"/>
      <x:c r="N79" s="161"/>
      <x:c r="O79" s="161"/>
      <x:c r="P79" s="161"/>
      <x:c r="Q79" s="161"/>
      <x:c r="R79" s="161"/>
      <x:c r="S79" s="161"/>
      <x:c r="T79" s="161"/>
      <x:c r="U79" s="161"/>
      <x:c r="V79" s="161"/>
      <x:c r="W79" s="161"/>
      <x:c r="X79" s="161"/>
      <x:c r="Y79" s="161"/>
      <x:c r="Z79" s="161"/>
    </x:row>
    <x:row r="80">
      <x:c r="A80" s="161"/>
      <x:c r="B80" s="161"/>
      <x:c r="C80" s="161"/>
      <x:c r="D80" s="161"/>
      <x:c r="E80" s="161"/>
      <x:c r="F80" s="161"/>
      <x:c r="G80" s="161"/>
      <x:c r="H80" s="161"/>
      <x:c r="I80" s="161"/>
      <x:c r="J80" s="161"/>
      <x:c r="K80" s="161"/>
      <x:c r="L80" s="161"/>
      <x:c r="M80" s="161"/>
      <x:c r="N80" s="161"/>
      <x:c r="O80" s="161"/>
      <x:c r="P80" s="161"/>
      <x:c r="Q80" s="161"/>
      <x:c r="R80" s="161"/>
      <x:c r="S80" s="161"/>
      <x:c r="T80" s="161"/>
      <x:c r="U80" s="161"/>
      <x:c r="V80" s="161"/>
      <x:c r="W80" s="161"/>
      <x:c r="X80" s="161"/>
      <x:c r="Y80" s="161"/>
      <x:c r="Z80" s="161"/>
    </x:row>
    <x:row r="81">
      <x:c r="A81" s="161"/>
      <x:c r="B81" s="161"/>
      <x:c r="C81" s="161"/>
      <x:c r="D81" s="161"/>
      <x:c r="E81" s="161"/>
      <x:c r="F81" s="161"/>
      <x:c r="G81" s="161"/>
      <x:c r="H81" s="161"/>
      <x:c r="I81" s="161"/>
      <x:c r="J81" s="161"/>
      <x:c r="K81" s="161"/>
      <x:c r="L81" s="161"/>
      <x:c r="M81" s="161"/>
      <x:c r="N81" s="161"/>
      <x:c r="O81" s="161"/>
      <x:c r="P81" s="161"/>
      <x:c r="Q81" s="161"/>
      <x:c r="R81" s="161"/>
      <x:c r="S81" s="161"/>
      <x:c r="T81" s="161"/>
      <x:c r="U81" s="161"/>
      <x:c r="V81" s="161"/>
      <x:c r="W81" s="161"/>
      <x:c r="X81" s="161"/>
      <x:c r="Y81" s="161"/>
      <x:c r="Z81" s="161"/>
    </x:row>
    <x:row r="82">
      <x:c r="A82" s="161"/>
      <x:c r="B82" s="161"/>
      <x:c r="C82" s="161"/>
      <x:c r="D82" s="161"/>
      <x:c r="E82" s="161"/>
      <x:c r="F82" s="161"/>
      <x:c r="G82" s="161"/>
      <x:c r="H82" s="161"/>
      <x:c r="I82" s="161"/>
      <x:c r="J82" s="161"/>
      <x:c r="K82" s="161"/>
      <x:c r="L82" s="161"/>
      <x:c r="M82" s="161"/>
      <x:c r="N82" s="161"/>
      <x:c r="O82" s="161"/>
      <x:c r="P82" s="161"/>
      <x:c r="Q82" s="161"/>
      <x:c r="R82" s="161"/>
      <x:c r="S82" s="161"/>
      <x:c r="T82" s="161"/>
      <x:c r="U82" s="161"/>
      <x:c r="V82" s="161"/>
      <x:c r="W82" s="161"/>
      <x:c r="X82" s="161"/>
      <x:c r="Y82" s="161"/>
      <x:c r="Z82" s="161"/>
    </x:row>
    <x:row r="83">
      <x:c r="A83" s="161"/>
      <x:c r="B83" s="161"/>
      <x:c r="C83" s="161"/>
      <x:c r="D83" s="161"/>
      <x:c r="E83" s="161"/>
      <x:c r="F83" s="161"/>
      <x:c r="G83" s="161"/>
      <x:c r="H83" s="161"/>
      <x:c r="I83" s="161"/>
      <x:c r="J83" s="161"/>
      <x:c r="K83" s="161"/>
      <x:c r="L83" s="161"/>
      <x:c r="M83" s="161"/>
      <x:c r="N83" s="161"/>
      <x:c r="O83" s="161"/>
      <x:c r="P83" s="161"/>
      <x:c r="Q83" s="161"/>
      <x:c r="R83" s="161"/>
      <x:c r="S83" s="161"/>
      <x:c r="T83" s="161"/>
      <x:c r="U83" s="161"/>
      <x:c r="V83" s="161"/>
      <x:c r="W83" s="161"/>
      <x:c r="X83" s="161"/>
      <x:c r="Y83" s="161"/>
      <x:c r="Z83" s="161"/>
    </x:row>
    <x:row r="84">
      <x:c r="A84" s="161"/>
      <x:c r="B84" s="161"/>
      <x:c r="C84" s="161"/>
      <x:c r="D84" s="161"/>
      <x:c r="E84" s="161"/>
      <x:c r="F84" s="161"/>
      <x:c r="G84" s="161"/>
      <x:c r="H84" s="161"/>
      <x:c r="I84" s="161"/>
      <x:c r="J84" s="161"/>
      <x:c r="K84" s="161"/>
      <x:c r="L84" s="161"/>
      <x:c r="M84" s="161"/>
      <x:c r="N84" s="161"/>
      <x:c r="O84" s="161"/>
      <x:c r="P84" s="161"/>
      <x:c r="Q84" s="161"/>
      <x:c r="R84" s="161"/>
      <x:c r="S84" s="161"/>
      <x:c r="T84" s="161"/>
      <x:c r="U84" s="161"/>
      <x:c r="V84" s="161"/>
      <x:c r="W84" s="161"/>
      <x:c r="X84" s="161"/>
      <x:c r="Y84" s="161"/>
      <x:c r="Z84" s="161"/>
    </x:row>
    <x:row r="85">
      <x:c r="A85" s="161"/>
      <x:c r="B85" s="161"/>
      <x:c r="C85" s="161"/>
      <x:c r="D85" s="161"/>
      <x:c r="E85" s="161"/>
      <x:c r="F85" s="161"/>
      <x:c r="G85" s="161"/>
      <x:c r="H85" s="161"/>
      <x:c r="I85" s="161"/>
      <x:c r="J85" s="161"/>
      <x:c r="K85" s="161"/>
      <x:c r="L85" s="161"/>
      <x:c r="M85" s="161"/>
      <x:c r="N85" s="161"/>
      <x:c r="O85" s="161"/>
      <x:c r="P85" s="161"/>
      <x:c r="Q85" s="161"/>
      <x:c r="R85" s="161"/>
      <x:c r="S85" s="161"/>
      <x:c r="T85" s="161"/>
      <x:c r="U85" s="161"/>
      <x:c r="V85" s="161"/>
      <x:c r="W85" s="161"/>
      <x:c r="X85" s="161"/>
      <x:c r="Y85" s="161"/>
      <x:c r="Z85" s="161"/>
    </x:row>
    <x:row r="86">
      <x:c r="A86" s="161"/>
      <x:c r="B86" s="161"/>
      <x:c r="C86" s="161"/>
      <x:c r="D86" s="161"/>
      <x:c r="E86" s="161"/>
      <x:c r="F86" s="161"/>
      <x:c r="G86" s="161"/>
      <x:c r="H86" s="161"/>
      <x:c r="I86" s="161"/>
      <x:c r="J86" s="161"/>
      <x:c r="K86" s="161"/>
      <x:c r="L86" s="161"/>
      <x:c r="M86" s="161"/>
      <x:c r="N86" s="161"/>
      <x:c r="O86" s="161"/>
      <x:c r="P86" s="161"/>
      <x:c r="Q86" s="161"/>
      <x:c r="R86" s="161"/>
      <x:c r="S86" s="161"/>
      <x:c r="T86" s="161"/>
      <x:c r="U86" s="161"/>
      <x:c r="V86" s="161"/>
      <x:c r="W86" s="161"/>
      <x:c r="X86" s="161"/>
      <x:c r="Y86" s="161"/>
      <x:c r="Z86" s="161"/>
    </x:row>
    <x:row r="87">
      <x:c r="A87" s="161"/>
      <x:c r="B87" s="161"/>
      <x:c r="C87" s="161"/>
      <x:c r="D87" s="161"/>
      <x:c r="E87" s="161"/>
      <x:c r="F87" s="161"/>
      <x:c r="G87" s="161"/>
      <x:c r="H87" s="161"/>
      <x:c r="I87" s="161"/>
      <x:c r="J87" s="161"/>
      <x:c r="K87" s="161"/>
      <x:c r="L87" s="161"/>
      <x:c r="M87" s="161"/>
      <x:c r="N87" s="161"/>
      <x:c r="O87" s="161"/>
      <x:c r="P87" s="161"/>
      <x:c r="Q87" s="161"/>
      <x:c r="R87" s="161"/>
      <x:c r="S87" s="161"/>
      <x:c r="T87" s="161"/>
      <x:c r="U87" s="161"/>
      <x:c r="V87" s="161"/>
      <x:c r="W87" s="161"/>
      <x:c r="X87" s="161"/>
      <x:c r="Y87" s="161"/>
      <x:c r="Z87" s="161"/>
    </x:row>
    <x:row r="88">
      <x:c r="A88" s="161"/>
      <x:c r="B88" s="161"/>
      <x:c r="C88" s="161"/>
      <x:c r="D88" s="161"/>
      <x:c r="E88" s="161"/>
      <x:c r="F88" s="161"/>
      <x:c r="G88" s="161"/>
      <x:c r="H88" s="161"/>
      <x:c r="I88" s="161"/>
      <x:c r="J88" s="161"/>
      <x:c r="K88" s="161"/>
      <x:c r="L88" s="161"/>
      <x:c r="M88" s="161"/>
      <x:c r="N88" s="161"/>
      <x:c r="O88" s="161"/>
      <x:c r="P88" s="161"/>
      <x:c r="Q88" s="161"/>
      <x:c r="R88" s="161"/>
      <x:c r="S88" s="161"/>
      <x:c r="T88" s="161"/>
      <x:c r="U88" s="161"/>
      <x:c r="V88" s="161"/>
      <x:c r="W88" s="161"/>
      <x:c r="X88" s="161"/>
      <x:c r="Y88" s="161"/>
      <x:c r="Z88" s="161"/>
    </x:row>
    <x:row r="89">
      <x:c r="A89" s="161"/>
      <x:c r="B89" s="161"/>
      <x:c r="C89" s="161"/>
      <x:c r="D89" s="161"/>
      <x:c r="E89" s="161"/>
      <x:c r="F89" s="161"/>
      <x:c r="G89" s="161"/>
      <x:c r="H89" s="161"/>
      <x:c r="I89" s="161"/>
      <x:c r="J89" s="161"/>
      <x:c r="K89" s="161"/>
      <x:c r="L89" s="161"/>
      <x:c r="M89" s="161"/>
      <x:c r="N89" s="161"/>
      <x:c r="O89" s="161"/>
      <x:c r="P89" s="161"/>
      <x:c r="Q89" s="161"/>
      <x:c r="R89" s="161"/>
      <x:c r="S89" s="161"/>
      <x:c r="T89" s="161"/>
      <x:c r="U89" s="161"/>
      <x:c r="V89" s="161"/>
      <x:c r="W89" s="161"/>
      <x:c r="X89" s="161"/>
      <x:c r="Y89" s="161"/>
      <x:c r="Z89" s="161"/>
    </x:row>
    <x:row r="90">
      <x:c r="A90" s="161"/>
      <x:c r="B90" s="161"/>
      <x:c r="C90" s="161"/>
      <x:c r="D90" s="161"/>
      <x:c r="E90" s="161"/>
      <x:c r="F90" s="161"/>
      <x:c r="G90" s="161"/>
      <x:c r="H90" s="161"/>
      <x:c r="I90" s="161"/>
      <x:c r="J90" s="161"/>
      <x:c r="K90" s="161"/>
      <x:c r="L90" s="161"/>
      <x:c r="M90" s="161"/>
      <x:c r="N90" s="161"/>
      <x:c r="O90" s="161"/>
      <x:c r="P90" s="161"/>
      <x:c r="Q90" s="161"/>
      <x:c r="R90" s="161"/>
      <x:c r="S90" s="161"/>
      <x:c r="T90" s="161"/>
      <x:c r="U90" s="161"/>
      <x:c r="V90" s="161"/>
      <x:c r="W90" s="161"/>
      <x:c r="X90" s="161"/>
      <x:c r="Y90" s="161"/>
      <x:c r="Z90" s="161"/>
    </x:row>
    <x:row r="91">
      <x:c r="A91" s="161"/>
      <x:c r="B91" s="161"/>
      <x:c r="C91" s="161"/>
      <x:c r="D91" s="161"/>
      <x:c r="E91" s="161"/>
      <x:c r="F91" s="161"/>
      <x:c r="G91" s="161"/>
      <x:c r="H91" s="161"/>
      <x:c r="I91" s="161"/>
      <x:c r="J91" s="161"/>
      <x:c r="K91" s="161"/>
      <x:c r="L91" s="161"/>
      <x:c r="M91" s="161"/>
      <x:c r="N91" s="161"/>
      <x:c r="O91" s="161"/>
      <x:c r="P91" s="161"/>
      <x:c r="Q91" s="161"/>
      <x:c r="R91" s="161"/>
      <x:c r="S91" s="161"/>
      <x:c r="T91" s="161"/>
      <x:c r="U91" s="161"/>
      <x:c r="V91" s="161"/>
      <x:c r="W91" s="161"/>
      <x:c r="X91" s="161"/>
      <x:c r="Y91" s="161"/>
      <x:c r="Z91" s="161"/>
    </x:row>
    <x:row r="92">
      <x:c r="A92" s="161"/>
      <x:c r="B92" s="161"/>
      <x:c r="C92" s="161"/>
      <x:c r="D92" s="161"/>
      <x:c r="E92" s="161"/>
      <x:c r="F92" s="161"/>
      <x:c r="G92" s="161"/>
      <x:c r="H92" s="161"/>
      <x:c r="I92" s="161"/>
      <x:c r="J92" s="161"/>
      <x:c r="K92" s="161"/>
      <x:c r="L92" s="161"/>
      <x:c r="M92" s="161"/>
      <x:c r="N92" s="161"/>
      <x:c r="O92" s="161"/>
      <x:c r="P92" s="161"/>
      <x:c r="Q92" s="161"/>
      <x:c r="R92" s="161"/>
      <x:c r="S92" s="161"/>
      <x:c r="T92" s="161"/>
      <x:c r="U92" s="161"/>
      <x:c r="V92" s="161"/>
      <x:c r="W92" s="161"/>
      <x:c r="X92" s="161"/>
      <x:c r="Y92" s="161"/>
      <x:c r="Z92" s="161"/>
    </x:row>
    <x:row r="93">
      <x:c r="A93" s="161"/>
      <x:c r="B93" s="161"/>
      <x:c r="C93" s="161"/>
      <x:c r="D93" s="161"/>
      <x:c r="E93" s="161"/>
      <x:c r="F93" s="161"/>
      <x:c r="G93" s="161"/>
      <x:c r="H93" s="161"/>
      <x:c r="I93" s="161"/>
      <x:c r="J93" s="161"/>
      <x:c r="K93" s="161"/>
      <x:c r="L93" s="161"/>
      <x:c r="M93" s="161"/>
      <x:c r="N93" s="161"/>
      <x:c r="O93" s="161"/>
      <x:c r="P93" s="161"/>
      <x:c r="Q93" s="161"/>
      <x:c r="R93" s="161"/>
      <x:c r="S93" s="161"/>
      <x:c r="T93" s="161"/>
      <x:c r="U93" s="161"/>
      <x:c r="V93" s="161"/>
      <x:c r="W93" s="161"/>
      <x:c r="X93" s="161"/>
      <x:c r="Y93" s="161"/>
      <x:c r="Z93" s="161"/>
    </x:row>
    <x:row r="94">
      <x:c r="A94" s="161"/>
      <x:c r="B94" s="161"/>
      <x:c r="C94" s="161"/>
      <x:c r="D94" s="161"/>
      <x:c r="E94" s="161"/>
      <x:c r="F94" s="161"/>
      <x:c r="G94" s="161"/>
      <x:c r="H94" s="161"/>
      <x:c r="I94" s="161"/>
      <x:c r="J94" s="161"/>
      <x:c r="K94" s="161"/>
      <x:c r="L94" s="161"/>
      <x:c r="M94" s="161"/>
      <x:c r="N94" s="161"/>
      <x:c r="O94" s="161"/>
      <x:c r="P94" s="161"/>
      <x:c r="Q94" s="161"/>
      <x:c r="R94" s="161"/>
      <x:c r="S94" s="161"/>
      <x:c r="T94" s="161"/>
      <x:c r="U94" s="161"/>
      <x:c r="V94" s="161"/>
      <x:c r="W94" s="161"/>
      <x:c r="X94" s="161"/>
      <x:c r="Y94" s="161"/>
      <x:c r="Z94" s="161"/>
    </x:row>
    <x:row r="95">
      <x:c r="A95" s="161"/>
      <x:c r="B95" s="161"/>
      <x:c r="C95" s="161"/>
      <x:c r="D95" s="161"/>
      <x:c r="E95" s="161"/>
      <x:c r="F95" s="161"/>
      <x:c r="G95" s="161"/>
      <x:c r="H95" s="161"/>
      <x:c r="I95" s="161"/>
      <x:c r="J95" s="161"/>
      <x:c r="K95" s="161"/>
      <x:c r="L95" s="161"/>
      <x:c r="M95" s="161"/>
      <x:c r="N95" s="161"/>
      <x:c r="O95" s="161"/>
      <x:c r="P95" s="161"/>
      <x:c r="Q95" s="161"/>
      <x:c r="R95" s="161"/>
      <x:c r="S95" s="161"/>
      <x:c r="T95" s="161"/>
      <x:c r="U95" s="161"/>
      <x:c r="V95" s="161"/>
      <x:c r="W95" s="161"/>
      <x:c r="X95" s="161"/>
      <x:c r="Y95" s="161"/>
      <x:c r="Z95" s="161"/>
    </x:row>
    <x:row r="96">
      <x:c r="A96" s="161"/>
      <x:c r="B96" s="161"/>
      <x:c r="C96" s="161"/>
      <x:c r="D96" s="161"/>
      <x:c r="E96" s="161"/>
      <x:c r="F96" s="161"/>
      <x:c r="G96" s="161"/>
      <x:c r="H96" s="161"/>
      <x:c r="I96" s="161"/>
      <x:c r="J96" s="161"/>
      <x:c r="K96" s="161"/>
      <x:c r="L96" s="161"/>
      <x:c r="M96" s="161"/>
      <x:c r="N96" s="161"/>
      <x:c r="O96" s="161"/>
      <x:c r="P96" s="161"/>
      <x:c r="Q96" s="161"/>
      <x:c r="R96" s="161"/>
      <x:c r="S96" s="161"/>
      <x:c r="T96" s="161"/>
      <x:c r="U96" s="161"/>
      <x:c r="V96" s="161"/>
      <x:c r="W96" s="161"/>
      <x:c r="X96" s="161"/>
      <x:c r="Y96" s="161"/>
      <x:c r="Z96" s="161"/>
    </x:row>
    <x:row r="97">
      <x:c r="A97" s="161"/>
      <x:c r="B97" s="161"/>
      <x:c r="C97" s="161"/>
      <x:c r="D97" s="161"/>
      <x:c r="E97" s="161"/>
      <x:c r="F97" s="161"/>
      <x:c r="G97" s="161"/>
      <x:c r="H97" s="161"/>
      <x:c r="I97" s="161"/>
      <x:c r="J97" s="161"/>
      <x:c r="K97" s="161"/>
      <x:c r="L97" s="161"/>
      <x:c r="M97" s="161"/>
      <x:c r="N97" s="161"/>
      <x:c r="O97" s="161"/>
      <x:c r="P97" s="161"/>
      <x:c r="Q97" s="161"/>
      <x:c r="R97" s="161"/>
      <x:c r="S97" s="161"/>
      <x:c r="T97" s="161"/>
      <x:c r="U97" s="161"/>
      <x:c r="V97" s="161"/>
      <x:c r="W97" s="161"/>
      <x:c r="X97" s="161"/>
      <x:c r="Y97" s="161"/>
      <x:c r="Z97" s="161"/>
    </x:row>
    <x:row r="98">
      <x:c r="A98" s="161"/>
      <x:c r="B98" s="161"/>
      <x:c r="C98" s="161"/>
      <x:c r="D98" s="161"/>
      <x:c r="E98" s="161"/>
      <x:c r="F98" s="161"/>
      <x:c r="G98" s="161"/>
      <x:c r="H98" s="161"/>
      <x:c r="I98" s="161"/>
      <x:c r="J98" s="161"/>
      <x:c r="K98" s="161"/>
      <x:c r="L98" s="161"/>
      <x:c r="M98" s="161"/>
      <x:c r="N98" s="161"/>
      <x:c r="O98" s="161"/>
      <x:c r="P98" s="161"/>
      <x:c r="Q98" s="161"/>
      <x:c r="R98" s="161"/>
      <x:c r="S98" s="161"/>
      <x:c r="T98" s="161"/>
      <x:c r="U98" s="161"/>
      <x:c r="V98" s="161"/>
      <x:c r="W98" s="161"/>
      <x:c r="X98" s="161"/>
      <x:c r="Y98" s="161"/>
      <x:c r="Z98" s="161"/>
    </x:row>
    <x:row r="99">
      <x:c r="A99" s="161"/>
      <x:c r="B99" s="161"/>
      <x:c r="C99" s="161"/>
      <x:c r="D99" s="161"/>
      <x:c r="E99" s="161"/>
      <x:c r="F99" s="161"/>
      <x:c r="G99" s="161"/>
      <x:c r="H99" s="161"/>
      <x:c r="I99" s="161"/>
      <x:c r="J99" s="161"/>
      <x:c r="K99" s="161"/>
      <x:c r="L99" s="161"/>
      <x:c r="M99" s="161"/>
      <x:c r="N99" s="161"/>
      <x:c r="O99" s="161"/>
      <x:c r="P99" s="161"/>
      <x:c r="Q99" s="161"/>
      <x:c r="R99" s="161"/>
      <x:c r="S99" s="161"/>
      <x:c r="T99" s="161"/>
      <x:c r="U99" s="161"/>
      <x:c r="V99" s="161"/>
      <x:c r="W99" s="161"/>
      <x:c r="X99" s="161"/>
      <x:c r="Y99" s="161"/>
      <x:c r="Z99" s="161"/>
    </x:row>
    <x:row r="100">
      <x:c r="A100" s="161"/>
      <x:c r="B100" s="161"/>
      <x:c r="C100" s="161"/>
      <x:c r="D100" s="161"/>
      <x:c r="E100" s="161"/>
      <x:c r="F100" s="161"/>
      <x:c r="G100" s="161"/>
      <x:c r="H100" s="161"/>
      <x:c r="I100" s="161"/>
      <x:c r="J100" s="161"/>
      <x:c r="K100" s="161"/>
      <x:c r="L100" s="161"/>
      <x:c r="M100" s="161"/>
      <x:c r="N100" s="161"/>
      <x:c r="O100" s="161"/>
      <x:c r="P100" s="161"/>
      <x:c r="Q100" s="161"/>
      <x:c r="R100" s="161"/>
      <x:c r="S100" s="161"/>
      <x:c r="T100" s="161"/>
      <x:c r="U100" s="161"/>
      <x:c r="V100" s="161"/>
      <x:c r="W100" s="161"/>
      <x:c r="X100" s="161"/>
      <x:c r="Y100" s="161"/>
      <x:c r="Z100" s="161"/>
    </x:row>
    <x:row r="101">
      <x:c r="A101" s="161"/>
      <x:c r="B101" s="161"/>
      <x:c r="C101" s="161"/>
      <x:c r="D101" s="161"/>
      <x:c r="E101" s="161"/>
      <x:c r="F101" s="161"/>
      <x:c r="G101" s="161"/>
      <x:c r="H101" s="161"/>
      <x:c r="I101" s="161"/>
      <x:c r="J101" s="161"/>
      <x:c r="K101" s="161"/>
      <x:c r="L101" s="161"/>
      <x:c r="M101" s="161"/>
      <x:c r="N101" s="161"/>
      <x:c r="O101" s="161"/>
      <x:c r="P101" s="161"/>
      <x:c r="Q101" s="161"/>
      <x:c r="R101" s="161"/>
      <x:c r="S101" s="161"/>
      <x:c r="T101" s="161"/>
      <x:c r="U101" s="161"/>
      <x:c r="V101" s="161"/>
      <x:c r="W101" s="161"/>
      <x:c r="X101" s="161"/>
      <x:c r="Y101" s="161"/>
      <x:c r="Z101" s="161"/>
    </x:row>
    <x:row r="102">
      <x:c r="A102" s="161"/>
      <x:c r="B102" s="161"/>
      <x:c r="C102" s="161"/>
      <x:c r="D102" s="161"/>
      <x:c r="E102" s="161"/>
      <x:c r="F102" s="161"/>
      <x:c r="G102" s="161"/>
      <x:c r="H102" s="161"/>
      <x:c r="I102" s="161"/>
      <x:c r="J102" s="161"/>
      <x:c r="K102" s="161"/>
      <x:c r="L102" s="161"/>
      <x:c r="M102" s="161"/>
      <x:c r="N102" s="161"/>
      <x:c r="O102" s="161"/>
      <x:c r="P102" s="161"/>
      <x:c r="Q102" s="161"/>
      <x:c r="R102" s="161"/>
      <x:c r="S102" s="161"/>
      <x:c r="T102" s="161"/>
      <x:c r="U102" s="161"/>
      <x:c r="V102" s="161"/>
      <x:c r="W102" s="161"/>
      <x:c r="X102" s="161"/>
      <x:c r="Y102" s="161"/>
      <x:c r="Z102" s="161"/>
    </x:row>
    <x:row r="103">
      <x:c r="A103" s="161"/>
      <x:c r="B103" s="161"/>
      <x:c r="C103" s="161"/>
      <x:c r="D103" s="161"/>
      <x:c r="E103" s="161"/>
      <x:c r="F103" s="161"/>
      <x:c r="G103" s="161"/>
      <x:c r="H103" s="161"/>
      <x:c r="I103" s="161"/>
      <x:c r="J103" s="161"/>
      <x:c r="K103" s="161"/>
      <x:c r="L103" s="161"/>
      <x:c r="M103" s="161"/>
      <x:c r="N103" s="161"/>
      <x:c r="O103" s="161"/>
      <x:c r="P103" s="161"/>
      <x:c r="Q103" s="161"/>
      <x:c r="R103" s="161"/>
      <x:c r="S103" s="161"/>
      <x:c r="T103" s="161"/>
      <x:c r="U103" s="161"/>
      <x:c r="V103" s="161"/>
      <x:c r="W103" s="161"/>
      <x:c r="X103" s="161"/>
      <x:c r="Y103" s="161"/>
      <x:c r="Z103" s="161"/>
    </x:row>
    <x:row r="104">
      <x:c r="A104" s="161"/>
      <x:c r="B104" s="161"/>
      <x:c r="C104" s="161"/>
      <x:c r="D104" s="161"/>
      <x:c r="E104" s="161"/>
      <x:c r="F104" s="161"/>
      <x:c r="G104" s="161"/>
      <x:c r="H104" s="161"/>
      <x:c r="I104" s="161"/>
      <x:c r="J104" s="161"/>
      <x:c r="K104" s="161"/>
      <x:c r="L104" s="161"/>
      <x:c r="M104" s="161"/>
      <x:c r="N104" s="161"/>
      <x:c r="O104" s="161"/>
      <x:c r="P104" s="161"/>
      <x:c r="Q104" s="161"/>
      <x:c r="R104" s="161"/>
      <x:c r="S104" s="161"/>
      <x:c r="T104" s="161"/>
      <x:c r="U104" s="161"/>
      <x:c r="V104" s="161"/>
      <x:c r="W104" s="161"/>
      <x:c r="X104" s="161"/>
      <x:c r="Y104" s="161"/>
      <x:c r="Z104" s="161"/>
    </x:row>
    <x:row r="105">
      <x:c r="A105" s="161"/>
      <x:c r="B105" s="161"/>
      <x:c r="C105" s="161"/>
      <x:c r="D105" s="161"/>
      <x:c r="E105" s="161"/>
      <x:c r="F105" s="161"/>
      <x:c r="G105" s="161"/>
      <x:c r="H105" s="161"/>
      <x:c r="I105" s="161"/>
      <x:c r="J105" s="161"/>
      <x:c r="K105" s="161"/>
      <x:c r="L105" s="161"/>
      <x:c r="M105" s="161"/>
      <x:c r="N105" s="161"/>
      <x:c r="O105" s="161"/>
      <x:c r="P105" s="161"/>
      <x:c r="Q105" s="161"/>
      <x:c r="R105" s="161"/>
      <x:c r="S105" s="161"/>
      <x:c r="T105" s="161"/>
      <x:c r="U105" s="161"/>
      <x:c r="V105" s="161"/>
      <x:c r="W105" s="161"/>
      <x:c r="X105" s="161"/>
      <x:c r="Y105" s="161"/>
      <x:c r="Z105" s="161"/>
    </x:row>
    <x:row r="106">
      <x:c r="A106" s="161"/>
      <x:c r="B106" s="161"/>
      <x:c r="C106" s="161"/>
      <x:c r="D106" s="161"/>
      <x:c r="E106" s="161"/>
      <x:c r="F106" s="161"/>
      <x:c r="G106" s="161"/>
      <x:c r="H106" s="161"/>
      <x:c r="I106" s="161"/>
      <x:c r="J106" s="161"/>
      <x:c r="K106" s="161"/>
      <x:c r="L106" s="161"/>
      <x:c r="M106" s="161"/>
      <x:c r="N106" s="161"/>
      <x:c r="O106" s="161"/>
      <x:c r="P106" s="161"/>
      <x:c r="Q106" s="161"/>
      <x:c r="R106" s="161"/>
      <x:c r="S106" s="161"/>
      <x:c r="T106" s="161"/>
      <x:c r="U106" s="161"/>
      <x:c r="V106" s="161"/>
      <x:c r="W106" s="161"/>
      <x:c r="X106" s="161"/>
      <x:c r="Y106" s="161"/>
      <x:c r="Z106" s="161"/>
    </x:row>
    <x:row r="107">
      <x:c r="A107" s="161"/>
      <x:c r="B107" s="161"/>
      <x:c r="C107" s="161"/>
      <x:c r="D107" s="161"/>
      <x:c r="E107" s="161"/>
      <x:c r="F107" s="161"/>
      <x:c r="G107" s="161"/>
      <x:c r="H107" s="161"/>
      <x:c r="I107" s="161"/>
      <x:c r="J107" s="161"/>
      <x:c r="K107" s="161"/>
      <x:c r="L107" s="161"/>
      <x:c r="M107" s="161"/>
      <x:c r="N107" s="161"/>
      <x:c r="O107" s="161"/>
      <x:c r="P107" s="161"/>
      <x:c r="Q107" s="161"/>
      <x:c r="R107" s="161"/>
      <x:c r="S107" s="161"/>
      <x:c r="T107" s="161"/>
      <x:c r="U107" s="161"/>
      <x:c r="V107" s="161"/>
      <x:c r="W107" s="161"/>
      <x:c r="X107" s="161"/>
      <x:c r="Y107" s="161"/>
      <x:c r="Z107" s="161"/>
    </x:row>
    <x:row r="108">
      <x:c r="A108" s="161"/>
      <x:c r="B108" s="161"/>
      <x:c r="C108" s="161"/>
      <x:c r="D108" s="161"/>
      <x:c r="E108" s="161"/>
      <x:c r="F108" s="161"/>
      <x:c r="G108" s="161"/>
      <x:c r="H108" s="161"/>
      <x:c r="I108" s="161"/>
      <x:c r="J108" s="161"/>
      <x:c r="K108" s="161"/>
      <x:c r="L108" s="161"/>
      <x:c r="M108" s="161"/>
      <x:c r="N108" s="161"/>
      <x:c r="O108" s="161"/>
      <x:c r="P108" s="161"/>
      <x:c r="Q108" s="161"/>
      <x:c r="R108" s="161"/>
      <x:c r="S108" s="161"/>
      <x:c r="T108" s="161"/>
      <x:c r="U108" s="161"/>
      <x:c r="V108" s="161"/>
      <x:c r="W108" s="161"/>
      <x:c r="X108" s="161"/>
      <x:c r="Y108" s="161"/>
      <x:c r="Z108" s="161"/>
    </x:row>
    <x:row r="109">
      <x:c r="A109" s="161"/>
      <x:c r="B109" s="161"/>
      <x:c r="C109" s="161"/>
      <x:c r="D109" s="161"/>
      <x:c r="E109" s="161"/>
      <x:c r="F109" s="161"/>
      <x:c r="G109" s="161"/>
      <x:c r="H109" s="161"/>
      <x:c r="I109" s="161"/>
      <x:c r="J109" s="161"/>
      <x:c r="K109" s="161"/>
      <x:c r="L109" s="161"/>
      <x:c r="M109" s="161"/>
      <x:c r="N109" s="161"/>
      <x:c r="O109" s="161"/>
      <x:c r="P109" s="161"/>
      <x:c r="Q109" s="161"/>
      <x:c r="R109" s="161"/>
      <x:c r="S109" s="161"/>
      <x:c r="T109" s="161"/>
      <x:c r="U109" s="161"/>
      <x:c r="V109" s="161"/>
      <x:c r="W109" s="161"/>
      <x:c r="X109" s="161"/>
      <x:c r="Y109" s="161"/>
      <x:c r="Z109" s="161"/>
    </x:row>
    <x:row r="110">
      <x:c r="A110" s="161"/>
      <x:c r="B110" s="161"/>
      <x:c r="C110" s="161"/>
      <x:c r="D110" s="161"/>
      <x:c r="E110" s="161"/>
      <x:c r="F110" s="161"/>
      <x:c r="G110" s="161"/>
      <x:c r="H110" s="161"/>
      <x:c r="I110" s="161"/>
      <x:c r="J110" s="161"/>
      <x:c r="K110" s="161"/>
      <x:c r="L110" s="161"/>
      <x:c r="M110" s="161"/>
      <x:c r="N110" s="161"/>
      <x:c r="O110" s="161"/>
      <x:c r="P110" s="161"/>
      <x:c r="Q110" s="161"/>
      <x:c r="R110" s="161"/>
      <x:c r="S110" s="161"/>
      <x:c r="T110" s="161"/>
      <x:c r="U110" s="161"/>
      <x:c r="V110" s="161"/>
      <x:c r="W110" s="161"/>
      <x:c r="X110" s="161"/>
      <x:c r="Y110" s="161"/>
      <x:c r="Z110" s="161"/>
    </x:row>
    <x:row r="111">
      <x:c r="A111" s="161"/>
      <x:c r="B111" s="161"/>
      <x:c r="C111" s="161"/>
      <x:c r="D111" s="161"/>
      <x:c r="E111" s="161"/>
      <x:c r="F111" s="161"/>
      <x:c r="G111" s="161"/>
      <x:c r="H111" s="161"/>
      <x:c r="I111" s="161"/>
      <x:c r="J111" s="161"/>
      <x:c r="K111" s="161"/>
      <x:c r="L111" s="161"/>
      <x:c r="M111" s="161"/>
      <x:c r="N111" s="161"/>
      <x:c r="O111" s="161"/>
      <x:c r="P111" s="161"/>
      <x:c r="Q111" s="161"/>
      <x:c r="R111" s="161"/>
      <x:c r="S111" s="161"/>
      <x:c r="T111" s="161"/>
      <x:c r="U111" s="161"/>
      <x:c r="V111" s="161"/>
      <x:c r="W111" s="161"/>
      <x:c r="X111" s="161"/>
      <x:c r="Y111" s="161"/>
      <x:c r="Z111" s="161"/>
    </x:row>
    <x:row r="112">
      <x:c r="A112" s="161"/>
      <x:c r="B112" s="161"/>
      <x:c r="C112" s="161"/>
      <x:c r="D112" s="161"/>
      <x:c r="E112" s="161"/>
      <x:c r="F112" s="161"/>
      <x:c r="G112" s="161"/>
      <x:c r="H112" s="161"/>
      <x:c r="I112" s="161"/>
      <x:c r="J112" s="161"/>
      <x:c r="K112" s="161"/>
      <x:c r="L112" s="161"/>
      <x:c r="M112" s="161"/>
      <x:c r="N112" s="161"/>
      <x:c r="O112" s="161"/>
      <x:c r="P112" s="161"/>
      <x:c r="Q112" s="161"/>
      <x:c r="R112" s="161"/>
      <x:c r="S112" s="161"/>
      <x:c r="T112" s="161"/>
      <x:c r="U112" s="161"/>
      <x:c r="V112" s="161"/>
      <x:c r="W112" s="161"/>
      <x:c r="X112" s="161"/>
      <x:c r="Y112" s="161"/>
      <x:c r="Z112" s="161"/>
    </x:row>
    <x:row r="113">
      <x:c r="A113" s="161"/>
      <x:c r="B113" s="161"/>
      <x:c r="C113" s="161"/>
      <x:c r="D113" s="161"/>
      <x:c r="E113" s="161"/>
      <x:c r="F113" s="161"/>
      <x:c r="G113" s="161"/>
      <x:c r="H113" s="161"/>
      <x:c r="I113" s="161"/>
      <x:c r="J113" s="161"/>
      <x:c r="K113" s="161"/>
      <x:c r="L113" s="161"/>
      <x:c r="M113" s="161"/>
      <x:c r="N113" s="161"/>
      <x:c r="O113" s="161"/>
      <x:c r="P113" s="161"/>
      <x:c r="Q113" s="161"/>
      <x:c r="R113" s="161"/>
      <x:c r="S113" s="161"/>
      <x:c r="T113" s="161"/>
      <x:c r="U113" s="161"/>
      <x:c r="V113" s="161"/>
      <x:c r="W113" s="161"/>
      <x:c r="X113" s="161"/>
      <x:c r="Y113" s="161"/>
      <x:c r="Z113" s="161"/>
    </x:row>
    <x:row r="114">
      <x:c r="A114" s="161"/>
      <x:c r="B114" s="161"/>
      <x:c r="C114" s="161"/>
      <x:c r="D114" s="161"/>
      <x:c r="E114" s="161"/>
      <x:c r="F114" s="161"/>
      <x:c r="G114" s="161"/>
      <x:c r="H114" s="161"/>
      <x:c r="I114" s="161"/>
      <x:c r="J114" s="161"/>
      <x:c r="K114" s="161"/>
      <x:c r="L114" s="161"/>
      <x:c r="M114" s="161"/>
      <x:c r="N114" s="161"/>
      <x:c r="O114" s="161"/>
      <x:c r="P114" s="161"/>
      <x:c r="Q114" s="161"/>
      <x:c r="R114" s="161"/>
      <x:c r="S114" s="161"/>
      <x:c r="T114" s="161"/>
      <x:c r="U114" s="161"/>
      <x:c r="V114" s="161"/>
      <x:c r="W114" s="161"/>
      <x:c r="X114" s="161"/>
      <x:c r="Y114" s="161"/>
      <x:c r="Z114" s="161"/>
    </x:row>
    <x:row r="115">
      <x:c r="A115" s="161"/>
      <x:c r="B115" s="161"/>
      <x:c r="C115" s="161"/>
      <x:c r="D115" s="161"/>
      <x:c r="E115" s="161"/>
      <x:c r="F115" s="161"/>
      <x:c r="G115" s="161"/>
      <x:c r="H115" s="161"/>
      <x:c r="I115" s="161"/>
      <x:c r="J115" s="161"/>
      <x:c r="K115" s="161"/>
      <x:c r="L115" s="161"/>
      <x:c r="M115" s="161"/>
      <x:c r="N115" s="161"/>
      <x:c r="O115" s="161"/>
      <x:c r="P115" s="161"/>
      <x:c r="Q115" s="161"/>
      <x:c r="R115" s="161"/>
      <x:c r="S115" s="161"/>
      <x:c r="T115" s="161"/>
      <x:c r="U115" s="161"/>
      <x:c r="V115" s="161"/>
      <x:c r="W115" s="161"/>
      <x:c r="X115" s="161"/>
      <x:c r="Y115" s="161"/>
      <x:c r="Z115" s="161"/>
    </x:row>
    <x:row r="116">
      <x:c r="A116" s="161"/>
      <x:c r="B116" s="161"/>
      <x:c r="C116" s="161"/>
      <x:c r="D116" s="161"/>
      <x:c r="E116" s="161"/>
      <x:c r="F116" s="161"/>
      <x:c r="G116" s="161"/>
      <x:c r="H116" s="161"/>
      <x:c r="I116" s="161"/>
      <x:c r="J116" s="161"/>
      <x:c r="K116" s="161"/>
      <x:c r="L116" s="161"/>
      <x:c r="M116" s="161"/>
      <x:c r="N116" s="161"/>
      <x:c r="O116" s="161"/>
      <x:c r="P116" s="161"/>
      <x:c r="Q116" s="161"/>
      <x:c r="R116" s="161"/>
      <x:c r="S116" s="161"/>
      <x:c r="T116" s="161"/>
      <x:c r="U116" s="161"/>
      <x:c r="V116" s="161"/>
      <x:c r="W116" s="161"/>
      <x:c r="X116" s="161"/>
      <x:c r="Y116" s="161"/>
      <x:c r="Z116" s="161"/>
    </x:row>
    <x:row r="117">
      <x:c r="A117" s="161"/>
      <x:c r="B117" s="161"/>
      <x:c r="C117" s="161"/>
      <x:c r="D117" s="161"/>
      <x:c r="E117" s="161"/>
      <x:c r="F117" s="161"/>
      <x:c r="G117" s="161"/>
      <x:c r="H117" s="161"/>
      <x:c r="I117" s="161"/>
      <x:c r="J117" s="161"/>
      <x:c r="K117" s="161"/>
      <x:c r="L117" s="161"/>
      <x:c r="M117" s="161"/>
      <x:c r="N117" s="161"/>
      <x:c r="O117" s="161"/>
      <x:c r="P117" s="161"/>
      <x:c r="Q117" s="161"/>
      <x:c r="R117" s="161"/>
      <x:c r="S117" s="161"/>
      <x:c r="T117" s="161"/>
      <x:c r="U117" s="161"/>
      <x:c r="V117" s="161"/>
      <x:c r="W117" s="161"/>
      <x:c r="X117" s="161"/>
      <x:c r="Y117" s="161"/>
      <x:c r="Z117" s="161"/>
    </x:row>
    <x:row r="118">
      <x:c r="A118" s="161"/>
      <x:c r="B118" s="161"/>
      <x:c r="C118" s="161"/>
      <x:c r="D118" s="161"/>
      <x:c r="E118" s="161"/>
      <x:c r="F118" s="161"/>
      <x:c r="G118" s="161"/>
      <x:c r="H118" s="161"/>
      <x:c r="I118" s="161"/>
      <x:c r="J118" s="161"/>
      <x:c r="K118" s="161"/>
      <x:c r="L118" s="161"/>
      <x:c r="M118" s="161"/>
      <x:c r="N118" s="161"/>
      <x:c r="O118" s="161"/>
      <x:c r="P118" s="161"/>
      <x:c r="Q118" s="161"/>
      <x:c r="R118" s="161"/>
      <x:c r="S118" s="161"/>
      <x:c r="T118" s="161"/>
      <x:c r="U118" s="161"/>
      <x:c r="V118" s="161"/>
      <x:c r="W118" s="161"/>
      <x:c r="X118" s="161"/>
      <x:c r="Y118" s="161"/>
      <x:c r="Z118" s="161"/>
    </x:row>
    <x:row r="119">
      <x:c r="A119" s="161"/>
      <x:c r="B119" s="161"/>
      <x:c r="C119" s="161"/>
      <x:c r="D119" s="161"/>
      <x:c r="E119" s="161"/>
      <x:c r="F119" s="161"/>
      <x:c r="G119" s="161"/>
      <x:c r="H119" s="161"/>
      <x:c r="I119" s="161"/>
      <x:c r="J119" s="161"/>
      <x:c r="K119" s="161"/>
      <x:c r="L119" s="161"/>
      <x:c r="M119" s="161"/>
      <x:c r="N119" s="161"/>
      <x:c r="O119" s="161"/>
      <x:c r="P119" s="161"/>
      <x:c r="Q119" s="161"/>
      <x:c r="R119" s="161"/>
      <x:c r="S119" s="161"/>
      <x:c r="T119" s="161"/>
      <x:c r="U119" s="161"/>
      <x:c r="V119" s="161"/>
      <x:c r="W119" s="161"/>
      <x:c r="X119" s="161"/>
      <x:c r="Y119" s="161"/>
      <x:c r="Z119" s="161"/>
    </x:row>
    <x:row r="120">
      <x:c r="A120" s="161"/>
      <x:c r="B120" s="161"/>
      <x:c r="C120" s="161"/>
      <x:c r="D120" s="161"/>
      <x:c r="E120" s="161"/>
      <x:c r="F120" s="161"/>
      <x:c r="G120" s="161"/>
      <x:c r="H120" s="161"/>
      <x:c r="I120" s="161"/>
      <x:c r="J120" s="161"/>
      <x:c r="K120" s="161"/>
      <x:c r="L120" s="161"/>
      <x:c r="M120" s="161"/>
      <x:c r="N120" s="161"/>
      <x:c r="O120" s="161"/>
      <x:c r="P120" s="161"/>
      <x:c r="Q120" s="161"/>
      <x:c r="R120" s="161"/>
      <x:c r="S120" s="161"/>
      <x:c r="T120" s="161"/>
      <x:c r="U120" s="161"/>
      <x:c r="V120" s="161"/>
      <x:c r="W120" s="161"/>
      <x:c r="X120" s="161"/>
      <x:c r="Y120" s="161"/>
      <x:c r="Z120" s="161"/>
    </x:row>
    <x:row r="121">
      <x:c r="A121" s="161"/>
      <x:c r="B121" s="161"/>
      <x:c r="C121" s="161"/>
      <x:c r="D121" s="161"/>
      <x:c r="E121" s="161"/>
      <x:c r="F121" s="161"/>
      <x:c r="G121" s="161"/>
      <x:c r="H121" s="161"/>
      <x:c r="I121" s="161"/>
      <x:c r="J121" s="161"/>
      <x:c r="K121" s="161"/>
      <x:c r="L121" s="161"/>
      <x:c r="M121" s="161"/>
      <x:c r="N121" s="161"/>
      <x:c r="O121" s="161"/>
      <x:c r="P121" s="161"/>
      <x:c r="Q121" s="161"/>
      <x:c r="R121" s="161"/>
      <x:c r="S121" s="161"/>
      <x:c r="T121" s="161"/>
      <x:c r="U121" s="161"/>
      <x:c r="V121" s="161"/>
      <x:c r="W121" s="161"/>
      <x:c r="X121" s="161"/>
      <x:c r="Y121" s="161"/>
      <x:c r="Z121" s="161"/>
    </x:row>
    <x:row r="122">
      <x:c r="A122" s="161"/>
      <x:c r="B122" s="161"/>
      <x:c r="C122" s="161"/>
      <x:c r="D122" s="161"/>
      <x:c r="E122" s="161"/>
      <x:c r="F122" s="161"/>
      <x:c r="G122" s="161"/>
      <x:c r="H122" s="161"/>
      <x:c r="I122" s="161"/>
      <x:c r="J122" s="161"/>
      <x:c r="K122" s="161"/>
      <x:c r="L122" s="161"/>
      <x:c r="M122" s="161"/>
      <x:c r="N122" s="161"/>
      <x:c r="O122" s="161"/>
      <x:c r="P122" s="161"/>
      <x:c r="Q122" s="161"/>
      <x:c r="R122" s="161"/>
      <x:c r="S122" s="161"/>
      <x:c r="T122" s="161"/>
      <x:c r="U122" s="161"/>
      <x:c r="V122" s="161"/>
      <x:c r="W122" s="161"/>
      <x:c r="X122" s="161"/>
      <x:c r="Y122" s="161"/>
      <x:c r="Z122" s="161"/>
    </x:row>
    <x:row r="123">
      <x:c r="A123" s="161"/>
      <x:c r="B123" s="161"/>
      <x:c r="C123" s="161"/>
      <x:c r="D123" s="161"/>
      <x:c r="E123" s="161"/>
      <x:c r="F123" s="161"/>
      <x:c r="G123" s="161"/>
      <x:c r="H123" s="161"/>
      <x:c r="I123" s="161"/>
      <x:c r="J123" s="161"/>
      <x:c r="K123" s="161"/>
      <x:c r="L123" s="161"/>
      <x:c r="M123" s="161"/>
      <x:c r="N123" s="161"/>
      <x:c r="O123" s="161"/>
      <x:c r="P123" s="161"/>
      <x:c r="Q123" s="161"/>
      <x:c r="R123" s="161"/>
      <x:c r="S123" s="161"/>
      <x:c r="T123" s="161"/>
      <x:c r="U123" s="161"/>
      <x:c r="V123" s="161"/>
      <x:c r="W123" s="161"/>
      <x:c r="X123" s="161"/>
      <x:c r="Y123" s="161"/>
      <x:c r="Z123" s="161"/>
    </x:row>
    <x:row r="124">
      <x:c r="A124" s="161"/>
      <x:c r="B124" s="161"/>
      <x:c r="C124" s="161"/>
      <x:c r="D124" s="161"/>
      <x:c r="E124" s="161"/>
      <x:c r="F124" s="161"/>
      <x:c r="G124" s="161"/>
      <x:c r="H124" s="161"/>
      <x:c r="I124" s="161"/>
      <x:c r="J124" s="161"/>
      <x:c r="K124" s="161"/>
      <x:c r="L124" s="161"/>
      <x:c r="M124" s="161"/>
      <x:c r="N124" s="161"/>
      <x:c r="O124" s="161"/>
      <x:c r="P124" s="161"/>
      <x:c r="Q124" s="161"/>
      <x:c r="R124" s="161"/>
      <x:c r="S124" s="161"/>
      <x:c r="T124" s="161"/>
      <x:c r="U124" s="161"/>
      <x:c r="V124" s="161"/>
      <x:c r="W124" s="161"/>
      <x:c r="X124" s="161"/>
      <x:c r="Y124" s="161"/>
      <x:c r="Z124" s="161"/>
    </x:row>
    <x:row r="125">
      <x:c r="A125" s="161"/>
      <x:c r="B125" s="161"/>
      <x:c r="C125" s="161"/>
      <x:c r="D125" s="161"/>
      <x:c r="E125" s="161"/>
      <x:c r="F125" s="161"/>
      <x:c r="G125" s="161"/>
      <x:c r="H125" s="161"/>
      <x:c r="I125" s="161"/>
      <x:c r="J125" s="161"/>
      <x:c r="K125" s="161"/>
      <x:c r="L125" s="161"/>
      <x:c r="M125" s="161"/>
      <x:c r="N125" s="161"/>
      <x:c r="O125" s="161"/>
      <x:c r="P125" s="161"/>
      <x:c r="Q125" s="161"/>
      <x:c r="R125" s="161"/>
      <x:c r="S125" s="161"/>
      <x:c r="T125" s="161"/>
      <x:c r="U125" s="161"/>
      <x:c r="V125" s="161"/>
      <x:c r="W125" s="161"/>
      <x:c r="X125" s="161"/>
      <x:c r="Y125" s="161"/>
      <x:c r="Z125" s="161"/>
    </x:row>
    <x:row r="126">
      <x:c r="A126" s="161"/>
      <x:c r="B126" s="161"/>
      <x:c r="C126" s="161"/>
      <x:c r="D126" s="161"/>
      <x:c r="E126" s="161"/>
      <x:c r="F126" s="161"/>
      <x:c r="G126" s="161"/>
      <x:c r="H126" s="161"/>
      <x:c r="I126" s="161"/>
      <x:c r="J126" s="161"/>
      <x:c r="K126" s="161"/>
      <x:c r="L126" s="161"/>
      <x:c r="M126" s="161"/>
      <x:c r="N126" s="161"/>
      <x:c r="O126" s="161"/>
      <x:c r="P126" s="161"/>
      <x:c r="Q126" s="161"/>
      <x:c r="R126" s="161"/>
      <x:c r="S126" s="161"/>
      <x:c r="T126" s="161"/>
      <x:c r="U126" s="161"/>
      <x:c r="V126" s="161"/>
      <x:c r="W126" s="161"/>
      <x:c r="X126" s="161"/>
      <x:c r="Y126" s="161"/>
      <x:c r="Z126" s="161"/>
    </x:row>
    <x:row r="127">
      <x:c r="A127" s="161"/>
      <x:c r="B127" s="161"/>
      <x:c r="C127" s="161"/>
      <x:c r="D127" s="161"/>
      <x:c r="E127" s="161"/>
      <x:c r="F127" s="161"/>
      <x:c r="G127" s="161"/>
      <x:c r="H127" s="161"/>
      <x:c r="I127" s="161"/>
      <x:c r="J127" s="161"/>
      <x:c r="K127" s="161"/>
      <x:c r="L127" s="161"/>
      <x:c r="M127" s="161"/>
      <x:c r="N127" s="161"/>
      <x:c r="O127" s="161"/>
      <x:c r="P127" s="161"/>
      <x:c r="Q127" s="161"/>
      <x:c r="R127" s="161"/>
      <x:c r="S127" s="161"/>
      <x:c r="T127" s="161"/>
      <x:c r="U127" s="161"/>
      <x:c r="V127" s="161"/>
      <x:c r="W127" s="161"/>
      <x:c r="X127" s="161"/>
      <x:c r="Y127" s="161"/>
      <x:c r="Z127" s="161"/>
    </x:row>
    <x:row r="128">
      <x:c r="A128" s="161"/>
      <x:c r="B128" s="161"/>
      <x:c r="C128" s="161"/>
      <x:c r="D128" s="161"/>
      <x:c r="E128" s="161"/>
      <x:c r="F128" s="161"/>
      <x:c r="G128" s="161"/>
      <x:c r="H128" s="161"/>
      <x:c r="I128" s="161"/>
      <x:c r="J128" s="161"/>
      <x:c r="K128" s="161"/>
      <x:c r="L128" s="161"/>
      <x:c r="M128" s="161"/>
      <x:c r="N128" s="161"/>
      <x:c r="O128" s="161"/>
      <x:c r="P128" s="161"/>
      <x:c r="Q128" s="161"/>
      <x:c r="R128" s="161"/>
      <x:c r="S128" s="161"/>
      <x:c r="T128" s="161"/>
      <x:c r="U128" s="161"/>
      <x:c r="V128" s="161"/>
      <x:c r="W128" s="161"/>
      <x:c r="X128" s="161"/>
      <x:c r="Y128" s="161"/>
      <x:c r="Z128" s="161"/>
    </x:row>
    <x:row r="129">
      <x:c r="A129" s="161"/>
      <x:c r="B129" s="161"/>
      <x:c r="C129" s="161"/>
      <x:c r="D129" s="161"/>
      <x:c r="E129" s="161"/>
      <x:c r="F129" s="161"/>
      <x:c r="G129" s="161"/>
      <x:c r="H129" s="161"/>
      <x:c r="I129" s="161"/>
      <x:c r="J129" s="161"/>
      <x:c r="K129" s="161"/>
      <x:c r="L129" s="161"/>
      <x:c r="M129" s="161"/>
      <x:c r="N129" s="161"/>
      <x:c r="O129" s="161"/>
      <x:c r="P129" s="161"/>
      <x:c r="Q129" s="161"/>
      <x:c r="R129" s="161"/>
      <x:c r="S129" s="161"/>
      <x:c r="T129" s="161"/>
      <x:c r="U129" s="161"/>
      <x:c r="V129" s="161"/>
      <x:c r="W129" s="161"/>
      <x:c r="X129" s="161"/>
      <x:c r="Y129" s="161"/>
      <x:c r="Z129" s="161"/>
    </x:row>
    <x:row r="130">
      <x:c r="A130" s="161"/>
      <x:c r="B130" s="161"/>
      <x:c r="C130" s="161"/>
      <x:c r="D130" s="161"/>
      <x:c r="E130" s="161"/>
      <x:c r="F130" s="161"/>
      <x:c r="G130" s="161"/>
      <x:c r="H130" s="161"/>
      <x:c r="I130" s="161"/>
      <x:c r="J130" s="161"/>
      <x:c r="K130" s="161"/>
      <x:c r="L130" s="161"/>
      <x:c r="M130" s="161"/>
      <x:c r="N130" s="161"/>
      <x:c r="O130" s="161"/>
      <x:c r="P130" s="161"/>
      <x:c r="Q130" s="161"/>
      <x:c r="R130" s="161"/>
      <x:c r="S130" s="161"/>
      <x:c r="T130" s="161"/>
      <x:c r="U130" s="161"/>
      <x:c r="V130" s="161"/>
      <x:c r="W130" s="161"/>
      <x:c r="X130" s="161"/>
      <x:c r="Y130" s="161"/>
      <x:c r="Z130" s="161"/>
    </x:row>
    <x:row r="131">
      <x:c r="A131" s="161"/>
      <x:c r="B131" s="161"/>
      <x:c r="C131" s="161"/>
      <x:c r="D131" s="161"/>
      <x:c r="E131" s="161"/>
      <x:c r="F131" s="161"/>
      <x:c r="G131" s="161"/>
      <x:c r="H131" s="161"/>
      <x:c r="I131" s="161"/>
      <x:c r="J131" s="161"/>
      <x:c r="K131" s="161"/>
      <x:c r="L131" s="161"/>
      <x:c r="M131" s="161"/>
      <x:c r="N131" s="161"/>
      <x:c r="O131" s="161"/>
      <x:c r="P131" s="161"/>
      <x:c r="Q131" s="161"/>
      <x:c r="R131" s="161"/>
      <x:c r="S131" s="161"/>
      <x:c r="T131" s="161"/>
      <x:c r="U131" s="161"/>
      <x:c r="V131" s="161"/>
      <x:c r="W131" s="161"/>
      <x:c r="X131" s="161"/>
      <x:c r="Y131" s="161"/>
      <x:c r="Z131" s="161"/>
    </x:row>
    <x:row r="132">
      <x:c r="A132" s="161"/>
      <x:c r="B132" s="161"/>
      <x:c r="C132" s="161"/>
      <x:c r="D132" s="161"/>
      <x:c r="E132" s="161"/>
      <x:c r="F132" s="161"/>
      <x:c r="G132" s="161"/>
      <x:c r="H132" s="161"/>
      <x:c r="I132" s="161"/>
      <x:c r="J132" s="161"/>
      <x:c r="K132" s="161"/>
      <x:c r="L132" s="161"/>
      <x:c r="M132" s="161"/>
      <x:c r="N132" s="161"/>
      <x:c r="O132" s="161"/>
      <x:c r="P132" s="161"/>
      <x:c r="Q132" s="161"/>
      <x:c r="R132" s="161"/>
      <x:c r="S132" s="161"/>
      <x:c r="T132" s="161"/>
      <x:c r="U132" s="161"/>
      <x:c r="V132" s="161"/>
      <x:c r="W132" s="161"/>
      <x:c r="X132" s="161"/>
      <x:c r="Y132" s="161"/>
      <x:c r="Z132" s="161"/>
    </x:row>
    <x:row r="133">
      <x:c r="A133" s="161"/>
      <x:c r="B133" s="161"/>
      <x:c r="C133" s="161"/>
      <x:c r="D133" s="161"/>
      <x:c r="E133" s="161"/>
      <x:c r="F133" s="161"/>
      <x:c r="G133" s="161"/>
      <x:c r="H133" s="161"/>
      <x:c r="I133" s="161"/>
      <x:c r="J133" s="161"/>
      <x:c r="K133" s="161"/>
      <x:c r="L133" s="161"/>
      <x:c r="M133" s="161"/>
      <x:c r="N133" s="161"/>
      <x:c r="O133" s="161"/>
      <x:c r="P133" s="161"/>
      <x:c r="Q133" s="161"/>
      <x:c r="R133" s="161"/>
      <x:c r="S133" s="161"/>
      <x:c r="T133" s="161"/>
      <x:c r="U133" s="161"/>
      <x:c r="V133" s="161"/>
      <x:c r="W133" s="161"/>
      <x:c r="X133" s="161"/>
      <x:c r="Y133" s="161"/>
      <x:c r="Z133" s="161"/>
    </x:row>
    <x:row r="134">
      <x:c r="A134" s="161"/>
      <x:c r="B134" s="161"/>
      <x:c r="C134" s="161"/>
      <x:c r="D134" s="161"/>
      <x:c r="E134" s="161"/>
      <x:c r="F134" s="161"/>
      <x:c r="G134" s="161"/>
      <x:c r="H134" s="161"/>
      <x:c r="I134" s="161"/>
      <x:c r="J134" s="161"/>
      <x:c r="K134" s="161"/>
      <x:c r="L134" s="161"/>
      <x:c r="M134" s="161"/>
      <x:c r="N134" s="161"/>
      <x:c r="O134" s="161"/>
      <x:c r="P134" s="161"/>
      <x:c r="Q134" s="161"/>
      <x:c r="R134" s="161"/>
      <x:c r="S134" s="161"/>
      <x:c r="T134" s="161"/>
      <x:c r="U134" s="161"/>
      <x:c r="V134" s="161"/>
      <x:c r="W134" s="161"/>
      <x:c r="X134" s="161"/>
      <x:c r="Y134" s="161"/>
      <x:c r="Z134" s="161"/>
    </x:row>
    <x:row r="135">
      <x:c r="A135" s="161"/>
      <x:c r="B135" s="161"/>
      <x:c r="C135" s="161"/>
      <x:c r="D135" s="161"/>
      <x:c r="E135" s="161"/>
      <x:c r="F135" s="161"/>
      <x:c r="G135" s="161"/>
      <x:c r="H135" s="161"/>
      <x:c r="I135" s="161"/>
      <x:c r="J135" s="161"/>
      <x:c r="K135" s="161"/>
      <x:c r="L135" s="161"/>
      <x:c r="M135" s="161"/>
      <x:c r="N135" s="161"/>
      <x:c r="O135" s="161"/>
      <x:c r="P135" s="161"/>
      <x:c r="Q135" s="161"/>
      <x:c r="R135" s="161"/>
      <x:c r="S135" s="161"/>
      <x:c r="T135" s="161"/>
      <x:c r="U135" s="161"/>
      <x:c r="V135" s="161"/>
      <x:c r="W135" s="161"/>
      <x:c r="X135" s="161"/>
      <x:c r="Y135" s="161"/>
      <x:c r="Z135" s="161"/>
    </x:row>
    <x:row r="136">
      <x:c r="A136" s="161"/>
      <x:c r="B136" s="161"/>
      <x:c r="C136" s="161"/>
      <x:c r="D136" s="161"/>
      <x:c r="E136" s="161"/>
      <x:c r="F136" s="161"/>
      <x:c r="G136" s="161"/>
      <x:c r="H136" s="161"/>
      <x:c r="I136" s="161"/>
      <x:c r="J136" s="161"/>
      <x:c r="K136" s="161"/>
      <x:c r="L136" s="161"/>
      <x:c r="M136" s="161"/>
      <x:c r="N136" s="161"/>
      <x:c r="O136" s="161"/>
      <x:c r="P136" s="161"/>
      <x:c r="Q136" s="161"/>
      <x:c r="R136" s="161"/>
      <x:c r="S136" s="161"/>
      <x:c r="T136" s="161"/>
      <x:c r="U136" s="161"/>
      <x:c r="V136" s="161"/>
      <x:c r="W136" s="161"/>
      <x:c r="X136" s="161"/>
      <x:c r="Y136" s="161"/>
      <x:c r="Z136" s="161"/>
    </x:row>
    <x:row r="137">
      <x:c r="A137" s="161"/>
      <x:c r="B137" s="161"/>
      <x:c r="C137" s="161"/>
      <x:c r="D137" s="161"/>
      <x:c r="E137" s="161"/>
      <x:c r="F137" s="161"/>
      <x:c r="G137" s="161"/>
      <x:c r="H137" s="161"/>
      <x:c r="I137" s="161"/>
      <x:c r="J137" s="161"/>
      <x:c r="K137" s="161"/>
      <x:c r="L137" s="161"/>
      <x:c r="M137" s="161"/>
      <x:c r="N137" s="161"/>
      <x:c r="O137" s="161"/>
      <x:c r="P137" s="161"/>
      <x:c r="Q137" s="161"/>
      <x:c r="R137" s="161"/>
      <x:c r="S137" s="161"/>
      <x:c r="T137" s="161"/>
      <x:c r="U137" s="161"/>
      <x:c r="V137" s="161"/>
      <x:c r="W137" s="161"/>
      <x:c r="X137" s="161"/>
      <x:c r="Y137" s="161"/>
      <x:c r="Z137" s="161"/>
    </x:row>
    <x:row r="138">
      <x:c r="A138" s="161"/>
      <x:c r="B138" s="161"/>
      <x:c r="C138" s="161"/>
      <x:c r="D138" s="161"/>
      <x:c r="E138" s="161"/>
      <x:c r="F138" s="161"/>
      <x:c r="G138" s="161"/>
      <x:c r="H138" s="161"/>
      <x:c r="I138" s="161"/>
      <x:c r="J138" s="161"/>
      <x:c r="K138" s="161"/>
      <x:c r="L138" s="161"/>
      <x:c r="M138" s="161"/>
      <x:c r="N138" s="161"/>
      <x:c r="O138" s="161"/>
      <x:c r="P138" s="161"/>
      <x:c r="Q138" s="161"/>
      <x:c r="R138" s="161"/>
      <x:c r="S138" s="161"/>
      <x:c r="T138" s="161"/>
      <x:c r="U138" s="161"/>
      <x:c r="V138" s="161"/>
      <x:c r="W138" s="161"/>
      <x:c r="X138" s="161"/>
      <x:c r="Y138" s="161"/>
      <x:c r="Z138" s="161"/>
    </x:row>
    <x:row r="139">
      <x:c r="A139" s="161"/>
      <x:c r="B139" s="161"/>
      <x:c r="C139" s="161"/>
      <x:c r="D139" s="161"/>
      <x:c r="E139" s="161"/>
      <x:c r="F139" s="161"/>
      <x:c r="G139" s="161"/>
      <x:c r="H139" s="161"/>
      <x:c r="I139" s="161"/>
      <x:c r="J139" s="161"/>
      <x:c r="K139" s="161"/>
      <x:c r="L139" s="161"/>
      <x:c r="M139" s="161"/>
      <x:c r="N139" s="161"/>
      <x:c r="O139" s="161"/>
      <x:c r="P139" s="161"/>
      <x:c r="Q139" s="161"/>
      <x:c r="R139" s="161"/>
      <x:c r="S139" s="161"/>
      <x:c r="T139" s="161"/>
      <x:c r="U139" s="161"/>
      <x:c r="V139" s="161"/>
      <x:c r="W139" s="161"/>
      <x:c r="X139" s="161"/>
      <x:c r="Y139" s="161"/>
      <x:c r="Z139" s="161"/>
    </x:row>
    <x:row r="140">
      <x:c r="A140" s="161"/>
      <x:c r="B140" s="161"/>
      <x:c r="C140" s="161"/>
      <x:c r="D140" s="161"/>
      <x:c r="E140" s="161"/>
      <x:c r="F140" s="161"/>
      <x:c r="G140" s="161"/>
      <x:c r="H140" s="161"/>
      <x:c r="I140" s="161"/>
      <x:c r="J140" s="161"/>
      <x:c r="K140" s="161"/>
      <x:c r="L140" s="161"/>
      <x:c r="M140" s="161"/>
      <x:c r="N140" s="161"/>
      <x:c r="O140" s="161"/>
      <x:c r="P140" s="161"/>
      <x:c r="Q140" s="161"/>
      <x:c r="R140" s="161"/>
      <x:c r="S140" s="161"/>
      <x:c r="T140" s="161"/>
      <x:c r="U140" s="161"/>
      <x:c r="V140" s="161"/>
      <x:c r="W140" s="161"/>
      <x:c r="X140" s="161"/>
      <x:c r="Y140" s="161"/>
      <x:c r="Z140" s="161"/>
    </x:row>
    <x:row r="141">
      <x:c r="A141" s="161"/>
      <x:c r="B141" s="161"/>
      <x:c r="C141" s="161"/>
      <x:c r="D141" s="161"/>
      <x:c r="E141" s="161"/>
      <x:c r="F141" s="161"/>
      <x:c r="G141" s="161"/>
      <x:c r="H141" s="161"/>
      <x:c r="I141" s="161"/>
      <x:c r="J141" s="161"/>
      <x:c r="K141" s="161"/>
      <x:c r="L141" s="161"/>
      <x:c r="M141" s="161"/>
      <x:c r="N141" s="161"/>
      <x:c r="O141" s="161"/>
      <x:c r="P141" s="161"/>
      <x:c r="Q141" s="161"/>
      <x:c r="R141" s="161"/>
      <x:c r="S141" s="161"/>
      <x:c r="T141" s="161"/>
      <x:c r="U141" s="161"/>
      <x:c r="V141" s="161"/>
      <x:c r="W141" s="161"/>
      <x:c r="X141" s="161"/>
      <x:c r="Y141" s="161"/>
      <x:c r="Z141" s="161"/>
    </x:row>
    <x:row r="142">
      <x:c r="A142" s="161"/>
      <x:c r="B142" s="161"/>
      <x:c r="C142" s="161"/>
      <x:c r="D142" s="161"/>
      <x:c r="E142" s="161"/>
      <x:c r="F142" s="161"/>
      <x:c r="G142" s="161"/>
      <x:c r="H142" s="161"/>
      <x:c r="I142" s="161"/>
      <x:c r="J142" s="161"/>
      <x:c r="K142" s="161"/>
      <x:c r="L142" s="161"/>
      <x:c r="M142" s="161"/>
      <x:c r="N142" s="161"/>
      <x:c r="O142" s="161"/>
      <x:c r="P142" s="161"/>
      <x:c r="Q142" s="161"/>
      <x:c r="R142" s="161"/>
      <x:c r="S142" s="161"/>
      <x:c r="T142" s="161"/>
      <x:c r="U142" s="161"/>
      <x:c r="V142" s="161"/>
      <x:c r="W142" s="161"/>
      <x:c r="X142" s="161"/>
      <x:c r="Y142" s="161"/>
      <x:c r="Z142" s="161"/>
    </x:row>
    <x:row r="143">
      <x:c r="A143" s="161"/>
      <x:c r="B143" s="161"/>
      <x:c r="C143" s="161"/>
      <x:c r="D143" s="161"/>
      <x:c r="E143" s="161"/>
      <x:c r="F143" s="161"/>
      <x:c r="G143" s="161"/>
      <x:c r="H143" s="161"/>
      <x:c r="I143" s="161"/>
      <x:c r="J143" s="161"/>
      <x:c r="K143" s="161"/>
      <x:c r="L143" s="161"/>
      <x:c r="M143" s="161"/>
      <x:c r="N143" s="161"/>
      <x:c r="O143" s="161"/>
      <x:c r="P143" s="161"/>
      <x:c r="Q143" s="161"/>
      <x:c r="R143" s="161"/>
      <x:c r="S143" s="161"/>
      <x:c r="T143" s="161"/>
      <x:c r="U143" s="161"/>
      <x:c r="V143" s="161"/>
      <x:c r="W143" s="161"/>
      <x:c r="X143" s="161"/>
      <x:c r="Y143" s="161"/>
      <x:c r="Z143" s="161"/>
    </x:row>
    <x:row r="144">
      <x:c r="A144" s="161"/>
      <x:c r="B144" s="161"/>
      <x:c r="C144" s="161"/>
      <x:c r="D144" s="161"/>
      <x:c r="E144" s="161"/>
      <x:c r="F144" s="161"/>
      <x:c r="G144" s="161"/>
      <x:c r="H144" s="161"/>
      <x:c r="I144" s="161"/>
      <x:c r="J144" s="161"/>
      <x:c r="K144" s="161"/>
      <x:c r="L144" s="161"/>
      <x:c r="M144" s="161"/>
      <x:c r="N144" s="161"/>
      <x:c r="O144" s="161"/>
      <x:c r="P144" s="161"/>
      <x:c r="Q144" s="161"/>
      <x:c r="R144" s="161"/>
      <x:c r="S144" s="161"/>
      <x:c r="T144" s="161"/>
      <x:c r="U144" s="161"/>
      <x:c r="V144" s="161"/>
      <x:c r="W144" s="161"/>
      <x:c r="X144" s="161"/>
      <x:c r="Y144" s="161"/>
      <x:c r="Z144" s="161"/>
    </x:row>
    <x:row r="145">
      <x:c r="A145" s="161"/>
      <x:c r="B145" s="161"/>
      <x:c r="C145" s="161"/>
      <x:c r="D145" s="161"/>
      <x:c r="E145" s="161"/>
      <x:c r="F145" s="161"/>
      <x:c r="G145" s="161"/>
      <x:c r="H145" s="161"/>
      <x:c r="I145" s="161"/>
      <x:c r="J145" s="161"/>
      <x:c r="K145" s="161"/>
      <x:c r="L145" s="161"/>
      <x:c r="M145" s="161"/>
      <x:c r="N145" s="161"/>
      <x:c r="O145" s="161"/>
      <x:c r="P145" s="161"/>
      <x:c r="Q145" s="161"/>
      <x:c r="R145" s="161"/>
      <x:c r="S145" s="161"/>
      <x:c r="T145" s="161"/>
      <x:c r="U145" s="161"/>
      <x:c r="V145" s="161"/>
      <x:c r="W145" s="161"/>
      <x:c r="X145" s="161"/>
      <x:c r="Y145" s="161"/>
      <x:c r="Z145" s="161"/>
    </x:row>
    <x:row r="146">
      <x:c r="A146" s="161"/>
      <x:c r="B146" s="161"/>
      <x:c r="C146" s="161"/>
      <x:c r="D146" s="161"/>
      <x:c r="E146" s="161"/>
      <x:c r="F146" s="161"/>
      <x:c r="G146" s="161"/>
      <x:c r="H146" s="161"/>
      <x:c r="I146" s="161"/>
      <x:c r="J146" s="161"/>
      <x:c r="K146" s="161"/>
      <x:c r="L146" s="161"/>
      <x:c r="M146" s="161"/>
      <x:c r="N146" s="161"/>
      <x:c r="O146" s="161"/>
      <x:c r="P146" s="161"/>
      <x:c r="Q146" s="161"/>
      <x:c r="R146" s="161"/>
      <x:c r="S146" s="161"/>
      <x:c r="T146" s="161"/>
      <x:c r="U146" s="161"/>
      <x:c r="V146" s="161"/>
      <x:c r="W146" s="161"/>
      <x:c r="X146" s="161"/>
      <x:c r="Y146" s="161"/>
      <x:c r="Z146" s="161"/>
    </x:row>
    <x:row r="147">
      <x:c r="A147" s="161"/>
      <x:c r="B147" s="161"/>
      <x:c r="C147" s="161"/>
      <x:c r="D147" s="161"/>
      <x:c r="E147" s="161"/>
      <x:c r="F147" s="161"/>
      <x:c r="G147" s="161"/>
      <x:c r="H147" s="161"/>
      <x:c r="I147" s="161"/>
      <x:c r="J147" s="161"/>
      <x:c r="K147" s="161"/>
      <x:c r="L147" s="161"/>
      <x:c r="M147" s="161"/>
      <x:c r="N147" s="161"/>
      <x:c r="O147" s="161"/>
      <x:c r="P147" s="161"/>
      <x:c r="Q147" s="161"/>
      <x:c r="R147" s="161"/>
      <x:c r="S147" s="161"/>
      <x:c r="T147" s="161"/>
      <x:c r="U147" s="161"/>
      <x:c r="V147" s="161"/>
      <x:c r="W147" s="161"/>
      <x:c r="X147" s="161"/>
      <x:c r="Y147" s="161"/>
      <x:c r="Z147" s="161"/>
    </x:row>
    <x:row r="148">
      <x:c r="A148" s="161"/>
      <x:c r="B148" s="161"/>
      <x:c r="C148" s="161"/>
      <x:c r="D148" s="161"/>
      <x:c r="E148" s="161"/>
      <x:c r="F148" s="161"/>
      <x:c r="G148" s="161"/>
      <x:c r="H148" s="161"/>
      <x:c r="I148" s="161"/>
      <x:c r="J148" s="161"/>
      <x:c r="K148" s="161"/>
      <x:c r="L148" s="161"/>
      <x:c r="M148" s="161"/>
      <x:c r="N148" s="161"/>
      <x:c r="O148" s="161"/>
      <x:c r="P148" s="161"/>
      <x:c r="Q148" s="161"/>
      <x:c r="R148" s="161"/>
      <x:c r="S148" s="161"/>
      <x:c r="T148" s="161"/>
      <x:c r="U148" s="161"/>
      <x:c r="V148" s="161"/>
      <x:c r="W148" s="161"/>
      <x:c r="X148" s="161"/>
      <x:c r="Y148" s="161"/>
      <x:c r="Z148" s="161"/>
    </x:row>
    <x:row r="149">
      <x:c r="A149" s="161"/>
      <x:c r="B149" s="161"/>
      <x:c r="C149" s="161"/>
      <x:c r="D149" s="161"/>
      <x:c r="E149" s="161"/>
      <x:c r="F149" s="161"/>
      <x:c r="G149" s="161"/>
      <x:c r="H149" s="161"/>
      <x:c r="I149" s="161"/>
      <x:c r="J149" s="161"/>
      <x:c r="K149" s="161"/>
      <x:c r="L149" s="161"/>
      <x:c r="M149" s="161"/>
      <x:c r="N149" s="161"/>
      <x:c r="O149" s="161"/>
      <x:c r="P149" s="161"/>
      <x:c r="Q149" s="161"/>
      <x:c r="R149" s="161"/>
      <x:c r="S149" s="161"/>
      <x:c r="T149" s="161"/>
      <x:c r="U149" s="161"/>
      <x:c r="V149" s="161"/>
      <x:c r="W149" s="161"/>
      <x:c r="X149" s="161"/>
      <x:c r="Y149" s="161"/>
      <x:c r="Z149" s="161"/>
    </x:row>
    <x:row r="150">
      <x:c r="A150" s="161"/>
      <x:c r="B150" s="161"/>
      <x:c r="C150" s="161"/>
      <x:c r="D150" s="161"/>
      <x:c r="E150" s="161"/>
      <x:c r="F150" s="161"/>
      <x:c r="G150" s="161"/>
      <x:c r="H150" s="161"/>
      <x:c r="I150" s="161"/>
      <x:c r="J150" s="161"/>
      <x:c r="K150" s="161"/>
      <x:c r="L150" s="161"/>
      <x:c r="M150" s="161"/>
      <x:c r="N150" s="161"/>
      <x:c r="O150" s="161"/>
      <x:c r="P150" s="161"/>
      <x:c r="Q150" s="161"/>
      <x:c r="R150" s="161"/>
      <x:c r="S150" s="161"/>
      <x:c r="T150" s="161"/>
      <x:c r="U150" s="161"/>
      <x:c r="V150" s="161"/>
      <x:c r="W150" s="161"/>
      <x:c r="X150" s="161"/>
      <x:c r="Y150" s="161"/>
      <x:c r="Z150" s="161"/>
    </x:row>
    <x:row r="151">
      <x:c r="A151" s="161"/>
      <x:c r="B151" s="161"/>
      <x:c r="C151" s="161"/>
      <x:c r="D151" s="161"/>
      <x:c r="E151" s="161"/>
      <x:c r="F151" s="161"/>
      <x:c r="G151" s="161"/>
      <x:c r="H151" s="161"/>
      <x:c r="I151" s="161"/>
      <x:c r="J151" s="161"/>
      <x:c r="K151" s="161"/>
      <x:c r="L151" s="161"/>
      <x:c r="M151" s="161"/>
      <x:c r="N151" s="161"/>
      <x:c r="O151" s="161"/>
      <x:c r="P151" s="161"/>
      <x:c r="Q151" s="161"/>
      <x:c r="R151" s="161"/>
      <x:c r="S151" s="161"/>
      <x:c r="T151" s="161"/>
      <x:c r="U151" s="161"/>
      <x:c r="V151" s="161"/>
      <x:c r="W151" s="161"/>
      <x:c r="X151" s="161"/>
      <x:c r="Y151" s="161"/>
      <x:c r="Z151" s="161"/>
    </x:row>
    <x:row r="152">
      <x:c r="A152" s="161"/>
      <x:c r="B152" s="161"/>
      <x:c r="C152" s="161"/>
      <x:c r="D152" s="161"/>
      <x:c r="E152" s="161"/>
      <x:c r="F152" s="161"/>
      <x:c r="G152" s="161"/>
      <x:c r="H152" s="161"/>
      <x:c r="I152" s="161"/>
      <x:c r="J152" s="161"/>
      <x:c r="K152" s="161"/>
      <x:c r="L152" s="161"/>
      <x:c r="M152" s="161"/>
      <x:c r="N152" s="161"/>
      <x:c r="O152" s="161"/>
      <x:c r="P152" s="161"/>
      <x:c r="Q152" s="161"/>
      <x:c r="R152" s="161"/>
      <x:c r="S152" s="161"/>
      <x:c r="T152" s="161"/>
      <x:c r="U152" s="161"/>
      <x:c r="V152" s="161"/>
      <x:c r="W152" s="161"/>
      <x:c r="X152" s="161"/>
      <x:c r="Y152" s="161"/>
      <x:c r="Z152" s="161"/>
    </x:row>
    <x:row r="153">
      <x:c r="A153" s="161"/>
      <x:c r="B153" s="161"/>
      <x:c r="C153" s="161"/>
      <x:c r="D153" s="161"/>
      <x:c r="E153" s="161"/>
      <x:c r="F153" s="161"/>
      <x:c r="G153" s="161"/>
      <x:c r="H153" s="161"/>
      <x:c r="I153" s="161"/>
      <x:c r="J153" s="161"/>
      <x:c r="K153" s="161"/>
      <x:c r="L153" s="161"/>
      <x:c r="M153" s="161"/>
      <x:c r="N153" s="161"/>
      <x:c r="O153" s="161"/>
      <x:c r="P153" s="161"/>
      <x:c r="Q153" s="161"/>
      <x:c r="R153" s="161"/>
      <x:c r="S153" s="161"/>
      <x:c r="T153" s="161"/>
      <x:c r="U153" s="161"/>
      <x:c r="V153" s="161"/>
      <x:c r="W153" s="161"/>
      <x:c r="X153" s="161"/>
      <x:c r="Y153" s="161"/>
      <x:c r="Z153" s="161"/>
    </x:row>
    <x:row r="154">
      <x:c r="A154" s="161"/>
      <x:c r="B154" s="161"/>
      <x:c r="C154" s="161"/>
      <x:c r="D154" s="161"/>
      <x:c r="E154" s="161"/>
      <x:c r="F154" s="161"/>
      <x:c r="G154" s="161"/>
      <x:c r="H154" s="161"/>
      <x:c r="I154" s="161"/>
      <x:c r="J154" s="161"/>
      <x:c r="K154" s="161"/>
      <x:c r="L154" s="161"/>
      <x:c r="M154" s="161"/>
      <x:c r="N154" s="161"/>
      <x:c r="O154" s="161"/>
      <x:c r="P154" s="161"/>
      <x:c r="Q154" s="161"/>
      <x:c r="R154" s="161"/>
      <x:c r="S154" s="161"/>
      <x:c r="T154" s="161"/>
      <x:c r="U154" s="161"/>
      <x:c r="V154" s="161"/>
      <x:c r="W154" s="161"/>
      <x:c r="X154" s="161"/>
      <x:c r="Y154" s="161"/>
      <x:c r="Z154" s="161"/>
    </x:row>
    <x:row r="155">
      <x:c r="A155" s="161"/>
      <x:c r="B155" s="161"/>
      <x:c r="C155" s="161"/>
      <x:c r="D155" s="161"/>
      <x:c r="E155" s="161"/>
      <x:c r="F155" s="161"/>
      <x:c r="G155" s="161"/>
      <x:c r="H155" s="161"/>
      <x:c r="I155" s="161"/>
      <x:c r="J155" s="161"/>
      <x:c r="K155" s="161"/>
      <x:c r="L155" s="161"/>
      <x:c r="M155" s="161"/>
      <x:c r="N155" s="161"/>
      <x:c r="O155" s="161"/>
      <x:c r="P155" s="161"/>
      <x:c r="Q155" s="161"/>
      <x:c r="R155" s="161"/>
      <x:c r="S155" s="161"/>
      <x:c r="T155" s="161"/>
      <x:c r="U155" s="161"/>
      <x:c r="V155" s="161"/>
      <x:c r="W155" s="161"/>
      <x:c r="X155" s="161"/>
      <x:c r="Y155" s="161"/>
      <x:c r="Z155" s="161"/>
    </x:row>
    <x:row r="156">
      <x:c r="A156" s="161"/>
      <x:c r="B156" s="161"/>
      <x:c r="C156" s="161"/>
      <x:c r="D156" s="161"/>
      <x:c r="E156" s="161"/>
      <x:c r="F156" s="161"/>
      <x:c r="G156" s="161"/>
      <x:c r="H156" s="161"/>
      <x:c r="I156" s="161"/>
      <x:c r="J156" s="161"/>
      <x:c r="K156" s="161"/>
      <x:c r="L156" s="161"/>
      <x:c r="M156" s="161"/>
      <x:c r="N156" s="161"/>
      <x:c r="O156" s="161"/>
      <x:c r="P156" s="161"/>
      <x:c r="Q156" s="161"/>
      <x:c r="R156" s="161"/>
      <x:c r="S156" s="161"/>
      <x:c r="T156" s="161"/>
      <x:c r="U156" s="161"/>
      <x:c r="V156" s="161"/>
      <x:c r="W156" s="161"/>
      <x:c r="X156" s="161"/>
      <x:c r="Y156" s="161"/>
      <x:c r="Z156" s="161"/>
    </x:row>
    <x:row r="157">
      <x:c r="A157" s="161"/>
      <x:c r="B157" s="161"/>
      <x:c r="C157" s="161"/>
      <x:c r="D157" s="161"/>
      <x:c r="E157" s="161"/>
      <x:c r="F157" s="161"/>
      <x:c r="G157" s="161"/>
      <x:c r="H157" s="161"/>
      <x:c r="I157" s="161"/>
      <x:c r="J157" s="161"/>
      <x:c r="K157" s="161"/>
      <x:c r="L157" s="161"/>
      <x:c r="M157" s="161"/>
      <x:c r="N157" s="161"/>
      <x:c r="O157" s="161"/>
      <x:c r="P157" s="161"/>
      <x:c r="Q157" s="161"/>
      <x:c r="R157" s="161"/>
      <x:c r="S157" s="161"/>
      <x:c r="T157" s="161"/>
      <x:c r="U157" s="161"/>
      <x:c r="V157" s="161"/>
      <x:c r="W157" s="161"/>
      <x:c r="X157" s="161"/>
      <x:c r="Y157" s="161"/>
      <x:c r="Z157" s="161"/>
    </x:row>
    <x:row r="158">
      <x:c r="A158" s="161"/>
      <x:c r="B158" s="161"/>
      <x:c r="C158" s="161"/>
      <x:c r="D158" s="161"/>
      <x:c r="E158" s="161"/>
      <x:c r="F158" s="161"/>
      <x:c r="G158" s="161"/>
      <x:c r="H158" s="161"/>
      <x:c r="I158" s="161"/>
      <x:c r="J158" s="161"/>
      <x:c r="K158" s="161"/>
      <x:c r="L158" s="161"/>
      <x:c r="M158" s="161"/>
      <x:c r="N158" s="161"/>
      <x:c r="O158" s="161"/>
      <x:c r="P158" s="161"/>
      <x:c r="Q158" s="161"/>
      <x:c r="R158" s="161"/>
      <x:c r="S158" s="161"/>
      <x:c r="T158" s="161"/>
      <x:c r="U158" s="161"/>
      <x:c r="V158" s="161"/>
      <x:c r="W158" s="161"/>
      <x:c r="X158" s="161"/>
      <x:c r="Y158" s="161"/>
      <x:c r="Z158" s="161"/>
    </x:row>
    <x:row r="159">
      <x:c r="A159" s="161"/>
      <x:c r="B159" s="161"/>
      <x:c r="C159" s="161"/>
      <x:c r="D159" s="161"/>
      <x:c r="E159" s="161"/>
      <x:c r="F159" s="161"/>
      <x:c r="G159" s="161"/>
      <x:c r="H159" s="161"/>
      <x:c r="I159" s="161"/>
      <x:c r="J159" s="161"/>
      <x:c r="K159" s="161"/>
      <x:c r="L159" s="161"/>
      <x:c r="M159" s="161"/>
      <x:c r="N159" s="161"/>
      <x:c r="O159" s="161"/>
      <x:c r="P159" s="161"/>
      <x:c r="Q159" s="161"/>
      <x:c r="R159" s="161"/>
      <x:c r="S159" s="161"/>
      <x:c r="T159" s="161"/>
      <x:c r="U159" s="161"/>
      <x:c r="V159" s="161"/>
      <x:c r="W159" s="161"/>
      <x:c r="X159" s="161"/>
      <x:c r="Y159" s="161"/>
      <x:c r="Z159" s="161"/>
    </x:row>
    <x:row r="160">
      <x:c r="A160" s="161"/>
      <x:c r="B160" s="161"/>
      <x:c r="C160" s="161"/>
      <x:c r="D160" s="161"/>
      <x:c r="E160" s="161"/>
      <x:c r="F160" s="161"/>
      <x:c r="G160" s="161"/>
      <x:c r="H160" s="161"/>
      <x:c r="I160" s="161"/>
      <x:c r="J160" s="161"/>
      <x:c r="K160" s="161"/>
      <x:c r="L160" s="161"/>
      <x:c r="M160" s="161"/>
      <x:c r="N160" s="161"/>
      <x:c r="O160" s="161"/>
      <x:c r="P160" s="161"/>
      <x:c r="Q160" s="161"/>
      <x:c r="R160" s="161"/>
      <x:c r="S160" s="161"/>
      <x:c r="T160" s="161"/>
      <x:c r="U160" s="161"/>
      <x:c r="V160" s="161"/>
      <x:c r="W160" s="161"/>
      <x:c r="X160" s="161"/>
      <x:c r="Y160" s="161"/>
      <x:c r="Z160" s="161"/>
    </x:row>
    <x:row r="161">
      <x:c r="A161" s="161"/>
      <x:c r="B161" s="161"/>
      <x:c r="C161" s="161"/>
      <x:c r="D161" s="161"/>
      <x:c r="E161" s="161"/>
      <x:c r="F161" s="161"/>
      <x:c r="G161" s="161"/>
      <x:c r="H161" s="161"/>
      <x:c r="I161" s="161"/>
      <x:c r="J161" s="161"/>
      <x:c r="K161" s="161"/>
      <x:c r="L161" s="161"/>
      <x:c r="M161" s="161"/>
      <x:c r="N161" s="161"/>
      <x:c r="O161" s="161"/>
      <x:c r="P161" s="161"/>
      <x:c r="Q161" s="161"/>
      <x:c r="R161" s="161"/>
      <x:c r="S161" s="161"/>
      <x:c r="T161" s="161"/>
      <x:c r="U161" s="161"/>
      <x:c r="V161" s="161"/>
      <x:c r="W161" s="161"/>
      <x:c r="X161" s="161"/>
      <x:c r="Y161" s="161"/>
      <x:c r="Z161" s="161"/>
    </x:row>
    <x:row r="162">
      <x:c r="A162" s="161"/>
      <x:c r="B162" s="161"/>
      <x:c r="C162" s="161"/>
      <x:c r="D162" s="161"/>
      <x:c r="E162" s="161"/>
      <x:c r="F162" s="161"/>
      <x:c r="G162" s="161"/>
      <x:c r="H162" s="161"/>
      <x:c r="I162" s="161"/>
      <x:c r="J162" s="161"/>
      <x:c r="K162" s="161"/>
      <x:c r="L162" s="161"/>
      <x:c r="M162" s="161"/>
      <x:c r="N162" s="161"/>
      <x:c r="O162" s="161"/>
      <x:c r="P162" s="161"/>
      <x:c r="Q162" s="161"/>
      <x:c r="R162" s="161"/>
      <x:c r="S162" s="161"/>
      <x:c r="T162" s="161"/>
      <x:c r="U162" s="161"/>
      <x:c r="V162" s="161"/>
      <x:c r="W162" s="161"/>
      <x:c r="X162" s="161"/>
      <x:c r="Y162" s="161"/>
      <x:c r="Z162" s="161"/>
    </x:row>
    <x:row r="163">
      <x:c r="A163" s="161"/>
      <x:c r="B163" s="161"/>
      <x:c r="C163" s="161"/>
      <x:c r="D163" s="161"/>
      <x:c r="E163" s="161"/>
      <x:c r="F163" s="161"/>
      <x:c r="G163" s="161"/>
      <x:c r="H163" s="161"/>
      <x:c r="I163" s="161"/>
      <x:c r="J163" s="161"/>
      <x:c r="K163" s="161"/>
      <x:c r="L163" s="161"/>
      <x:c r="M163" s="161"/>
      <x:c r="N163" s="161"/>
      <x:c r="O163" s="161"/>
      <x:c r="P163" s="161"/>
      <x:c r="Q163" s="161"/>
      <x:c r="R163" s="161"/>
      <x:c r="S163" s="161"/>
      <x:c r="T163" s="161"/>
      <x:c r="U163" s="161"/>
      <x:c r="V163" s="161"/>
      <x:c r="W163" s="161"/>
      <x:c r="X163" s="161"/>
      <x:c r="Y163" s="161"/>
      <x:c r="Z163" s="161"/>
    </x:row>
    <x:row r="164">
      <x:c r="A164" s="161"/>
      <x:c r="B164" s="161"/>
      <x:c r="C164" s="161"/>
      <x:c r="D164" s="161"/>
      <x:c r="E164" s="161"/>
      <x:c r="F164" s="161"/>
      <x:c r="G164" s="161"/>
      <x:c r="H164" s="161"/>
      <x:c r="I164" s="161"/>
      <x:c r="J164" s="161"/>
      <x:c r="K164" s="161"/>
      <x:c r="L164" s="161"/>
      <x:c r="M164" s="161"/>
      <x:c r="N164" s="161"/>
      <x:c r="O164" s="161"/>
      <x:c r="P164" s="161"/>
      <x:c r="Q164" s="161"/>
      <x:c r="R164" s="161"/>
      <x:c r="S164" s="161"/>
      <x:c r="T164" s="161"/>
      <x:c r="U164" s="161"/>
      <x:c r="V164" s="161"/>
      <x:c r="W164" s="161"/>
      <x:c r="X164" s="161"/>
      <x:c r="Y164" s="161"/>
      <x:c r="Z164" s="161"/>
    </x:row>
    <x:row r="165">
      <x:c r="A165" s="161"/>
      <x:c r="B165" s="161"/>
      <x:c r="C165" s="161"/>
      <x:c r="D165" s="161"/>
      <x:c r="E165" s="161"/>
      <x:c r="F165" s="161"/>
      <x:c r="G165" s="161"/>
      <x:c r="H165" s="161"/>
      <x:c r="I165" s="161"/>
      <x:c r="J165" s="161"/>
      <x:c r="K165" s="161"/>
      <x:c r="L165" s="161"/>
      <x:c r="M165" s="161"/>
      <x:c r="N165" s="161"/>
      <x:c r="O165" s="161"/>
      <x:c r="P165" s="161"/>
      <x:c r="Q165" s="161"/>
      <x:c r="R165" s="161"/>
      <x:c r="S165" s="161"/>
      <x:c r="T165" s="161"/>
      <x:c r="U165" s="161"/>
      <x:c r="V165" s="161"/>
      <x:c r="W165" s="161"/>
      <x:c r="X165" s="161"/>
      <x:c r="Y165" s="161"/>
      <x:c r="Z165" s="161"/>
    </x:row>
    <x:row r="166">
      <x:c r="A166" s="161"/>
      <x:c r="B166" s="161"/>
      <x:c r="C166" s="161"/>
      <x:c r="D166" s="161"/>
      <x:c r="E166" s="161"/>
      <x:c r="F166" s="161"/>
      <x:c r="G166" s="161"/>
      <x:c r="H166" s="161"/>
      <x:c r="I166" s="161"/>
      <x:c r="J166" s="161"/>
      <x:c r="K166" s="161"/>
      <x:c r="L166" s="161"/>
      <x:c r="M166" s="161"/>
      <x:c r="N166" s="161"/>
      <x:c r="O166" s="161"/>
      <x:c r="P166" s="161"/>
      <x:c r="Q166" s="161"/>
      <x:c r="R166" s="161"/>
      <x:c r="S166" s="161"/>
      <x:c r="T166" s="161"/>
      <x:c r="U166" s="161"/>
      <x:c r="V166" s="161"/>
      <x:c r="W166" s="161"/>
      <x:c r="X166" s="161"/>
      <x:c r="Y166" s="161"/>
      <x:c r="Z166" s="161"/>
    </x:row>
    <x:row r="167">
      <x:c r="A167" s="161"/>
      <x:c r="B167" s="161"/>
      <x:c r="C167" s="161"/>
      <x:c r="D167" s="161"/>
      <x:c r="E167" s="161"/>
      <x:c r="F167" s="161"/>
      <x:c r="G167" s="161"/>
      <x:c r="H167" s="161"/>
      <x:c r="I167" s="161"/>
      <x:c r="J167" s="161"/>
      <x:c r="K167" s="161"/>
      <x:c r="L167" s="161"/>
      <x:c r="M167" s="161"/>
      <x:c r="N167" s="161"/>
      <x:c r="O167" s="161"/>
      <x:c r="P167" s="161"/>
      <x:c r="Q167" s="161"/>
      <x:c r="R167" s="161"/>
      <x:c r="S167" s="161"/>
      <x:c r="T167" s="161"/>
      <x:c r="U167" s="161"/>
      <x:c r="V167" s="161"/>
      <x:c r="W167" s="161"/>
      <x:c r="X167" s="161"/>
      <x:c r="Y167" s="161"/>
      <x:c r="Z167" s="161"/>
    </x:row>
    <x:row r="168">
      <x:c r="A168" s="161"/>
      <x:c r="B168" s="161"/>
      <x:c r="C168" s="161"/>
      <x:c r="D168" s="161"/>
      <x:c r="E168" s="161"/>
      <x:c r="F168" s="161"/>
      <x:c r="G168" s="161"/>
      <x:c r="H168" s="161"/>
      <x:c r="I168" s="161"/>
      <x:c r="J168" s="161"/>
      <x:c r="K168" s="161"/>
      <x:c r="L168" s="161"/>
      <x:c r="M168" s="161"/>
      <x:c r="N168" s="161"/>
      <x:c r="O168" s="161"/>
      <x:c r="P168" s="161"/>
      <x:c r="Q168" s="161"/>
      <x:c r="R168" s="161"/>
      <x:c r="S168" s="161"/>
      <x:c r="T168" s="161"/>
      <x:c r="U168" s="161"/>
      <x:c r="V168" s="161"/>
      <x:c r="W168" s="161"/>
      <x:c r="X168" s="161"/>
      <x:c r="Y168" s="161"/>
      <x:c r="Z168" s="161"/>
    </x:row>
    <x:row r="169">
      <x:c r="A169" s="161"/>
      <x:c r="B169" s="161"/>
      <x:c r="C169" s="161"/>
      <x:c r="D169" s="161"/>
      <x:c r="E169" s="161"/>
      <x:c r="F169" s="161"/>
      <x:c r="G169" s="161"/>
      <x:c r="H169" s="161"/>
      <x:c r="I169" s="161"/>
      <x:c r="J169" s="161"/>
      <x:c r="K169" s="161"/>
      <x:c r="L169" s="161"/>
      <x:c r="M169" s="161"/>
      <x:c r="N169" s="161"/>
      <x:c r="O169" s="161"/>
      <x:c r="P169" s="161"/>
      <x:c r="Q169" s="161"/>
      <x:c r="R169" s="161"/>
      <x:c r="S169" s="161"/>
      <x:c r="T169" s="161"/>
      <x:c r="U169" s="161"/>
      <x:c r="V169" s="161"/>
      <x:c r="W169" s="161"/>
      <x:c r="X169" s="161"/>
      <x:c r="Y169" s="161"/>
      <x:c r="Z169" s="161"/>
    </x:row>
    <x:row r="170">
      <x:c r="A170" s="161"/>
      <x:c r="B170" s="161"/>
      <x:c r="C170" s="161"/>
      <x:c r="D170" s="161"/>
      <x:c r="E170" s="161"/>
      <x:c r="F170" s="161"/>
      <x:c r="G170" s="161"/>
      <x:c r="H170" s="161"/>
      <x:c r="I170" s="161"/>
      <x:c r="J170" s="161"/>
      <x:c r="K170" s="161"/>
      <x:c r="L170" s="161"/>
      <x:c r="M170" s="161"/>
      <x:c r="N170" s="161"/>
      <x:c r="O170" s="161"/>
      <x:c r="P170" s="161"/>
      <x:c r="Q170" s="161"/>
      <x:c r="R170" s="161"/>
      <x:c r="S170" s="161"/>
      <x:c r="T170" s="161"/>
      <x:c r="U170" s="161"/>
      <x:c r="V170" s="161"/>
      <x:c r="W170" s="161"/>
      <x:c r="X170" s="161"/>
      <x:c r="Y170" s="161"/>
      <x:c r="Z170" s="161"/>
    </x:row>
    <x:row r="171">
      <x:c r="A171" s="161"/>
      <x:c r="B171" s="161"/>
      <x:c r="C171" s="161"/>
      <x:c r="D171" s="161"/>
      <x:c r="E171" s="161"/>
      <x:c r="F171" s="161"/>
      <x:c r="G171" s="161"/>
      <x:c r="H171" s="161"/>
      <x:c r="I171" s="161"/>
      <x:c r="J171" s="161"/>
      <x:c r="K171" s="161"/>
      <x:c r="L171" s="161"/>
      <x:c r="M171" s="161"/>
      <x:c r="N171" s="161"/>
      <x:c r="O171" s="161"/>
      <x:c r="P171" s="161"/>
      <x:c r="Q171" s="161"/>
      <x:c r="R171" s="161"/>
      <x:c r="S171" s="161"/>
      <x:c r="T171" s="161"/>
      <x:c r="U171" s="161"/>
      <x:c r="V171" s="161"/>
      <x:c r="W171" s="161"/>
      <x:c r="X171" s="161"/>
      <x:c r="Y171" s="161"/>
      <x:c r="Z171" s="161"/>
    </x:row>
    <x:row r="172">
      <x:c r="A172" s="161"/>
      <x:c r="B172" s="161"/>
      <x:c r="C172" s="161"/>
      <x:c r="D172" s="161"/>
      <x:c r="E172" s="161"/>
      <x:c r="F172" s="161"/>
      <x:c r="G172" s="161"/>
      <x:c r="H172" s="161"/>
      <x:c r="I172" s="161"/>
      <x:c r="J172" s="161"/>
      <x:c r="K172" s="161"/>
      <x:c r="L172" s="161"/>
      <x:c r="M172" s="161"/>
      <x:c r="N172" s="161"/>
      <x:c r="O172" s="161"/>
      <x:c r="P172" s="161"/>
      <x:c r="Q172" s="161"/>
      <x:c r="R172" s="161"/>
      <x:c r="S172" s="161"/>
      <x:c r="T172" s="161"/>
      <x:c r="U172" s="161"/>
      <x:c r="V172" s="161"/>
      <x:c r="W172" s="161"/>
      <x:c r="X172" s="161"/>
      <x:c r="Y172" s="161"/>
      <x:c r="Z172" s="161"/>
    </x:row>
    <x:row r="173">
      <x:c r="A173" s="161"/>
      <x:c r="B173" s="161"/>
      <x:c r="C173" s="161"/>
      <x:c r="D173" s="161"/>
      <x:c r="E173" s="161"/>
      <x:c r="F173" s="161"/>
      <x:c r="G173" s="161"/>
      <x:c r="H173" s="161"/>
      <x:c r="I173" s="161"/>
      <x:c r="J173" s="161"/>
      <x:c r="K173" s="161"/>
      <x:c r="L173" s="161"/>
      <x:c r="M173" s="161"/>
      <x:c r="N173" s="161"/>
      <x:c r="O173" s="161"/>
      <x:c r="P173" s="161"/>
      <x:c r="Q173" s="161"/>
      <x:c r="R173" s="161"/>
      <x:c r="S173" s="161"/>
      <x:c r="T173" s="161"/>
      <x:c r="U173" s="161"/>
      <x:c r="V173" s="161"/>
      <x:c r="W173" s="161"/>
      <x:c r="X173" s="161"/>
      <x:c r="Y173" s="161"/>
      <x:c r="Z173" s="161"/>
    </x:row>
    <x:row r="174">
      <x:c r="A174" s="161"/>
      <x:c r="B174" s="161"/>
      <x:c r="C174" s="161"/>
      <x:c r="D174" s="161"/>
      <x:c r="E174" s="161"/>
      <x:c r="F174" s="161"/>
      <x:c r="G174" s="161"/>
      <x:c r="H174" s="161"/>
      <x:c r="I174" s="161"/>
      <x:c r="J174" s="161"/>
      <x:c r="K174" s="161"/>
      <x:c r="L174" s="161"/>
      <x:c r="M174" s="161"/>
      <x:c r="N174" s="161"/>
      <x:c r="O174" s="161"/>
      <x:c r="P174" s="161"/>
      <x:c r="Q174" s="161"/>
      <x:c r="R174" s="161"/>
      <x:c r="S174" s="161"/>
      <x:c r="T174" s="161"/>
      <x:c r="U174" s="161"/>
      <x:c r="V174" s="161"/>
      <x:c r="W174" s="161"/>
      <x:c r="X174" s="161"/>
      <x:c r="Y174" s="161"/>
      <x:c r="Z174" s="161"/>
    </x:row>
    <x:row r="175">
      <x:c r="A175" s="161"/>
      <x:c r="B175" s="161"/>
      <x:c r="C175" s="161"/>
      <x:c r="D175" s="161"/>
      <x:c r="E175" s="161"/>
      <x:c r="F175" s="161"/>
      <x:c r="G175" s="161"/>
      <x:c r="H175" s="161"/>
      <x:c r="I175" s="161"/>
      <x:c r="J175" s="161"/>
      <x:c r="K175" s="161"/>
      <x:c r="L175" s="161"/>
      <x:c r="M175" s="161"/>
      <x:c r="N175" s="161"/>
      <x:c r="O175" s="161"/>
      <x:c r="P175" s="161"/>
      <x:c r="Q175" s="161"/>
      <x:c r="R175" s="161"/>
      <x:c r="S175" s="161"/>
      <x:c r="T175" s="161"/>
      <x:c r="U175" s="161"/>
      <x:c r="V175" s="161"/>
      <x:c r="W175" s="161"/>
      <x:c r="X175" s="161"/>
      <x:c r="Y175" s="161"/>
      <x:c r="Z175" s="161"/>
    </x:row>
    <x:row r="176">
      <x:c r="A176" s="161"/>
      <x:c r="B176" s="161"/>
      <x:c r="C176" s="161"/>
      <x:c r="D176" s="161"/>
      <x:c r="E176" s="161"/>
      <x:c r="F176" s="161"/>
      <x:c r="G176" s="161"/>
      <x:c r="H176" s="161"/>
      <x:c r="I176" s="161"/>
      <x:c r="J176" s="161"/>
      <x:c r="K176" s="161"/>
      <x:c r="L176" s="161"/>
      <x:c r="M176" s="161"/>
      <x:c r="N176" s="161"/>
      <x:c r="O176" s="161"/>
      <x:c r="P176" s="161"/>
      <x:c r="Q176" s="161"/>
      <x:c r="R176" s="161"/>
      <x:c r="S176" s="161"/>
      <x:c r="T176" s="161"/>
      <x:c r="U176" s="161"/>
      <x:c r="V176" s="161"/>
      <x:c r="W176" s="161"/>
      <x:c r="X176" s="161"/>
      <x:c r="Y176" s="161"/>
      <x:c r="Z176" s="161"/>
    </x:row>
    <x:row r="177">
      <x:c r="A177" s="161"/>
      <x:c r="B177" s="161"/>
      <x:c r="C177" s="161"/>
      <x:c r="D177" s="161"/>
      <x:c r="E177" s="161"/>
      <x:c r="F177" s="161"/>
      <x:c r="G177" s="161"/>
      <x:c r="H177" s="161"/>
      <x:c r="I177" s="161"/>
      <x:c r="J177" s="161"/>
      <x:c r="K177" s="161"/>
      <x:c r="L177" s="161"/>
      <x:c r="M177" s="161"/>
      <x:c r="N177" s="161"/>
      <x:c r="O177" s="161"/>
      <x:c r="P177" s="161"/>
      <x:c r="Q177" s="161"/>
      <x:c r="R177" s="161"/>
      <x:c r="S177" s="161"/>
      <x:c r="T177" s="161"/>
      <x:c r="U177" s="161"/>
      <x:c r="V177" s="161"/>
      <x:c r="W177" s="161"/>
      <x:c r="X177" s="161"/>
      <x:c r="Y177" s="161"/>
      <x:c r="Z177" s="161"/>
    </x:row>
    <x:row r="178">
      <x:c r="A178" s="161"/>
      <x:c r="B178" s="161"/>
      <x:c r="C178" s="161"/>
      <x:c r="D178" s="161"/>
      <x:c r="E178" s="161"/>
      <x:c r="F178" s="161"/>
      <x:c r="G178" s="161"/>
      <x:c r="H178" s="161"/>
      <x:c r="I178" s="161"/>
      <x:c r="J178" s="161"/>
      <x:c r="K178" s="161"/>
      <x:c r="L178" s="161"/>
      <x:c r="M178" s="161"/>
      <x:c r="N178" s="161"/>
      <x:c r="O178" s="161"/>
      <x:c r="P178" s="161"/>
      <x:c r="Q178" s="161"/>
      <x:c r="R178" s="161"/>
      <x:c r="S178" s="161"/>
      <x:c r="T178" s="161"/>
      <x:c r="U178" s="161"/>
      <x:c r="V178" s="161"/>
      <x:c r="W178" s="161"/>
      <x:c r="X178" s="161"/>
      <x:c r="Y178" s="161"/>
      <x:c r="Z178" s="161"/>
    </x:row>
    <x:row r="179">
      <x:c r="A179" s="161"/>
      <x:c r="B179" s="161"/>
      <x:c r="C179" s="161"/>
      <x:c r="D179" s="161"/>
      <x:c r="E179" s="161"/>
      <x:c r="F179" s="161"/>
      <x:c r="G179" s="161"/>
      <x:c r="H179" s="161"/>
      <x:c r="I179" s="161"/>
      <x:c r="J179" s="161"/>
      <x:c r="K179" s="161"/>
      <x:c r="L179" s="161"/>
      <x:c r="M179" s="161"/>
      <x:c r="N179" s="161"/>
      <x:c r="O179" s="161"/>
      <x:c r="P179" s="161"/>
      <x:c r="Q179" s="161"/>
      <x:c r="R179" s="161"/>
      <x:c r="S179" s="161"/>
      <x:c r="T179" s="161"/>
      <x:c r="U179" s="161"/>
      <x:c r="V179" s="161"/>
      <x:c r="W179" s="161"/>
      <x:c r="X179" s="161"/>
      <x:c r="Y179" s="161"/>
      <x:c r="Z179" s="161"/>
    </x:row>
    <x:row r="180">
      <x:c r="A180" s="161"/>
      <x:c r="B180" s="161"/>
      <x:c r="C180" s="161"/>
      <x:c r="D180" s="161"/>
      <x:c r="E180" s="161"/>
      <x:c r="F180" s="161"/>
      <x:c r="G180" s="161"/>
      <x:c r="H180" s="161"/>
      <x:c r="I180" s="161"/>
      <x:c r="J180" s="161"/>
      <x:c r="K180" s="161"/>
      <x:c r="L180" s="161"/>
      <x:c r="M180" s="161"/>
      <x:c r="N180" s="161"/>
      <x:c r="O180" s="161"/>
      <x:c r="P180" s="161"/>
      <x:c r="Q180" s="161"/>
      <x:c r="R180" s="161"/>
      <x:c r="S180" s="161"/>
      <x:c r="T180" s="161"/>
      <x:c r="U180" s="161"/>
      <x:c r="V180" s="161"/>
      <x:c r="W180" s="161"/>
      <x:c r="X180" s="161"/>
      <x:c r="Y180" s="161"/>
      <x:c r="Z180" s="161"/>
    </x:row>
    <x:row r="181">
      <x:c r="A181" s="161"/>
      <x:c r="B181" s="161"/>
      <x:c r="C181" s="161"/>
      <x:c r="D181" s="161"/>
      <x:c r="E181" s="161"/>
      <x:c r="F181" s="161"/>
      <x:c r="G181" s="161"/>
      <x:c r="H181" s="161"/>
      <x:c r="I181" s="161"/>
      <x:c r="J181" s="161"/>
      <x:c r="K181" s="161"/>
      <x:c r="L181" s="161"/>
      <x:c r="M181" s="161"/>
      <x:c r="N181" s="161"/>
      <x:c r="O181" s="161"/>
      <x:c r="P181" s="161"/>
      <x:c r="Q181" s="161"/>
      <x:c r="R181" s="161"/>
      <x:c r="S181" s="161"/>
      <x:c r="T181" s="161"/>
      <x:c r="U181" s="161"/>
      <x:c r="V181" s="161"/>
      <x:c r="W181" s="161"/>
      <x:c r="X181" s="161"/>
      <x:c r="Y181" s="161"/>
      <x:c r="Z181" s="161"/>
    </x:row>
    <x:row r="182">
      <x:c r="A182" s="161"/>
      <x:c r="B182" s="161"/>
      <x:c r="C182" s="161"/>
      <x:c r="D182" s="161"/>
      <x:c r="E182" s="161"/>
      <x:c r="F182" s="161"/>
      <x:c r="G182" s="161"/>
      <x:c r="H182" s="161"/>
      <x:c r="I182" s="161"/>
      <x:c r="J182" s="161"/>
      <x:c r="K182" s="161"/>
      <x:c r="L182" s="161"/>
      <x:c r="M182" s="161"/>
      <x:c r="N182" s="161"/>
      <x:c r="O182" s="161"/>
      <x:c r="P182" s="161"/>
      <x:c r="Q182" s="161"/>
      <x:c r="R182" s="161"/>
      <x:c r="S182" s="161"/>
      <x:c r="T182" s="161"/>
      <x:c r="U182" s="161"/>
      <x:c r="V182" s="161"/>
      <x:c r="W182" s="161"/>
      <x:c r="X182" s="161"/>
      <x:c r="Y182" s="161"/>
      <x:c r="Z182" s="161"/>
    </x:row>
    <x:row r="183">
      <x:c r="A183" s="161"/>
      <x:c r="B183" s="161"/>
      <x:c r="C183" s="161"/>
      <x:c r="D183" s="161"/>
      <x:c r="E183" s="161"/>
      <x:c r="F183" s="161"/>
      <x:c r="G183" s="161"/>
      <x:c r="H183" s="161"/>
      <x:c r="I183" s="161"/>
      <x:c r="J183" s="161"/>
      <x:c r="K183" s="161"/>
      <x:c r="L183" s="161"/>
      <x:c r="M183" s="161"/>
      <x:c r="N183" s="161"/>
      <x:c r="O183" s="161"/>
      <x:c r="P183" s="161"/>
      <x:c r="Q183" s="161"/>
      <x:c r="R183" s="161"/>
      <x:c r="S183" s="161"/>
      <x:c r="T183" s="161"/>
      <x:c r="U183" s="161"/>
      <x:c r="V183" s="161"/>
      <x:c r="W183" s="161"/>
      <x:c r="X183" s="161"/>
      <x:c r="Y183" s="161"/>
      <x:c r="Z183" s="161"/>
    </x:row>
    <x:row r="184">
      <x:c r="A184" s="161"/>
      <x:c r="B184" s="161"/>
      <x:c r="C184" s="161"/>
      <x:c r="D184" s="161"/>
      <x:c r="E184" s="161"/>
      <x:c r="F184" s="161"/>
      <x:c r="G184" s="161"/>
      <x:c r="H184" s="161"/>
      <x:c r="I184" s="161"/>
      <x:c r="J184" s="161"/>
      <x:c r="K184" s="161"/>
      <x:c r="L184" s="161"/>
      <x:c r="M184" s="161"/>
      <x:c r="N184" s="161"/>
      <x:c r="O184" s="161"/>
      <x:c r="P184" s="161"/>
      <x:c r="Q184" s="161"/>
      <x:c r="R184" s="161"/>
      <x:c r="S184" s="161"/>
      <x:c r="T184" s="161"/>
      <x:c r="U184" s="161"/>
      <x:c r="V184" s="161"/>
      <x:c r="W184" s="161"/>
      <x:c r="X184" s="161"/>
      <x:c r="Y184" s="161"/>
      <x:c r="Z184" s="161"/>
    </x:row>
    <x:row r="185">
      <x:c r="A185" s="161"/>
      <x:c r="B185" s="161"/>
      <x:c r="C185" s="161"/>
      <x:c r="D185" s="161"/>
      <x:c r="E185" s="161"/>
      <x:c r="F185" s="161"/>
      <x:c r="G185" s="161"/>
      <x:c r="H185" s="161"/>
      <x:c r="I185" s="161"/>
      <x:c r="J185" s="161"/>
      <x:c r="K185" s="161"/>
      <x:c r="L185" s="161"/>
      <x:c r="M185" s="161"/>
      <x:c r="N185" s="161"/>
      <x:c r="O185" s="161"/>
      <x:c r="P185" s="161"/>
      <x:c r="Q185" s="161"/>
      <x:c r="R185" s="161"/>
      <x:c r="S185" s="161"/>
      <x:c r="T185" s="161"/>
      <x:c r="U185" s="161"/>
      <x:c r="V185" s="161"/>
      <x:c r="W185" s="161"/>
      <x:c r="X185" s="161"/>
      <x:c r="Y185" s="161"/>
      <x:c r="Z185" s="161"/>
    </x:row>
    <x:row r="186">
      <x:c r="A186" s="161"/>
      <x:c r="B186" s="161"/>
      <x:c r="C186" s="161"/>
      <x:c r="D186" s="161"/>
      <x:c r="E186" s="161"/>
      <x:c r="F186" s="161"/>
      <x:c r="G186" s="161"/>
      <x:c r="H186" s="161"/>
      <x:c r="I186" s="161"/>
      <x:c r="J186" s="161"/>
      <x:c r="K186" s="161"/>
      <x:c r="L186" s="161"/>
      <x:c r="M186" s="161"/>
      <x:c r="N186" s="161"/>
      <x:c r="O186" s="161"/>
      <x:c r="P186" s="161"/>
      <x:c r="Q186" s="161"/>
      <x:c r="R186" s="161"/>
      <x:c r="S186" s="161"/>
      <x:c r="T186" s="161"/>
      <x:c r="U186" s="161"/>
      <x:c r="V186" s="161"/>
      <x:c r="W186" s="161"/>
      <x:c r="X186" s="161"/>
      <x:c r="Y186" s="161"/>
      <x:c r="Z186" s="161"/>
    </x:row>
    <x:row r="187">
      <x:c r="A187" s="161"/>
      <x:c r="B187" s="161"/>
      <x:c r="C187" s="161"/>
      <x:c r="D187" s="161"/>
      <x:c r="E187" s="161"/>
      <x:c r="F187" s="161"/>
      <x:c r="G187" s="161"/>
      <x:c r="H187" s="161"/>
      <x:c r="I187" s="161"/>
      <x:c r="J187" s="161"/>
      <x:c r="K187" s="161"/>
      <x:c r="L187" s="161"/>
      <x:c r="M187" s="161"/>
      <x:c r="N187" s="161"/>
      <x:c r="O187" s="161"/>
      <x:c r="P187" s="161"/>
      <x:c r="Q187" s="161"/>
      <x:c r="R187" s="161"/>
      <x:c r="S187" s="161"/>
      <x:c r="T187" s="161"/>
      <x:c r="U187" s="161"/>
      <x:c r="V187" s="161"/>
      <x:c r="W187" s="161"/>
      <x:c r="X187" s="161"/>
      <x:c r="Y187" s="161"/>
      <x:c r="Z187" s="161"/>
    </x:row>
    <x:row r="188">
      <x:c r="A188" s="161"/>
      <x:c r="B188" s="161"/>
      <x:c r="C188" s="161"/>
      <x:c r="D188" s="161"/>
      <x:c r="E188" s="161"/>
      <x:c r="F188" s="161"/>
      <x:c r="G188" s="161"/>
      <x:c r="H188" s="161"/>
      <x:c r="I188" s="161"/>
      <x:c r="J188" s="161"/>
      <x:c r="K188" s="161"/>
      <x:c r="L188" s="161"/>
      <x:c r="M188" s="161"/>
      <x:c r="N188" s="161"/>
      <x:c r="O188" s="161"/>
      <x:c r="P188" s="161"/>
      <x:c r="Q188" s="161"/>
      <x:c r="R188" s="161"/>
      <x:c r="S188" s="161"/>
      <x:c r="T188" s="161"/>
      <x:c r="U188" s="161"/>
      <x:c r="V188" s="161"/>
      <x:c r="W188" s="161"/>
      <x:c r="X188" s="161"/>
      <x:c r="Y188" s="161"/>
      <x:c r="Z188" s="161"/>
    </x:row>
    <x:row r="189">
      <x:c r="A189" s="161"/>
      <x:c r="B189" s="161"/>
      <x:c r="C189" s="161"/>
      <x:c r="D189" s="161"/>
      <x:c r="E189" s="161"/>
      <x:c r="F189" s="161"/>
      <x:c r="G189" s="161"/>
      <x:c r="H189" s="161"/>
      <x:c r="I189" s="161"/>
      <x:c r="J189" s="161"/>
      <x:c r="K189" s="161"/>
      <x:c r="L189" s="161"/>
      <x:c r="M189" s="161"/>
      <x:c r="N189" s="161"/>
      <x:c r="O189" s="161"/>
      <x:c r="P189" s="161"/>
      <x:c r="Q189" s="161"/>
      <x:c r="R189" s="161"/>
      <x:c r="S189" s="161"/>
      <x:c r="T189" s="161"/>
      <x:c r="U189" s="161"/>
      <x:c r="V189" s="161"/>
      <x:c r="W189" s="161"/>
      <x:c r="X189" s="161"/>
      <x:c r="Y189" s="161"/>
      <x:c r="Z189" s="161"/>
    </x:row>
    <x:row r="190">
      <x:c r="A190" s="161"/>
      <x:c r="B190" s="161"/>
      <x:c r="C190" s="161"/>
      <x:c r="D190" s="161"/>
      <x:c r="E190" s="161"/>
      <x:c r="F190" s="161"/>
      <x:c r="G190" s="161"/>
      <x:c r="H190" s="161"/>
      <x:c r="I190" s="161"/>
      <x:c r="J190" s="161"/>
      <x:c r="K190" s="161"/>
      <x:c r="L190" s="161"/>
      <x:c r="M190" s="161"/>
      <x:c r="N190" s="161"/>
      <x:c r="O190" s="161"/>
      <x:c r="P190" s="161"/>
      <x:c r="Q190" s="161"/>
      <x:c r="R190" s="161"/>
      <x:c r="S190" s="161"/>
      <x:c r="T190" s="161"/>
      <x:c r="U190" s="161"/>
      <x:c r="V190" s="161"/>
      <x:c r="W190" s="161"/>
      <x:c r="X190" s="161"/>
      <x:c r="Y190" s="161"/>
      <x:c r="Z190" s="161"/>
    </x:row>
    <x:row r="191">
      <x:c r="A191" s="161"/>
      <x:c r="B191" s="161"/>
      <x:c r="C191" s="161"/>
      <x:c r="D191" s="161"/>
      <x:c r="E191" s="161"/>
      <x:c r="F191" s="161"/>
      <x:c r="G191" s="161"/>
      <x:c r="H191" s="161"/>
      <x:c r="I191" s="161"/>
      <x:c r="J191" s="161"/>
      <x:c r="K191" s="161"/>
      <x:c r="L191" s="161"/>
      <x:c r="M191" s="161"/>
      <x:c r="N191" s="161"/>
      <x:c r="O191" s="161"/>
      <x:c r="P191" s="161"/>
      <x:c r="Q191" s="161"/>
      <x:c r="R191" s="161"/>
      <x:c r="S191" s="161"/>
      <x:c r="T191" s="161"/>
      <x:c r="U191" s="161"/>
      <x:c r="V191" s="161"/>
      <x:c r="W191" s="161"/>
      <x:c r="X191" s="161"/>
      <x:c r="Y191" s="161"/>
      <x:c r="Z191" s="161"/>
    </x:row>
    <x:row r="192">
      <x:c r="A192" s="161"/>
      <x:c r="B192" s="161"/>
      <x:c r="C192" s="161"/>
      <x:c r="D192" s="161"/>
      <x:c r="E192" s="161"/>
      <x:c r="F192" s="161"/>
      <x:c r="G192" s="161"/>
      <x:c r="H192" s="161"/>
      <x:c r="I192" s="161"/>
      <x:c r="J192" s="161"/>
      <x:c r="K192" s="161"/>
      <x:c r="L192" s="161"/>
      <x:c r="M192" s="161"/>
      <x:c r="N192" s="161"/>
      <x:c r="O192" s="161"/>
      <x:c r="P192" s="161"/>
      <x:c r="Q192" s="161"/>
      <x:c r="R192" s="161"/>
      <x:c r="S192" s="161"/>
      <x:c r="T192" s="161"/>
      <x:c r="U192" s="161"/>
      <x:c r="V192" s="161"/>
      <x:c r="W192" s="161"/>
      <x:c r="X192" s="161"/>
      <x:c r="Y192" s="161"/>
      <x:c r="Z192" s="161"/>
    </x:row>
    <x:row r="193">
      <x:c r="A193" s="161"/>
      <x:c r="B193" s="161"/>
      <x:c r="C193" s="161"/>
      <x:c r="D193" s="161"/>
      <x:c r="E193" s="161"/>
      <x:c r="F193" s="161"/>
      <x:c r="G193" s="161"/>
      <x:c r="H193" s="161"/>
      <x:c r="I193" s="161"/>
      <x:c r="J193" s="161"/>
      <x:c r="K193" s="161"/>
      <x:c r="L193" s="161"/>
      <x:c r="M193" s="161"/>
      <x:c r="N193" s="161"/>
      <x:c r="O193" s="161"/>
      <x:c r="P193" s="161"/>
      <x:c r="Q193" s="161"/>
      <x:c r="R193" s="161"/>
      <x:c r="S193" s="161"/>
      <x:c r="T193" s="161"/>
      <x:c r="U193" s="161"/>
      <x:c r="V193" s="161"/>
      <x:c r="W193" s="161"/>
      <x:c r="X193" s="161"/>
      <x:c r="Y193" s="161"/>
      <x:c r="Z193" s="161"/>
    </x:row>
    <x:row r="194">
      <x:c r="A194" s="161"/>
      <x:c r="B194" s="161"/>
      <x:c r="C194" s="161"/>
      <x:c r="D194" s="161"/>
      <x:c r="E194" s="161"/>
      <x:c r="F194" s="161"/>
      <x:c r="G194" s="161"/>
      <x:c r="H194" s="161"/>
      <x:c r="I194" s="161"/>
      <x:c r="J194" s="161"/>
      <x:c r="K194" s="161"/>
      <x:c r="L194" s="161"/>
      <x:c r="M194" s="161"/>
      <x:c r="N194" s="161"/>
      <x:c r="O194" s="161"/>
      <x:c r="P194" s="161"/>
      <x:c r="Q194" s="161"/>
      <x:c r="R194" s="161"/>
      <x:c r="S194" s="161"/>
      <x:c r="T194" s="161"/>
      <x:c r="U194" s="161"/>
      <x:c r="V194" s="161"/>
      <x:c r="W194" s="161"/>
      <x:c r="X194" s="161"/>
      <x:c r="Y194" s="161"/>
      <x:c r="Z194" s="161"/>
    </x:row>
    <x:row r="195">
      <x:c r="A195" s="161"/>
      <x:c r="B195" s="161"/>
      <x:c r="C195" s="161"/>
      <x:c r="D195" s="161"/>
      <x:c r="E195" s="161"/>
      <x:c r="F195" s="161"/>
      <x:c r="G195" s="161"/>
      <x:c r="H195" s="161"/>
      <x:c r="I195" s="161"/>
      <x:c r="J195" s="161"/>
      <x:c r="K195" s="161"/>
      <x:c r="L195" s="161"/>
      <x:c r="M195" s="161"/>
      <x:c r="N195" s="161"/>
      <x:c r="O195" s="161"/>
      <x:c r="P195" s="161"/>
      <x:c r="Q195" s="161"/>
      <x:c r="R195" s="161"/>
      <x:c r="S195" s="161"/>
      <x:c r="T195" s="161"/>
      <x:c r="U195" s="161"/>
      <x:c r="V195" s="161"/>
      <x:c r="W195" s="161"/>
      <x:c r="X195" s="161"/>
      <x:c r="Y195" s="161"/>
      <x:c r="Z195" s="161"/>
    </x:row>
    <x:row r="196">
      <x:c r="A196" s="161"/>
      <x:c r="B196" s="161"/>
      <x:c r="C196" s="161"/>
      <x:c r="D196" s="161"/>
      <x:c r="E196" s="161"/>
      <x:c r="F196" s="161"/>
      <x:c r="G196" s="161"/>
      <x:c r="H196" s="161"/>
      <x:c r="I196" s="161"/>
      <x:c r="J196" s="161"/>
      <x:c r="K196" s="161"/>
      <x:c r="L196" s="161"/>
      <x:c r="M196" s="161"/>
      <x:c r="N196" s="161"/>
      <x:c r="O196" s="161"/>
      <x:c r="P196" s="161"/>
      <x:c r="Q196" s="161"/>
      <x:c r="R196" s="161"/>
      <x:c r="S196" s="161"/>
      <x:c r="T196" s="161"/>
      <x:c r="U196" s="161"/>
      <x:c r="V196" s="161"/>
      <x:c r="W196" s="161"/>
      <x:c r="X196" s="161"/>
      <x:c r="Y196" s="161"/>
      <x:c r="Z196" s="161"/>
    </x:row>
    <x:row r="197">
      <x:c r="A197" s="161"/>
      <x:c r="B197" s="161"/>
      <x:c r="C197" s="161"/>
      <x:c r="D197" s="161"/>
      <x:c r="E197" s="161"/>
      <x:c r="F197" s="161"/>
      <x:c r="G197" s="161"/>
      <x:c r="H197" s="161"/>
      <x:c r="I197" s="161"/>
      <x:c r="J197" s="161"/>
      <x:c r="K197" s="161"/>
      <x:c r="L197" s="161"/>
      <x:c r="M197" s="161"/>
      <x:c r="N197" s="161"/>
      <x:c r="O197" s="161"/>
      <x:c r="P197" s="161"/>
      <x:c r="Q197" s="161"/>
      <x:c r="R197" s="161"/>
      <x:c r="S197" s="161"/>
      <x:c r="T197" s="161"/>
      <x:c r="U197" s="161"/>
      <x:c r="V197" s="161"/>
      <x:c r="W197" s="161"/>
      <x:c r="X197" s="161"/>
      <x:c r="Y197" s="161"/>
      <x:c r="Z197" s="161"/>
    </x:row>
    <x:row r="198">
      <x:c r="A198" s="161"/>
      <x:c r="B198" s="161"/>
      <x:c r="C198" s="161"/>
      <x:c r="D198" s="161"/>
      <x:c r="E198" s="161"/>
      <x:c r="F198" s="161"/>
      <x:c r="G198" s="161"/>
      <x:c r="H198" s="161"/>
      <x:c r="I198" s="161"/>
      <x:c r="J198" s="161"/>
      <x:c r="K198" s="161"/>
      <x:c r="L198" s="161"/>
      <x:c r="M198" s="161"/>
      <x:c r="N198" s="161"/>
      <x:c r="O198" s="161"/>
      <x:c r="P198" s="161"/>
      <x:c r="Q198" s="161"/>
      <x:c r="R198" s="161"/>
      <x:c r="S198" s="161"/>
      <x:c r="T198" s="161"/>
      <x:c r="U198" s="161"/>
      <x:c r="V198" s="161"/>
      <x:c r="W198" s="161"/>
      <x:c r="X198" s="161"/>
      <x:c r="Y198" s="161"/>
      <x:c r="Z198" s="161"/>
    </x:row>
    <x:row r="199">
      <x:c r="A199" s="161"/>
      <x:c r="B199" s="161"/>
      <x:c r="C199" s="161"/>
      <x:c r="D199" s="161"/>
      <x:c r="E199" s="161"/>
      <x:c r="F199" s="161"/>
      <x:c r="G199" s="161"/>
      <x:c r="H199" s="161"/>
      <x:c r="I199" s="161"/>
      <x:c r="J199" s="161"/>
      <x:c r="K199" s="161"/>
      <x:c r="L199" s="161"/>
      <x:c r="M199" s="161"/>
      <x:c r="N199" s="161"/>
      <x:c r="O199" s="161"/>
      <x:c r="P199" s="161"/>
      <x:c r="Q199" s="161"/>
      <x:c r="R199" s="161"/>
      <x:c r="S199" s="161"/>
      <x:c r="T199" s="161"/>
      <x:c r="U199" s="161"/>
      <x:c r="V199" s="161"/>
      <x:c r="W199" s="161"/>
      <x:c r="X199" s="161"/>
      <x:c r="Y199" s="161"/>
      <x:c r="Z199" s="161"/>
    </x:row>
    <x:row r="200">
      <x:c r="A200" s="161"/>
      <x:c r="B200" s="161"/>
      <x:c r="C200" s="161"/>
      <x:c r="D200" s="161"/>
      <x:c r="E200" s="161"/>
      <x:c r="F200" s="161"/>
      <x:c r="G200" s="161"/>
      <x:c r="H200" s="161"/>
      <x:c r="I200" s="161"/>
      <x:c r="J200" s="161"/>
      <x:c r="K200" s="161"/>
      <x:c r="L200" s="161"/>
      <x:c r="M200" s="161"/>
      <x:c r="N200" s="161"/>
      <x:c r="O200" s="161"/>
      <x:c r="P200" s="161"/>
      <x:c r="Q200" s="161"/>
      <x:c r="R200" s="161"/>
      <x:c r="S200" s="161"/>
      <x:c r="T200" s="161"/>
      <x:c r="U200" s="161"/>
      <x:c r="V200" s="161"/>
      <x:c r="W200" s="161"/>
      <x:c r="X200" s="161"/>
      <x:c r="Y200" s="161"/>
      <x:c r="Z200" s="161"/>
    </x:row>
    <x:row r="201">
      <x:c r="A201" s="161"/>
      <x:c r="B201" s="161"/>
      <x:c r="C201" s="161"/>
      <x:c r="D201" s="161"/>
      <x:c r="E201" s="161"/>
      <x:c r="F201" s="161"/>
      <x:c r="G201" s="161"/>
      <x:c r="H201" s="161"/>
      <x:c r="I201" s="161"/>
      <x:c r="J201" s="161"/>
      <x:c r="K201" s="161"/>
      <x:c r="L201" s="161"/>
      <x:c r="M201" s="161"/>
      <x:c r="N201" s="161"/>
      <x:c r="O201" s="161"/>
      <x:c r="P201" s="161"/>
      <x:c r="Q201" s="161"/>
      <x:c r="R201" s="161"/>
      <x:c r="S201" s="161"/>
      <x:c r="T201" s="161"/>
      <x:c r="U201" s="161"/>
      <x:c r="V201" s="161"/>
      <x:c r="W201" s="161"/>
      <x:c r="X201" s="161"/>
      <x:c r="Y201" s="161"/>
      <x:c r="Z201" s="161"/>
    </x:row>
    <x:row r="202">
      <x:c r="A202" s="161"/>
      <x:c r="B202" s="161"/>
      <x:c r="C202" s="161"/>
      <x:c r="D202" s="161"/>
      <x:c r="E202" s="161"/>
      <x:c r="F202" s="161"/>
      <x:c r="G202" s="161"/>
      <x:c r="H202" s="161"/>
      <x:c r="I202" s="161"/>
      <x:c r="J202" s="161"/>
      <x:c r="K202" s="161"/>
      <x:c r="L202" s="161"/>
      <x:c r="M202" s="161"/>
      <x:c r="N202" s="161"/>
      <x:c r="O202" s="161"/>
      <x:c r="P202" s="161"/>
      <x:c r="Q202" s="161"/>
      <x:c r="R202" s="161"/>
      <x:c r="S202" s="161"/>
      <x:c r="T202" s="161"/>
      <x:c r="U202" s="161"/>
      <x:c r="V202" s="161"/>
      <x:c r="W202" s="161"/>
      <x:c r="X202" s="161"/>
      <x:c r="Y202" s="161"/>
      <x:c r="Z202" s="161"/>
    </x:row>
    <x:row r="203">
      <x:c r="A203" s="161"/>
      <x:c r="B203" s="161"/>
      <x:c r="C203" s="161"/>
      <x:c r="D203" s="161"/>
      <x:c r="E203" s="161"/>
      <x:c r="F203" s="161"/>
      <x:c r="G203" s="161"/>
      <x:c r="H203" s="161"/>
      <x:c r="I203" s="161"/>
      <x:c r="J203" s="161"/>
      <x:c r="K203" s="161"/>
      <x:c r="L203" s="161"/>
      <x:c r="M203" s="161"/>
      <x:c r="N203" s="161"/>
      <x:c r="O203" s="161"/>
      <x:c r="P203" s="161"/>
      <x:c r="Q203" s="161"/>
      <x:c r="R203" s="161"/>
      <x:c r="S203" s="161"/>
      <x:c r="T203" s="161"/>
      <x:c r="U203" s="161"/>
      <x:c r="V203" s="161"/>
      <x:c r="W203" s="161"/>
      <x:c r="X203" s="161"/>
      <x:c r="Y203" s="161"/>
      <x:c r="Z203" s="161"/>
    </x:row>
    <x:row r="204">
      <x:c r="A204" s="161"/>
      <x:c r="B204" s="161"/>
      <x:c r="C204" s="161"/>
      <x:c r="D204" s="161"/>
      <x:c r="E204" s="161"/>
      <x:c r="F204" s="161"/>
      <x:c r="G204" s="161"/>
      <x:c r="H204" s="161"/>
      <x:c r="I204" s="161"/>
      <x:c r="J204" s="161"/>
      <x:c r="K204" s="161"/>
      <x:c r="L204" s="161"/>
      <x:c r="M204" s="161"/>
      <x:c r="N204" s="161"/>
      <x:c r="O204" s="161"/>
      <x:c r="P204" s="161"/>
      <x:c r="Q204" s="161"/>
      <x:c r="R204" s="161"/>
      <x:c r="S204" s="161"/>
      <x:c r="T204" s="161"/>
      <x:c r="U204" s="161"/>
      <x:c r="V204" s="161"/>
      <x:c r="W204" s="161"/>
      <x:c r="X204" s="161"/>
      <x:c r="Y204" s="161"/>
      <x:c r="Z204" s="161"/>
    </x:row>
    <x:row r="205">
      <x:c r="A205" s="161"/>
      <x:c r="B205" s="161"/>
      <x:c r="C205" s="161"/>
      <x:c r="D205" s="161"/>
      <x:c r="E205" s="161"/>
      <x:c r="F205" s="161"/>
      <x:c r="G205" s="161"/>
      <x:c r="H205" s="161"/>
      <x:c r="I205" s="161"/>
      <x:c r="J205" s="161"/>
      <x:c r="K205" s="161"/>
      <x:c r="L205" s="161"/>
      <x:c r="M205" s="161"/>
      <x:c r="N205" s="161"/>
      <x:c r="O205" s="161"/>
      <x:c r="P205" s="161"/>
      <x:c r="Q205" s="161"/>
      <x:c r="R205" s="161"/>
      <x:c r="S205" s="161"/>
      <x:c r="T205" s="161"/>
      <x:c r="U205" s="161"/>
      <x:c r="V205" s="161"/>
      <x:c r="W205" s="161"/>
      <x:c r="X205" s="161"/>
      <x:c r="Y205" s="161"/>
      <x:c r="Z205" s="161"/>
    </x:row>
    <x:row r="206">
      <x:c r="A206" s="161"/>
      <x:c r="B206" s="161"/>
      <x:c r="C206" s="161"/>
      <x:c r="D206" s="161"/>
      <x:c r="E206" s="161"/>
      <x:c r="F206" s="161"/>
      <x:c r="G206" s="161"/>
      <x:c r="H206" s="161"/>
      <x:c r="I206" s="161"/>
      <x:c r="J206" s="161"/>
      <x:c r="K206" s="161"/>
      <x:c r="L206" s="161"/>
      <x:c r="M206" s="161"/>
      <x:c r="N206" s="161"/>
      <x:c r="O206" s="161"/>
      <x:c r="P206" s="161"/>
      <x:c r="Q206" s="161"/>
      <x:c r="R206" s="161"/>
      <x:c r="S206" s="161"/>
      <x:c r="T206" s="161"/>
      <x:c r="U206" s="161"/>
      <x:c r="V206" s="161"/>
      <x:c r="W206" s="161"/>
      <x:c r="X206" s="161"/>
      <x:c r="Y206" s="161"/>
      <x:c r="Z206" s="161"/>
    </x:row>
    <x:row r="207">
      <x:c r="A207" s="161"/>
      <x:c r="B207" s="161"/>
      <x:c r="C207" s="161"/>
      <x:c r="D207" s="161"/>
      <x:c r="E207" s="161"/>
      <x:c r="F207" s="161"/>
      <x:c r="G207" s="161"/>
      <x:c r="H207" s="161"/>
      <x:c r="I207" s="161"/>
      <x:c r="J207" s="161"/>
      <x:c r="K207" s="161"/>
      <x:c r="L207" s="161"/>
      <x:c r="M207" s="161"/>
      <x:c r="N207" s="161"/>
      <x:c r="O207" s="161"/>
      <x:c r="P207" s="161"/>
      <x:c r="Q207" s="161"/>
      <x:c r="R207" s="161"/>
      <x:c r="S207" s="161"/>
      <x:c r="T207" s="161"/>
      <x:c r="U207" s="161"/>
      <x:c r="V207" s="161"/>
      <x:c r="W207" s="161"/>
      <x:c r="X207" s="161"/>
      <x:c r="Y207" s="161"/>
      <x:c r="Z207" s="161"/>
    </x:row>
    <x:row r="208">
      <x:c r="A208" s="161"/>
      <x:c r="B208" s="161"/>
      <x:c r="C208" s="161"/>
      <x:c r="D208" s="161"/>
      <x:c r="E208" s="161"/>
      <x:c r="F208" s="161"/>
      <x:c r="G208" s="161"/>
      <x:c r="H208" s="161"/>
      <x:c r="I208" s="161"/>
      <x:c r="J208" s="161"/>
      <x:c r="K208" s="161"/>
      <x:c r="L208" s="161"/>
      <x:c r="M208" s="161"/>
      <x:c r="N208" s="161"/>
      <x:c r="O208" s="161"/>
      <x:c r="P208" s="161"/>
      <x:c r="Q208" s="161"/>
      <x:c r="R208" s="161"/>
      <x:c r="S208" s="161"/>
      <x:c r="T208" s="161"/>
      <x:c r="U208" s="161"/>
      <x:c r="V208" s="161"/>
      <x:c r="W208" s="161"/>
      <x:c r="X208" s="161"/>
      <x:c r="Y208" s="161"/>
      <x:c r="Z208" s="161"/>
    </x:row>
    <x:row r="209">
      <x:c r="A209" s="161"/>
      <x:c r="B209" s="161"/>
      <x:c r="C209" s="161"/>
      <x:c r="D209" s="161"/>
      <x:c r="E209" s="161"/>
      <x:c r="F209" s="161"/>
      <x:c r="G209" s="161"/>
      <x:c r="H209" s="161"/>
      <x:c r="I209" s="161"/>
      <x:c r="J209" s="161"/>
      <x:c r="K209" s="161"/>
      <x:c r="L209" s="161"/>
      <x:c r="M209" s="161"/>
      <x:c r="N209" s="161"/>
      <x:c r="O209" s="161"/>
      <x:c r="P209" s="161"/>
      <x:c r="Q209" s="161"/>
      <x:c r="R209" s="161"/>
      <x:c r="S209" s="161"/>
      <x:c r="T209" s="161"/>
      <x:c r="U209" s="161"/>
      <x:c r="V209" s="161"/>
      <x:c r="W209" s="161"/>
      <x:c r="X209" s="161"/>
      <x:c r="Y209" s="161"/>
      <x:c r="Z209" s="161"/>
    </x:row>
    <x:row r="210">
      <x:c r="A210" s="161"/>
      <x:c r="B210" s="161"/>
      <x:c r="C210" s="161"/>
      <x:c r="D210" s="161"/>
      <x:c r="E210" s="161"/>
      <x:c r="F210" s="161"/>
      <x:c r="G210" s="161"/>
      <x:c r="H210" s="161"/>
      <x:c r="I210" s="161"/>
      <x:c r="J210" s="161"/>
      <x:c r="K210" s="161"/>
      <x:c r="L210" s="161"/>
      <x:c r="M210" s="161"/>
      <x:c r="N210" s="161"/>
      <x:c r="O210" s="161"/>
      <x:c r="P210" s="161"/>
      <x:c r="Q210" s="161"/>
      <x:c r="R210" s="161"/>
      <x:c r="S210" s="161"/>
      <x:c r="T210" s="161"/>
      <x:c r="U210" s="161"/>
      <x:c r="V210" s="161"/>
      <x:c r="W210" s="161"/>
      <x:c r="X210" s="161"/>
      <x:c r="Y210" s="161"/>
      <x:c r="Z210" s="161"/>
    </x:row>
    <x:row r="211">
      <x:c r="A211" s="161"/>
      <x:c r="B211" s="161"/>
      <x:c r="C211" s="161"/>
      <x:c r="D211" s="161"/>
      <x:c r="E211" s="161"/>
      <x:c r="F211" s="161"/>
      <x:c r="G211" s="161"/>
      <x:c r="H211" s="161"/>
      <x:c r="I211" s="161"/>
      <x:c r="J211" s="161"/>
      <x:c r="K211" s="161"/>
      <x:c r="L211" s="161"/>
      <x:c r="M211" s="161"/>
      <x:c r="N211" s="161"/>
      <x:c r="O211" s="161"/>
      <x:c r="P211" s="161"/>
      <x:c r="Q211" s="161"/>
      <x:c r="R211" s="161"/>
      <x:c r="S211" s="161"/>
      <x:c r="T211" s="161"/>
      <x:c r="U211" s="161"/>
      <x:c r="V211" s="161"/>
      <x:c r="W211" s="161"/>
      <x:c r="X211" s="161"/>
      <x:c r="Y211" s="161"/>
      <x:c r="Z211" s="161"/>
    </x:row>
    <x:row r="212">
      <x:c r="A212" s="161"/>
      <x:c r="B212" s="161"/>
      <x:c r="C212" s="161"/>
      <x:c r="D212" s="161"/>
      <x:c r="E212" s="161"/>
      <x:c r="F212" s="161"/>
      <x:c r="G212" s="161"/>
      <x:c r="H212" s="161"/>
      <x:c r="I212" s="161"/>
      <x:c r="J212" s="161"/>
      <x:c r="K212" s="161"/>
      <x:c r="L212" s="161"/>
      <x:c r="M212" s="161"/>
      <x:c r="N212" s="161"/>
      <x:c r="O212" s="161"/>
      <x:c r="P212" s="161"/>
      <x:c r="Q212" s="161"/>
      <x:c r="R212" s="161"/>
      <x:c r="S212" s="161"/>
      <x:c r="T212" s="161"/>
      <x:c r="U212" s="161"/>
      <x:c r="V212" s="161"/>
      <x:c r="W212" s="161"/>
      <x:c r="X212" s="161"/>
      <x:c r="Y212" s="161"/>
      <x:c r="Z212" s="161"/>
    </x:row>
    <x:row r="213">
      <x:c r="A213" s="161"/>
      <x:c r="B213" s="161"/>
      <x:c r="C213" s="161"/>
      <x:c r="D213" s="161"/>
      <x:c r="E213" s="161"/>
      <x:c r="F213" s="161"/>
      <x:c r="G213" s="161"/>
      <x:c r="H213" s="161"/>
      <x:c r="I213" s="161"/>
      <x:c r="J213" s="161"/>
      <x:c r="K213" s="161"/>
      <x:c r="L213" s="161"/>
      <x:c r="M213" s="161"/>
      <x:c r="N213" s="161"/>
      <x:c r="O213" s="161"/>
      <x:c r="P213" s="161"/>
      <x:c r="Q213" s="161"/>
      <x:c r="R213" s="161"/>
      <x:c r="S213" s="161"/>
      <x:c r="T213" s="161"/>
      <x:c r="U213" s="161"/>
      <x:c r="V213" s="161"/>
      <x:c r="W213" s="161"/>
      <x:c r="X213" s="161"/>
      <x:c r="Y213" s="161"/>
      <x:c r="Z213" s="161"/>
    </x:row>
    <x:row r="214">
      <x:c r="A214" s="161"/>
      <x:c r="B214" s="161"/>
      <x:c r="C214" s="161"/>
      <x:c r="D214" s="161"/>
      <x:c r="E214" s="161"/>
      <x:c r="F214" s="161"/>
      <x:c r="G214" s="161"/>
      <x:c r="H214" s="161"/>
      <x:c r="I214" s="161"/>
      <x:c r="J214" s="161"/>
      <x:c r="K214" s="161"/>
      <x:c r="L214" s="161"/>
      <x:c r="M214" s="161"/>
      <x:c r="N214" s="161"/>
      <x:c r="O214" s="161"/>
      <x:c r="P214" s="161"/>
      <x:c r="Q214" s="161"/>
      <x:c r="R214" s="161"/>
      <x:c r="S214" s="161"/>
      <x:c r="T214" s="161"/>
      <x:c r="U214" s="161"/>
      <x:c r="V214" s="161"/>
      <x:c r="W214" s="161"/>
      <x:c r="X214" s="161"/>
      <x:c r="Y214" s="161"/>
      <x:c r="Z214" s="161"/>
    </x:row>
    <x:row r="215">
      <x:c r="A215" s="161"/>
      <x:c r="B215" s="161"/>
      <x:c r="C215" s="161"/>
      <x:c r="D215" s="161"/>
      <x:c r="E215" s="161"/>
      <x:c r="F215" s="161"/>
      <x:c r="G215" s="161"/>
      <x:c r="H215" s="161"/>
      <x:c r="I215" s="161"/>
      <x:c r="J215" s="161"/>
      <x:c r="K215" s="161"/>
      <x:c r="L215" s="161"/>
      <x:c r="M215" s="161"/>
      <x:c r="N215" s="161"/>
      <x:c r="O215" s="161"/>
      <x:c r="P215" s="161"/>
      <x:c r="Q215" s="161"/>
      <x:c r="R215" s="161"/>
      <x:c r="S215" s="161"/>
      <x:c r="T215" s="161"/>
      <x:c r="U215" s="161"/>
      <x:c r="V215" s="161"/>
      <x:c r="W215" s="161"/>
      <x:c r="X215" s="161"/>
      <x:c r="Y215" s="161"/>
      <x:c r="Z215" s="161"/>
    </x:row>
    <x:row r="216">
      <x:c r="A216" s="161"/>
      <x:c r="B216" s="161"/>
      <x:c r="C216" s="161"/>
      <x:c r="D216" s="161"/>
      <x:c r="E216" s="161"/>
      <x:c r="F216" s="161"/>
      <x:c r="G216" s="161"/>
      <x:c r="H216" s="161"/>
      <x:c r="I216" s="161"/>
      <x:c r="J216" s="161"/>
      <x:c r="K216" s="161"/>
      <x:c r="L216" s="161"/>
      <x:c r="M216" s="161"/>
      <x:c r="N216" s="161"/>
      <x:c r="O216" s="161"/>
      <x:c r="P216" s="161"/>
      <x:c r="Q216" s="161"/>
      <x:c r="R216" s="161"/>
      <x:c r="S216" s="161"/>
      <x:c r="T216" s="161"/>
      <x:c r="U216" s="161"/>
      <x:c r="V216" s="161"/>
      <x:c r="W216" s="161"/>
      <x:c r="X216" s="161"/>
      <x:c r="Y216" s="161"/>
      <x:c r="Z216" s="161"/>
    </x:row>
    <x:row r="217">
      <x:c r="A217" s="161"/>
      <x:c r="B217" s="161"/>
      <x:c r="C217" s="161"/>
      <x:c r="D217" s="161"/>
      <x:c r="E217" s="161"/>
      <x:c r="F217" s="161"/>
      <x:c r="G217" s="161"/>
      <x:c r="H217" s="161"/>
      <x:c r="I217" s="161"/>
      <x:c r="J217" s="161"/>
      <x:c r="K217" s="161"/>
      <x:c r="L217" s="161"/>
      <x:c r="M217" s="161"/>
      <x:c r="N217" s="161"/>
      <x:c r="O217" s="161"/>
      <x:c r="P217" s="161"/>
      <x:c r="Q217" s="161"/>
      <x:c r="R217" s="161"/>
      <x:c r="S217" s="161"/>
      <x:c r="T217" s="161"/>
      <x:c r="U217" s="161"/>
      <x:c r="V217" s="161"/>
      <x:c r="W217" s="161"/>
      <x:c r="X217" s="161"/>
      <x:c r="Y217" s="161"/>
      <x:c r="Z217" s="161"/>
    </x:row>
    <x:row r="218">
      <x:c r="A218" s="161"/>
      <x:c r="B218" s="161"/>
      <x:c r="C218" s="161"/>
      <x:c r="D218" s="161"/>
      <x:c r="E218" s="161"/>
      <x:c r="F218" s="161"/>
      <x:c r="G218" s="161"/>
      <x:c r="H218" s="161"/>
      <x:c r="I218" s="161"/>
      <x:c r="J218" s="161"/>
      <x:c r="K218" s="161"/>
      <x:c r="L218" s="161"/>
      <x:c r="M218" s="161"/>
      <x:c r="N218" s="161"/>
      <x:c r="O218" s="161"/>
      <x:c r="P218" s="161"/>
      <x:c r="Q218" s="161"/>
      <x:c r="R218" s="161"/>
      <x:c r="S218" s="161"/>
      <x:c r="T218" s="161"/>
      <x:c r="U218" s="161"/>
      <x:c r="V218" s="161"/>
      <x:c r="W218" s="161"/>
      <x:c r="X218" s="161"/>
      <x:c r="Y218" s="161"/>
      <x:c r="Z218" s="161"/>
    </x:row>
    <x:row r="219">
      <x:c r="A219" s="161"/>
      <x:c r="B219" s="161"/>
      <x:c r="C219" s="161"/>
      <x:c r="D219" s="161"/>
      <x:c r="E219" s="161"/>
      <x:c r="F219" s="161"/>
      <x:c r="G219" s="161"/>
      <x:c r="H219" s="161"/>
      <x:c r="I219" s="161"/>
      <x:c r="J219" s="161"/>
      <x:c r="K219" s="161"/>
      <x:c r="L219" s="161"/>
      <x:c r="M219" s="161"/>
      <x:c r="N219" s="161"/>
      <x:c r="O219" s="161"/>
      <x:c r="P219" s="161"/>
      <x:c r="Q219" s="161"/>
      <x:c r="R219" s="161"/>
      <x:c r="S219" s="161"/>
      <x:c r="T219" s="161"/>
      <x:c r="U219" s="161"/>
      <x:c r="V219" s="161"/>
      <x:c r="W219" s="161"/>
      <x:c r="X219" s="161"/>
      <x:c r="Y219" s="161"/>
      <x:c r="Z219" s="161"/>
    </x:row>
    <x:row r="220">
      <x:c r="A220" s="161"/>
      <x:c r="B220" s="161"/>
      <x:c r="C220" s="161"/>
      <x:c r="D220" s="161"/>
      <x:c r="E220" s="161"/>
      <x:c r="F220" s="161"/>
      <x:c r="G220" s="161"/>
      <x:c r="H220" s="161"/>
      <x:c r="I220" s="161"/>
      <x:c r="J220" s="161"/>
      <x:c r="K220" s="161"/>
      <x:c r="L220" s="161"/>
      <x:c r="M220" s="161"/>
      <x:c r="N220" s="161"/>
      <x:c r="O220" s="161"/>
      <x:c r="P220" s="161"/>
      <x:c r="Q220" s="161"/>
      <x:c r="R220" s="161"/>
      <x:c r="S220" s="161"/>
      <x:c r="T220" s="161"/>
      <x:c r="U220" s="161"/>
      <x:c r="V220" s="161"/>
      <x:c r="W220" s="161"/>
      <x:c r="X220" s="161"/>
      <x:c r="Y220" s="161"/>
      <x:c r="Z220" s="161"/>
    </x:row>
    <x:row r="221">
      <x:c r="A221" s="161"/>
      <x:c r="B221" s="161"/>
      <x:c r="C221" s="161"/>
      <x:c r="D221" s="161"/>
      <x:c r="E221" s="161"/>
      <x:c r="F221" s="161"/>
      <x:c r="G221" s="161"/>
      <x:c r="H221" s="161"/>
      <x:c r="I221" s="161"/>
      <x:c r="J221" s="161"/>
      <x:c r="K221" s="161"/>
      <x:c r="L221" s="161"/>
      <x:c r="M221" s="161"/>
      <x:c r="N221" s="161"/>
      <x:c r="O221" s="161"/>
      <x:c r="P221" s="161"/>
      <x:c r="Q221" s="161"/>
      <x:c r="R221" s="161"/>
      <x:c r="S221" s="161"/>
      <x:c r="T221" s="161"/>
      <x:c r="U221" s="161"/>
      <x:c r="V221" s="161"/>
      <x:c r="W221" s="161"/>
      <x:c r="X221" s="161"/>
      <x:c r="Y221" s="161"/>
      <x:c r="Z221" s="161"/>
    </x:row>
    <x:row r="222">
      <x:c r="A222" s="161"/>
      <x:c r="B222" s="161"/>
      <x:c r="C222" s="161"/>
      <x:c r="D222" s="161"/>
      <x:c r="E222" s="161"/>
      <x:c r="F222" s="161"/>
      <x:c r="G222" s="161"/>
      <x:c r="H222" s="161"/>
      <x:c r="I222" s="161"/>
      <x:c r="J222" s="161"/>
      <x:c r="K222" s="161"/>
      <x:c r="L222" s="161"/>
      <x:c r="M222" s="161"/>
      <x:c r="N222" s="161"/>
      <x:c r="O222" s="161"/>
      <x:c r="P222" s="161"/>
      <x:c r="Q222" s="161"/>
      <x:c r="R222" s="161"/>
      <x:c r="S222" s="161"/>
      <x:c r="T222" s="161"/>
      <x:c r="U222" s="161"/>
      <x:c r="V222" s="161"/>
      <x:c r="W222" s="161"/>
      <x:c r="X222" s="161"/>
      <x:c r="Y222" s="161"/>
      <x:c r="Z222" s="161"/>
    </x:row>
    <x:row r="223">
      <x:c r="A223" s="161"/>
      <x:c r="B223" s="161"/>
      <x:c r="C223" s="161"/>
      <x:c r="D223" s="161"/>
      <x:c r="E223" s="161"/>
      <x:c r="F223" s="161"/>
      <x:c r="G223" s="161"/>
      <x:c r="H223" s="161"/>
      <x:c r="I223" s="161"/>
      <x:c r="J223" s="161"/>
      <x:c r="K223" s="161"/>
      <x:c r="L223" s="161"/>
      <x:c r="M223" s="161"/>
      <x:c r="N223" s="161"/>
      <x:c r="O223" s="161"/>
      <x:c r="P223" s="161"/>
      <x:c r="Q223" s="161"/>
      <x:c r="R223" s="161"/>
      <x:c r="S223" s="161"/>
      <x:c r="T223" s="161"/>
      <x:c r="U223" s="161"/>
      <x:c r="V223" s="161"/>
      <x:c r="W223" s="161"/>
      <x:c r="X223" s="161"/>
      <x:c r="Y223" s="161"/>
      <x:c r="Z223" s="161"/>
    </x:row>
    <x:row r="224">
      <x:c r="A224" s="161"/>
      <x:c r="B224" s="161"/>
      <x:c r="C224" s="161"/>
      <x:c r="D224" s="161"/>
      <x:c r="E224" s="161"/>
      <x:c r="F224" s="161"/>
      <x:c r="G224" s="161"/>
      <x:c r="H224" s="161"/>
      <x:c r="I224" s="161"/>
      <x:c r="J224" s="161"/>
      <x:c r="K224" s="161"/>
      <x:c r="L224" s="161"/>
      <x:c r="M224" s="161"/>
      <x:c r="N224" s="161"/>
      <x:c r="O224" s="161"/>
      <x:c r="P224" s="161"/>
      <x:c r="Q224" s="161"/>
      <x:c r="R224" s="161"/>
      <x:c r="S224" s="161"/>
      <x:c r="T224" s="161"/>
      <x:c r="U224" s="161"/>
      <x:c r="V224" s="161"/>
      <x:c r="W224" s="161"/>
      <x:c r="X224" s="161"/>
      <x:c r="Y224" s="161"/>
      <x:c r="Z224" s="161"/>
    </x:row>
    <x:row r="225">
      <x:c r="A225" s="161"/>
      <x:c r="B225" s="161"/>
      <x:c r="C225" s="161"/>
      <x:c r="D225" s="161"/>
      <x:c r="E225" s="161"/>
      <x:c r="F225" s="161"/>
      <x:c r="G225" s="161"/>
      <x:c r="H225" s="161"/>
      <x:c r="I225" s="161"/>
      <x:c r="J225" s="161"/>
      <x:c r="K225" s="161"/>
      <x:c r="L225" s="161"/>
      <x:c r="M225" s="161"/>
      <x:c r="N225" s="161"/>
      <x:c r="O225" s="161"/>
      <x:c r="P225" s="161"/>
      <x:c r="Q225" s="161"/>
      <x:c r="R225" s="161"/>
      <x:c r="S225" s="161"/>
      <x:c r="T225" s="161"/>
      <x:c r="U225" s="161"/>
      <x:c r="V225" s="161"/>
      <x:c r="W225" s="161"/>
      <x:c r="X225" s="161"/>
      <x:c r="Y225" s="161"/>
      <x:c r="Z225" s="161"/>
    </x:row>
    <x:row r="226">
      <x:c r="A226" s="161"/>
      <x:c r="B226" s="161"/>
      <x:c r="C226" s="161"/>
      <x:c r="D226" s="161"/>
      <x:c r="E226" s="161"/>
      <x:c r="F226" s="161"/>
      <x:c r="G226" s="161"/>
      <x:c r="H226" s="161"/>
      <x:c r="I226" s="161"/>
      <x:c r="J226" s="161"/>
      <x:c r="K226" s="161"/>
      <x:c r="L226" s="161"/>
      <x:c r="M226" s="161"/>
      <x:c r="N226" s="161"/>
      <x:c r="O226" s="161"/>
      <x:c r="P226" s="161"/>
      <x:c r="Q226" s="161"/>
      <x:c r="R226" s="161"/>
      <x:c r="S226" s="161"/>
      <x:c r="T226" s="161"/>
      <x:c r="U226" s="161"/>
      <x:c r="V226" s="161"/>
      <x:c r="W226" s="161"/>
      <x:c r="X226" s="161"/>
      <x:c r="Y226" s="161"/>
      <x:c r="Z226" s="161"/>
    </x:row>
    <x:row r="227">
      <x:c r="A227" s="161"/>
      <x:c r="B227" s="161"/>
      <x:c r="C227" s="161"/>
      <x:c r="D227" s="161"/>
      <x:c r="E227" s="161"/>
      <x:c r="F227" s="161"/>
      <x:c r="G227" s="161"/>
      <x:c r="H227" s="161"/>
      <x:c r="I227" s="161"/>
      <x:c r="J227" s="161"/>
      <x:c r="K227" s="161"/>
      <x:c r="L227" s="161"/>
      <x:c r="M227" s="161"/>
      <x:c r="N227" s="161"/>
      <x:c r="O227" s="161"/>
      <x:c r="P227" s="161"/>
      <x:c r="Q227" s="161"/>
      <x:c r="R227" s="161"/>
      <x:c r="S227" s="161"/>
      <x:c r="T227" s="161"/>
      <x:c r="U227" s="161"/>
      <x:c r="V227" s="161"/>
      <x:c r="W227" s="161"/>
      <x:c r="X227" s="161"/>
      <x:c r="Y227" s="161"/>
      <x:c r="Z227" s="161"/>
    </x:row>
    <x:row r="228">
      <x:c r="A228" s="161"/>
      <x:c r="B228" s="161"/>
      <x:c r="C228" s="161"/>
      <x:c r="D228" s="161"/>
      <x:c r="E228" s="161"/>
      <x:c r="F228" s="161"/>
      <x:c r="G228" s="161"/>
      <x:c r="H228" s="161"/>
      <x:c r="I228" s="161"/>
      <x:c r="J228" s="161"/>
      <x:c r="K228" s="161"/>
      <x:c r="L228" s="161"/>
      <x:c r="M228" s="161"/>
      <x:c r="N228" s="161"/>
      <x:c r="O228" s="161"/>
      <x:c r="P228" s="161"/>
      <x:c r="Q228" s="161"/>
      <x:c r="R228" s="161"/>
      <x:c r="S228" s="161"/>
      <x:c r="T228" s="161"/>
      <x:c r="U228" s="161"/>
      <x:c r="V228" s="161"/>
      <x:c r="W228" s="161"/>
      <x:c r="X228" s="161"/>
      <x:c r="Y228" s="161"/>
      <x:c r="Z228" s="161"/>
    </x:row>
    <x:row r="229">
      <x:c r="A229" s="161"/>
      <x:c r="B229" s="161"/>
      <x:c r="C229" s="161"/>
      <x:c r="D229" s="161"/>
      <x:c r="E229" s="161"/>
      <x:c r="F229" s="161"/>
      <x:c r="G229" s="161"/>
      <x:c r="H229" s="161"/>
      <x:c r="I229" s="161"/>
      <x:c r="J229" s="161"/>
      <x:c r="K229" s="161"/>
      <x:c r="L229" s="161"/>
      <x:c r="M229" s="161"/>
      <x:c r="N229" s="161"/>
      <x:c r="O229" s="161"/>
      <x:c r="P229" s="161"/>
      <x:c r="Q229" s="161"/>
      <x:c r="R229" s="161"/>
      <x:c r="S229" s="161"/>
      <x:c r="T229" s="161"/>
      <x:c r="U229" s="161"/>
      <x:c r="V229" s="161"/>
      <x:c r="W229" s="161"/>
      <x:c r="X229" s="161"/>
      <x:c r="Y229" s="161"/>
      <x:c r="Z229" s="161"/>
    </x:row>
    <x:row r="230">
      <x:c r="A230" s="161"/>
      <x:c r="B230" s="161"/>
      <x:c r="C230" s="161"/>
      <x:c r="D230" s="161"/>
      <x:c r="E230" s="161"/>
      <x:c r="F230" s="161"/>
      <x:c r="G230" s="161"/>
      <x:c r="H230" s="161"/>
      <x:c r="I230" s="161"/>
      <x:c r="J230" s="161"/>
      <x:c r="K230" s="161"/>
      <x:c r="L230" s="161"/>
      <x:c r="M230" s="161"/>
      <x:c r="N230" s="161"/>
      <x:c r="O230" s="161"/>
      <x:c r="P230" s="161"/>
      <x:c r="Q230" s="161"/>
      <x:c r="R230" s="161"/>
      <x:c r="S230" s="161"/>
      <x:c r="T230" s="161"/>
      <x:c r="U230" s="161"/>
      <x:c r="V230" s="161"/>
      <x:c r="W230" s="161"/>
      <x:c r="X230" s="161"/>
      <x:c r="Y230" s="161"/>
      <x:c r="Z230" s="161"/>
    </x:row>
    <x:row r="231">
      <x:c r="A231" s="161"/>
      <x:c r="B231" s="161"/>
      <x:c r="C231" s="161"/>
      <x:c r="D231" s="161"/>
      <x:c r="E231" s="161"/>
      <x:c r="F231" s="161"/>
      <x:c r="G231" s="161"/>
      <x:c r="H231" s="161"/>
      <x:c r="I231" s="161"/>
      <x:c r="J231" s="161"/>
      <x:c r="K231" s="161"/>
      <x:c r="L231" s="161"/>
      <x:c r="M231" s="161"/>
      <x:c r="N231" s="161"/>
      <x:c r="O231" s="161"/>
      <x:c r="P231" s="161"/>
      <x:c r="Q231" s="161"/>
      <x:c r="R231" s="161"/>
      <x:c r="S231" s="161"/>
      <x:c r="T231" s="161"/>
      <x:c r="U231" s="161"/>
      <x:c r="V231" s="161"/>
      <x:c r="W231" s="161"/>
      <x:c r="X231" s="161"/>
      <x:c r="Y231" s="161"/>
      <x:c r="Z231" s="161"/>
    </x:row>
    <x:row r="232">
      <x:c r="A232" s="161"/>
      <x:c r="B232" s="161"/>
      <x:c r="C232" s="161"/>
      <x:c r="D232" s="161"/>
      <x:c r="E232" s="161"/>
      <x:c r="F232" s="161"/>
      <x:c r="G232" s="161"/>
      <x:c r="H232" s="161"/>
      <x:c r="I232" s="161"/>
      <x:c r="J232" s="161"/>
      <x:c r="K232" s="161"/>
      <x:c r="L232" s="161"/>
      <x:c r="M232" s="161"/>
      <x:c r="N232" s="161"/>
      <x:c r="O232" s="161"/>
      <x:c r="P232" s="161"/>
      <x:c r="Q232" s="161"/>
      <x:c r="R232" s="161"/>
      <x:c r="S232" s="161"/>
      <x:c r="T232" s="161"/>
      <x:c r="U232" s="161"/>
      <x:c r="V232" s="161"/>
      <x:c r="W232" s="161"/>
      <x:c r="X232" s="161"/>
      <x:c r="Y232" s="161"/>
      <x:c r="Z232" s="161"/>
    </x:row>
    <x:row r="233">
      <x:c r="A233" s="161"/>
      <x:c r="B233" s="161"/>
      <x:c r="C233" s="161"/>
      <x:c r="D233" s="161"/>
      <x:c r="E233" s="161"/>
      <x:c r="F233" s="161"/>
      <x:c r="G233" s="161"/>
      <x:c r="H233" s="161"/>
      <x:c r="I233" s="161"/>
      <x:c r="J233" s="161"/>
      <x:c r="K233" s="161"/>
      <x:c r="L233" s="161"/>
      <x:c r="M233" s="161"/>
      <x:c r="N233" s="161"/>
      <x:c r="O233" s="161"/>
      <x:c r="P233" s="161"/>
      <x:c r="Q233" s="161"/>
      <x:c r="R233" s="161"/>
      <x:c r="S233" s="161"/>
      <x:c r="T233" s="161"/>
      <x:c r="U233" s="161"/>
      <x:c r="V233" s="161"/>
      <x:c r="W233" s="161"/>
      <x:c r="X233" s="161"/>
      <x:c r="Y233" s="161"/>
      <x:c r="Z233" s="161"/>
    </x:row>
    <x:row r="234">
      <x:c r="A234" s="161"/>
      <x:c r="B234" s="161"/>
      <x:c r="C234" s="161"/>
      <x:c r="D234" s="161"/>
      <x:c r="E234" s="161"/>
      <x:c r="F234" s="161"/>
      <x:c r="G234" s="161"/>
      <x:c r="H234" s="161"/>
      <x:c r="I234" s="161"/>
      <x:c r="J234" s="161"/>
      <x:c r="K234" s="161"/>
      <x:c r="L234" s="161"/>
      <x:c r="M234" s="161"/>
      <x:c r="N234" s="161"/>
      <x:c r="O234" s="161"/>
      <x:c r="P234" s="161"/>
      <x:c r="Q234" s="161"/>
      <x:c r="R234" s="161"/>
      <x:c r="S234" s="161"/>
      <x:c r="T234" s="161"/>
      <x:c r="U234" s="161"/>
      <x:c r="V234" s="161"/>
      <x:c r="W234" s="161"/>
      <x:c r="X234" s="161"/>
      <x:c r="Y234" s="161"/>
      <x:c r="Z234" s="161"/>
    </x:row>
    <x:row r="235">
      <x:c r="A235" s="161"/>
      <x:c r="B235" s="161"/>
      <x:c r="C235" s="161"/>
      <x:c r="D235" s="161"/>
      <x:c r="E235" s="161"/>
      <x:c r="F235" s="161"/>
      <x:c r="G235" s="161"/>
      <x:c r="H235" s="161"/>
      <x:c r="I235" s="161"/>
      <x:c r="J235" s="161"/>
      <x:c r="K235" s="161"/>
      <x:c r="L235" s="161"/>
      <x:c r="M235" s="161"/>
      <x:c r="N235" s="161"/>
      <x:c r="O235" s="161"/>
      <x:c r="P235" s="161"/>
      <x:c r="Q235" s="161"/>
      <x:c r="R235" s="161"/>
      <x:c r="S235" s="161"/>
      <x:c r="T235" s="161"/>
      <x:c r="U235" s="161"/>
      <x:c r="V235" s="161"/>
      <x:c r="W235" s="161"/>
      <x:c r="X235" s="161"/>
      <x:c r="Y235" s="161"/>
      <x:c r="Z235" s="161"/>
    </x:row>
    <x:row r="236">
      <x:c r="A236" s="161"/>
      <x:c r="B236" s="161"/>
      <x:c r="C236" s="161"/>
      <x:c r="D236" s="161"/>
      <x:c r="E236" s="161"/>
      <x:c r="F236" s="161"/>
      <x:c r="G236" s="161"/>
      <x:c r="H236" s="161"/>
      <x:c r="I236" s="161"/>
      <x:c r="J236" s="161"/>
      <x:c r="K236" s="161"/>
      <x:c r="L236" s="161"/>
      <x:c r="M236" s="161"/>
      <x:c r="N236" s="161"/>
      <x:c r="O236" s="161"/>
      <x:c r="P236" s="161"/>
      <x:c r="Q236" s="161"/>
      <x:c r="R236" s="161"/>
      <x:c r="S236" s="161"/>
      <x:c r="T236" s="161"/>
      <x:c r="U236" s="161"/>
      <x:c r="V236" s="161"/>
      <x:c r="W236" s="161"/>
      <x:c r="X236" s="161"/>
      <x:c r="Y236" s="161"/>
      <x:c r="Z236" s="161"/>
    </x:row>
    <x:row r="237">
      <x:c r="A237" s="161"/>
      <x:c r="B237" s="161"/>
      <x:c r="C237" s="161"/>
      <x:c r="D237" s="161"/>
      <x:c r="E237" s="161"/>
      <x:c r="F237" s="161"/>
      <x:c r="G237" s="161"/>
      <x:c r="H237" s="161"/>
      <x:c r="I237" s="161"/>
      <x:c r="J237" s="161"/>
      <x:c r="K237" s="161"/>
      <x:c r="L237" s="161"/>
      <x:c r="M237" s="161"/>
      <x:c r="N237" s="161"/>
      <x:c r="O237" s="161"/>
      <x:c r="P237" s="161"/>
      <x:c r="Q237" s="161"/>
      <x:c r="R237" s="161"/>
      <x:c r="S237" s="161"/>
      <x:c r="T237" s="161"/>
      <x:c r="U237" s="161"/>
      <x:c r="V237" s="161"/>
      <x:c r="W237" s="161"/>
      <x:c r="X237" s="161"/>
      <x:c r="Y237" s="161"/>
      <x:c r="Z237" s="161"/>
    </x:row>
    <x:row r="238">
      <x:c r="A238" s="161"/>
      <x:c r="B238" s="161"/>
      <x:c r="C238" s="161"/>
      <x:c r="D238" s="161"/>
      <x:c r="E238" s="161"/>
      <x:c r="F238" s="161"/>
      <x:c r="G238" s="161"/>
      <x:c r="H238" s="161"/>
      <x:c r="I238" s="161"/>
      <x:c r="J238" s="161"/>
      <x:c r="K238" s="161"/>
      <x:c r="L238" s="161"/>
      <x:c r="M238" s="161"/>
      <x:c r="N238" s="161"/>
      <x:c r="O238" s="161"/>
      <x:c r="P238" s="161"/>
      <x:c r="Q238" s="161"/>
      <x:c r="R238" s="161"/>
      <x:c r="S238" s="161"/>
      <x:c r="T238" s="161"/>
      <x:c r="U238" s="161"/>
      <x:c r="V238" s="161"/>
      <x:c r="W238" s="161"/>
      <x:c r="X238" s="161"/>
      <x:c r="Y238" s="161"/>
      <x:c r="Z238" s="161"/>
    </x:row>
    <x:row r="239">
      <x:c r="A239" s="161"/>
      <x:c r="B239" s="161"/>
      <x:c r="C239" s="161"/>
      <x:c r="D239" s="161"/>
      <x:c r="E239" s="161"/>
      <x:c r="F239" s="161"/>
      <x:c r="G239" s="161"/>
      <x:c r="H239" s="161"/>
      <x:c r="I239" s="161"/>
      <x:c r="J239" s="161"/>
      <x:c r="K239" s="161"/>
      <x:c r="L239" s="161"/>
      <x:c r="M239" s="161"/>
      <x:c r="N239" s="161"/>
      <x:c r="O239" s="161"/>
      <x:c r="P239" s="161"/>
      <x:c r="Q239" s="161"/>
      <x:c r="R239" s="161"/>
      <x:c r="S239" s="161"/>
      <x:c r="T239" s="161"/>
      <x:c r="U239" s="161"/>
      <x:c r="V239" s="161"/>
      <x:c r="W239" s="161"/>
      <x:c r="X239" s="161"/>
      <x:c r="Y239" s="161"/>
      <x:c r="Z239" s="161"/>
    </x:row>
    <x:row r="240">
      <x:c r="A240" s="161"/>
      <x:c r="B240" s="161"/>
      <x:c r="C240" s="161"/>
      <x:c r="D240" s="161"/>
      <x:c r="E240" s="161"/>
      <x:c r="F240" s="161"/>
      <x:c r="G240" s="161"/>
      <x:c r="H240" s="161"/>
      <x:c r="I240" s="161"/>
      <x:c r="J240" s="161"/>
      <x:c r="K240" s="161"/>
      <x:c r="L240" s="161"/>
      <x:c r="M240" s="161"/>
      <x:c r="N240" s="161"/>
      <x:c r="O240" s="161"/>
      <x:c r="P240" s="161"/>
      <x:c r="Q240" s="161"/>
      <x:c r="R240" s="161"/>
      <x:c r="S240" s="161"/>
      <x:c r="T240" s="161"/>
      <x:c r="U240" s="161"/>
      <x:c r="V240" s="161"/>
      <x:c r="W240" s="161"/>
      <x:c r="X240" s="161"/>
      <x:c r="Y240" s="161"/>
      <x:c r="Z240" s="161"/>
    </x:row>
    <x:row r="241">
      <x:c r="A241" s="161"/>
      <x:c r="B241" s="161"/>
      <x:c r="C241" s="161"/>
      <x:c r="D241" s="161"/>
      <x:c r="E241" s="161"/>
      <x:c r="F241" s="161"/>
      <x:c r="G241" s="161"/>
      <x:c r="H241" s="161"/>
      <x:c r="I241" s="161"/>
      <x:c r="J241" s="161"/>
      <x:c r="K241" s="161"/>
      <x:c r="L241" s="161"/>
      <x:c r="M241" s="161"/>
      <x:c r="N241" s="161"/>
      <x:c r="O241" s="161"/>
      <x:c r="P241" s="161"/>
      <x:c r="Q241" s="161"/>
      <x:c r="R241" s="161"/>
      <x:c r="S241" s="161"/>
      <x:c r="T241" s="161"/>
      <x:c r="U241" s="161"/>
      <x:c r="V241" s="161"/>
      <x:c r="W241" s="161"/>
      <x:c r="X241" s="161"/>
      <x:c r="Y241" s="161"/>
      <x:c r="Z241" s="161"/>
    </x:row>
    <x:row r="242">
      <x:c r="A242" s="161"/>
      <x:c r="B242" s="161"/>
      <x:c r="C242" s="161"/>
      <x:c r="D242" s="161"/>
      <x:c r="E242" s="161"/>
      <x:c r="F242" s="161"/>
      <x:c r="G242" s="161"/>
      <x:c r="H242" s="161"/>
      <x:c r="I242" s="161"/>
      <x:c r="J242" s="161"/>
      <x:c r="K242" s="161"/>
      <x:c r="L242" s="161"/>
      <x:c r="M242" s="161"/>
      <x:c r="N242" s="161"/>
      <x:c r="O242" s="161"/>
      <x:c r="P242" s="161"/>
      <x:c r="Q242" s="161"/>
      <x:c r="R242" s="161"/>
      <x:c r="S242" s="161"/>
      <x:c r="T242" s="161"/>
      <x:c r="U242" s="161"/>
      <x:c r="V242" s="161"/>
      <x:c r="W242" s="161"/>
      <x:c r="X242" s="161"/>
      <x:c r="Y242" s="161"/>
      <x:c r="Z242" s="161"/>
    </x:row>
    <x:row r="243">
      <x:c r="A243" s="161"/>
      <x:c r="B243" s="161"/>
      <x:c r="C243" s="161"/>
      <x:c r="D243" s="161"/>
      <x:c r="E243" s="161"/>
      <x:c r="F243" s="161"/>
      <x:c r="G243" s="161"/>
      <x:c r="H243" s="161"/>
      <x:c r="I243" s="161"/>
      <x:c r="J243" s="161"/>
      <x:c r="K243" s="161"/>
      <x:c r="L243" s="161"/>
      <x:c r="M243" s="161"/>
      <x:c r="N243" s="161"/>
      <x:c r="O243" s="161"/>
      <x:c r="P243" s="161"/>
      <x:c r="Q243" s="161"/>
      <x:c r="R243" s="161"/>
      <x:c r="S243" s="161"/>
      <x:c r="T243" s="161"/>
      <x:c r="U243" s="161"/>
      <x:c r="V243" s="161"/>
      <x:c r="W243" s="161"/>
      <x:c r="X243" s="161"/>
      <x:c r="Y243" s="161"/>
      <x:c r="Z243" s="161"/>
    </x:row>
    <x:row r="244">
      <x:c r="A244" s="161"/>
      <x:c r="B244" s="161"/>
      <x:c r="C244" s="161"/>
      <x:c r="D244" s="161"/>
      <x:c r="E244" s="161"/>
      <x:c r="F244" s="161"/>
      <x:c r="G244" s="161"/>
      <x:c r="H244" s="161"/>
      <x:c r="I244" s="161"/>
      <x:c r="J244" s="161"/>
      <x:c r="K244" s="161"/>
      <x:c r="L244" s="161"/>
      <x:c r="M244" s="161"/>
      <x:c r="N244" s="161"/>
      <x:c r="O244" s="161"/>
      <x:c r="P244" s="161"/>
      <x:c r="Q244" s="161"/>
      <x:c r="R244" s="161"/>
      <x:c r="S244" s="161"/>
      <x:c r="T244" s="161"/>
      <x:c r="U244" s="161"/>
      <x:c r="V244" s="161"/>
      <x:c r="W244" s="161"/>
      <x:c r="X244" s="161"/>
      <x:c r="Y244" s="161"/>
      <x:c r="Z244" s="161"/>
    </x:row>
    <x:row r="245">
      <x:c r="A245" s="161"/>
      <x:c r="B245" s="161"/>
      <x:c r="C245" s="161"/>
      <x:c r="D245" s="161"/>
      <x:c r="E245" s="161"/>
      <x:c r="F245" s="161"/>
      <x:c r="G245" s="161"/>
      <x:c r="H245" s="161"/>
      <x:c r="I245" s="161"/>
      <x:c r="J245" s="161"/>
      <x:c r="K245" s="161"/>
      <x:c r="L245" s="161"/>
      <x:c r="M245" s="161"/>
      <x:c r="N245" s="161"/>
      <x:c r="O245" s="161"/>
      <x:c r="P245" s="161"/>
      <x:c r="Q245" s="161"/>
      <x:c r="R245" s="161"/>
      <x:c r="S245" s="161"/>
      <x:c r="T245" s="161"/>
      <x:c r="U245" s="161"/>
      <x:c r="V245" s="161"/>
      <x:c r="W245" s="161"/>
      <x:c r="X245" s="161"/>
      <x:c r="Y245" s="161"/>
      <x:c r="Z245" s="161"/>
    </x:row>
    <x:row r="246">
      <x:c r="A246" s="161"/>
      <x:c r="B246" s="161"/>
      <x:c r="C246" s="161"/>
      <x:c r="D246" s="161"/>
      <x:c r="E246" s="161"/>
      <x:c r="F246" s="161"/>
      <x:c r="G246" s="161"/>
      <x:c r="H246" s="161"/>
      <x:c r="I246" s="161"/>
      <x:c r="J246" s="161"/>
      <x:c r="K246" s="161"/>
      <x:c r="L246" s="161"/>
      <x:c r="M246" s="161"/>
      <x:c r="N246" s="161"/>
      <x:c r="O246" s="161"/>
      <x:c r="P246" s="161"/>
      <x:c r="Q246" s="161"/>
      <x:c r="R246" s="161"/>
      <x:c r="S246" s="161"/>
      <x:c r="T246" s="161"/>
      <x:c r="U246" s="161"/>
      <x:c r="V246" s="161"/>
      <x:c r="W246" s="161"/>
      <x:c r="X246" s="161"/>
      <x:c r="Y246" s="161"/>
      <x:c r="Z246" s="161"/>
    </x:row>
    <x:row r="247">
      <x:c r="A247" s="161"/>
      <x:c r="B247" s="161"/>
      <x:c r="C247" s="161"/>
      <x:c r="D247" s="161"/>
      <x:c r="E247" s="161"/>
      <x:c r="F247" s="161"/>
      <x:c r="G247" s="161"/>
      <x:c r="H247" s="161"/>
      <x:c r="I247" s="161"/>
      <x:c r="J247" s="161"/>
      <x:c r="K247" s="161"/>
      <x:c r="L247" s="161"/>
      <x:c r="M247" s="161"/>
      <x:c r="N247" s="161"/>
      <x:c r="O247" s="161"/>
      <x:c r="P247" s="161"/>
      <x:c r="Q247" s="161"/>
      <x:c r="R247" s="161"/>
      <x:c r="S247" s="161"/>
      <x:c r="T247" s="161"/>
      <x:c r="U247" s="161"/>
      <x:c r="V247" s="161"/>
      <x:c r="W247" s="161"/>
      <x:c r="X247" s="161"/>
      <x:c r="Y247" s="161"/>
      <x:c r="Z247" s="161"/>
    </x:row>
    <x:row r="248">
      <x:c r="A248" s="161"/>
      <x:c r="B248" s="161"/>
      <x:c r="C248" s="161"/>
      <x:c r="D248" s="161"/>
      <x:c r="E248" s="161"/>
      <x:c r="F248" s="161"/>
      <x:c r="G248" s="161"/>
      <x:c r="H248" s="161"/>
      <x:c r="I248" s="161"/>
      <x:c r="J248" s="161"/>
      <x:c r="K248" s="161"/>
      <x:c r="L248" s="161"/>
      <x:c r="M248" s="161"/>
      <x:c r="N248" s="161"/>
      <x:c r="O248" s="161"/>
      <x:c r="P248" s="161"/>
      <x:c r="Q248" s="161"/>
      <x:c r="R248" s="161"/>
      <x:c r="S248" s="161"/>
      <x:c r="T248" s="161"/>
      <x:c r="U248" s="161"/>
      <x:c r="V248" s="161"/>
      <x:c r="W248" s="161"/>
      <x:c r="X248" s="161"/>
      <x:c r="Y248" s="161"/>
      <x:c r="Z248" s="161"/>
    </x:row>
    <x:row r="249">
      <x:c r="A249" s="161"/>
      <x:c r="B249" s="161"/>
      <x:c r="C249" s="161"/>
      <x:c r="D249" s="161"/>
      <x:c r="E249" s="161"/>
      <x:c r="F249" s="161"/>
      <x:c r="G249" s="161"/>
      <x:c r="H249" s="161"/>
      <x:c r="I249" s="161"/>
      <x:c r="J249" s="161"/>
      <x:c r="K249" s="161"/>
      <x:c r="L249" s="161"/>
      <x:c r="M249" s="161"/>
      <x:c r="N249" s="161"/>
      <x:c r="O249" s="161"/>
      <x:c r="P249" s="161"/>
      <x:c r="Q249" s="161"/>
      <x:c r="R249" s="161"/>
      <x:c r="S249" s="161"/>
      <x:c r="T249" s="161"/>
      <x:c r="U249" s="161"/>
      <x:c r="V249" s="161"/>
      <x:c r="W249" s="161"/>
      <x:c r="X249" s="161"/>
      <x:c r="Y249" s="161"/>
      <x:c r="Z249" s="161"/>
    </x:row>
    <x:row r="250">
      <x:c r="A250" s="161"/>
      <x:c r="B250" s="161"/>
      <x:c r="C250" s="161"/>
      <x:c r="D250" s="161"/>
      <x:c r="E250" s="161"/>
      <x:c r="F250" s="161"/>
      <x:c r="G250" s="161"/>
      <x:c r="H250" s="161"/>
      <x:c r="I250" s="161"/>
      <x:c r="J250" s="161"/>
      <x:c r="K250" s="161"/>
      <x:c r="L250" s="161"/>
      <x:c r="M250" s="161"/>
      <x:c r="N250" s="161"/>
      <x:c r="O250" s="161"/>
      <x:c r="P250" s="161"/>
      <x:c r="Q250" s="161"/>
      <x:c r="R250" s="161"/>
      <x:c r="S250" s="161"/>
      <x:c r="T250" s="161"/>
      <x:c r="U250" s="161"/>
      <x:c r="V250" s="161"/>
      <x:c r="W250" s="161"/>
      <x:c r="X250" s="161"/>
      <x:c r="Y250" s="161"/>
      <x:c r="Z250" s="161"/>
    </x:row>
  </x:sheetData>
  <x:mergeCells>
    <x:mergeCell ref="A1:H1"/>
    <x:mergeCell ref="A2:H3"/>
    <x:mergeCell ref="I1:J1"/>
    <x:mergeCell ref="A5:N5"/>
    <x:mergeCell ref="A7:C7"/>
    <x:mergeCell ref="A8:C9"/>
    <x:mergeCell ref="D7:F7"/>
    <x:mergeCell ref="D8:F9"/>
    <x:mergeCell ref="G7:I7"/>
    <x:mergeCell ref="G8:I9"/>
    <x:mergeCell ref="J7:L7"/>
    <x:mergeCell ref="J8:L9"/>
    <x:mergeCell ref="A11:C11"/>
    <x:mergeCell ref="A12:C13"/>
    <x:mergeCell ref="D11:F11"/>
    <x:mergeCell ref="D12:F13"/>
    <x:mergeCell ref="G11:I11"/>
    <x:mergeCell ref="G12:I13"/>
    <x:mergeCell ref="J11:L11"/>
    <x:mergeCell ref="J12:L13"/>
    <x:mergeCell ref="A16:E16"/>
    <x:mergeCell ref="G16:N16"/>
    <x:mergeCell ref="A31:N31"/>
    <x:mergeCell ref="A32:N36"/>
  </x:mergeCells>
  <x:pageMargins left="0.7" right="0.7" top="0.75" bottom="0.75" header="0.3" footer="0.3"/>
  <x:drawing xmlns:r="http://schemas.openxmlformats.org/officeDocument/2006/relationships" r:id="Rc7c59beec065499c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42" customHeight="1">
      <x:c r="A1" s="45" t="str">
        <x:v>Catálogos auxiliares</x:v>
      </x:c>
      <x:c r="B1" s="160"/>
      <x:c r="C1" s="160"/>
      <x:c r="D1" s="160"/>
      <x:c r="E1" s="160"/>
      <x:c r="F1" s="160"/>
      <x:c r="G1" s="161"/>
      <x:c r="H1" s="161"/>
      <x:c r="I1" s="58" t="str">
        <x:v>EDITABLE</x:v>
      </x:c>
      <x:c r="J1" s="161"/>
      <x:c r="K1" s="161"/>
      <x:c r="L1" s="161"/>
      <x:c r="M1" s="161"/>
      <x:c r="N1" s="161"/>
      <x:c r="O1" s="161"/>
      <x:c r="P1" s="161"/>
      <x:c r="Q1" s="161"/>
      <x:c r="R1" s="161"/>
      <x:c r="S1" s="161"/>
      <x:c r="T1" s="161"/>
      <x:c r="U1" s="161"/>
      <x:c r="V1" s="161"/>
      <x:c r="W1" s="161"/>
      <x:c r="X1" s="161"/>
      <x:c r="Y1" s="161"/>
      <x:c r="Z1" s="161"/>
    </x:row>
    <x:row r="2">
      <x:c r="A2" s="166" t="str">
        <x:v>Hoja de apoyo para listas internas. Puedes editarla si deseas adaptar la plantilla.</x:v>
      </x:c>
      <x:c r="B2" s="160"/>
      <x:c r="C2" s="160"/>
      <x:c r="D2" s="160"/>
      <x:c r="E2" s="160"/>
      <x:c r="F2" s="160"/>
      <x:c r="G2" s="161"/>
      <x:c r="H2" s="161"/>
      <x:c r="I2" s="161"/>
      <x:c r="J2" s="161"/>
      <x:c r="K2" s="161"/>
      <x:c r="L2" s="161"/>
      <x:c r="M2" s="161"/>
      <x:c r="N2" s="161"/>
      <x:c r="O2" s="161"/>
      <x:c r="P2" s="161"/>
      <x:c r="Q2" s="161"/>
      <x:c r="R2" s="161"/>
      <x:c r="S2" s="161"/>
      <x:c r="T2" s="161"/>
      <x:c r="U2" s="161"/>
      <x:c r="V2" s="161"/>
      <x:c r="W2" s="161"/>
      <x:c r="X2" s="161"/>
      <x:c r="Y2" s="161"/>
      <x:c r="Z2" s="161"/>
    </x:row>
    <x:row r="3">
      <x:c r="A3" s="160"/>
      <x:c r="B3" s="160"/>
      <x:c r="C3" s="160"/>
      <x:c r="D3" s="160"/>
      <x:c r="E3" s="160"/>
      <x:c r="F3" s="160"/>
      <x:c r="G3" s="161"/>
      <x:c r="H3" s="161"/>
      <x:c r="I3" s="161"/>
      <x:c r="J3" s="161"/>
      <x:c r="K3" s="161"/>
      <x:c r="L3" s="161"/>
      <x:c r="M3" s="161"/>
      <x:c r="N3" s="161"/>
      <x:c r="O3" s="161"/>
      <x:c r="P3" s="161"/>
      <x:c r="Q3" s="161"/>
      <x:c r="R3" s="161"/>
      <x:c r="S3" s="161"/>
      <x:c r="T3" s="161"/>
      <x:c r="U3" s="161"/>
      <x:c r="V3" s="161"/>
      <x:c r="W3" s="161"/>
      <x:c r="X3" s="161"/>
      <x:c r="Y3" s="161"/>
      <x:c r="Z3" s="161"/>
    </x:row>
    <x:row r="4">
      <x:c r="A4" s="160"/>
      <x:c r="B4" s="160"/>
      <x:c r="C4" s="160"/>
      <x:c r="D4" s="160"/>
      <x:c r="E4" s="160"/>
      <x:c r="F4" s="160"/>
      <x:c r="G4" s="161"/>
      <x:c r="H4" s="161"/>
      <x:c r="I4" s="161"/>
      <x:c r="J4" s="161"/>
      <x:c r="K4" s="161"/>
      <x:c r="L4" s="161"/>
      <x:c r="M4" s="161"/>
      <x:c r="N4" s="161"/>
      <x:c r="O4" s="161"/>
      <x:c r="P4" s="161"/>
      <x:c r="Q4" s="161"/>
      <x:c r="R4" s="161"/>
      <x:c r="S4" s="161"/>
      <x:c r="T4" s="161"/>
      <x:c r="U4" s="161"/>
      <x:c r="V4" s="161"/>
      <x:c r="W4" s="161"/>
      <x:c r="X4" s="161"/>
      <x:c r="Y4" s="161"/>
      <x:c r="Z4" s="161"/>
    </x:row>
    <x:row r="5">
      <x:c r="A5" s="65" t="str">
        <x:v>Categoría</x:v>
      </x:c>
      <x:c r="B5" s="65" t="str">
        <x:v>Valor</x:v>
      </x:c>
      <x:c r="C5" s="65" t="str">
        <x:v>Descripción</x:v>
      </x:c>
      <x:c r="D5" s="160" t="str"/>
      <x:c r="E5" s="160" t="str"/>
      <x:c r="F5" s="160" t="str"/>
      <x:c r="G5" s="161"/>
      <x:c r="H5" s="161"/>
      <x:c r="I5" s="161"/>
      <x:c r="J5" s="161"/>
      <x:c r="K5" s="161"/>
      <x:c r="L5" s="161"/>
      <x:c r="M5" s="161"/>
      <x:c r="N5" s="161"/>
      <x:c r="O5" s="161"/>
      <x:c r="P5" s="161"/>
      <x:c r="Q5" s="161"/>
      <x:c r="R5" s="161"/>
      <x:c r="S5" s="161"/>
      <x:c r="T5" s="161"/>
      <x:c r="U5" s="161"/>
      <x:c r="V5" s="161"/>
      <x:c r="W5" s="161"/>
      <x:c r="X5" s="161"/>
      <x:c r="Y5" s="161"/>
      <x:c r="Z5" s="161"/>
    </x:row>
    <x:row r="6">
      <x:c r="A6" s="108" t="str">
        <x:v>Responsables</x:v>
      </x:c>
      <x:c r="B6" s="108" t="str">
        <x:v>Dirección Comercial</x:v>
      </x:c>
      <x:c r="C6" s="108" t="str">
        <x:v>Editable</x:v>
      </x:c>
      <x:c r="D6" s="160"/>
      <x:c r="E6" s="160"/>
      <x:c r="F6" s="160"/>
      <x:c r="G6" s="161"/>
      <x:c r="H6" s="161"/>
      <x:c r="I6" s="161"/>
      <x:c r="J6" s="161"/>
      <x:c r="K6" s="161"/>
      <x:c r="L6" s="161"/>
      <x:c r="M6" s="161"/>
      <x:c r="N6" s="161"/>
      <x:c r="O6" s="161"/>
      <x:c r="P6" s="161"/>
      <x:c r="Q6" s="161"/>
      <x:c r="R6" s="161"/>
      <x:c r="S6" s="161"/>
      <x:c r="T6" s="161"/>
      <x:c r="U6" s="161"/>
      <x:c r="V6" s="161"/>
      <x:c r="W6" s="161"/>
      <x:c r="X6" s="161"/>
      <x:c r="Y6" s="161"/>
      <x:c r="Z6" s="161"/>
    </x:row>
    <x:row r="7">
      <x:c r="A7" s="108" t="str">
        <x:v>Responsables</x:v>
      </x:c>
      <x:c r="B7" s="108" t="str">
        <x:v>Ejecutivo 1</x:v>
      </x:c>
      <x:c r="C7" s="108" t="str">
        <x:v>Editable</x:v>
      </x:c>
      <x:c r="D7" s="160"/>
      <x:c r="E7" s="160"/>
      <x:c r="F7" s="160"/>
      <x:c r="G7" s="161"/>
      <x:c r="H7" s="161"/>
      <x:c r="I7" s="161"/>
      <x:c r="J7" s="161"/>
      <x:c r="K7" s="161"/>
      <x:c r="L7" s="161"/>
      <x:c r="M7" s="161"/>
      <x:c r="N7" s="161"/>
      <x:c r="O7" s="161"/>
      <x:c r="P7" s="161"/>
      <x:c r="Q7" s="161"/>
      <x:c r="R7" s="161"/>
      <x:c r="S7" s="161"/>
      <x:c r="T7" s="161"/>
      <x:c r="U7" s="161"/>
      <x:c r="V7" s="161"/>
      <x:c r="W7" s="161"/>
      <x:c r="X7" s="161"/>
      <x:c r="Y7" s="161"/>
      <x:c r="Z7" s="161"/>
    </x:row>
    <x:row r="8">
      <x:c r="A8" s="108" t="str">
        <x:v>Responsables</x:v>
      </x:c>
      <x:c r="B8" s="108" t="str">
        <x:v>Ejecutivo 2</x:v>
      </x:c>
      <x:c r="C8" s="108" t="str">
        <x:v>Editable</x:v>
      </x:c>
      <x:c r="D8" s="160"/>
      <x:c r="E8" s="160"/>
      <x:c r="F8" s="160"/>
      <x:c r="G8" s="161"/>
      <x:c r="H8" s="161"/>
      <x:c r="I8" s="161"/>
      <x:c r="J8" s="161"/>
      <x:c r="K8" s="161"/>
      <x:c r="L8" s="161"/>
      <x:c r="M8" s="161"/>
      <x:c r="N8" s="161"/>
      <x:c r="O8" s="161"/>
      <x:c r="P8" s="161"/>
      <x:c r="Q8" s="161"/>
      <x:c r="R8" s="161"/>
      <x:c r="S8" s="161"/>
      <x:c r="T8" s="161"/>
      <x:c r="U8" s="161"/>
      <x:c r="V8" s="161"/>
      <x:c r="W8" s="161"/>
      <x:c r="X8" s="161"/>
      <x:c r="Y8" s="161"/>
      <x:c r="Z8" s="161"/>
    </x:row>
    <x:row r="9">
      <x:c r="A9" s="108" t="str">
        <x:v>Responsables</x:v>
      </x:c>
      <x:c r="B9" s="108" t="str">
        <x:v>Marketing</x:v>
      </x:c>
      <x:c r="C9" s="108" t="str">
        <x:v>Editable</x:v>
      </x:c>
      <x:c r="D9" s="160"/>
      <x:c r="E9" s="160"/>
      <x:c r="F9" s="160"/>
      <x:c r="G9" s="161"/>
      <x:c r="H9" s="161"/>
      <x:c r="I9" s="161"/>
      <x:c r="J9" s="161"/>
      <x:c r="K9" s="161"/>
      <x:c r="L9" s="161"/>
      <x:c r="M9" s="161"/>
      <x:c r="N9" s="161"/>
      <x:c r="O9" s="161"/>
      <x:c r="P9" s="161"/>
      <x:c r="Q9" s="161"/>
      <x:c r="R9" s="161"/>
      <x:c r="S9" s="161"/>
      <x:c r="T9" s="161"/>
      <x:c r="U9" s="161"/>
      <x:c r="V9" s="161"/>
      <x:c r="W9" s="161"/>
      <x:c r="X9" s="161"/>
      <x:c r="Y9" s="161"/>
      <x:c r="Z9" s="161"/>
    </x:row>
    <x:row r="10">
      <x:c r="A10" s="108" t="str">
        <x:v>Responsables</x:v>
      </x:c>
      <x:c r="B10" s="108" t="str">
        <x:v>Administración</x:v>
      </x:c>
      <x:c r="C10" s="108" t="str">
        <x:v>Editable</x:v>
      </x:c>
      <x:c r="D10" s="160"/>
      <x:c r="E10" s="160"/>
      <x:c r="F10" s="160"/>
      <x:c r="G10" s="161"/>
      <x:c r="H10" s="161"/>
      <x:c r="I10" s="161"/>
      <x:c r="J10" s="161"/>
      <x:c r="K10" s="161"/>
      <x:c r="L10" s="161"/>
      <x:c r="M10" s="161"/>
      <x:c r="N10" s="161"/>
      <x:c r="O10" s="161"/>
      <x:c r="P10" s="161"/>
      <x:c r="Q10" s="161"/>
      <x:c r="R10" s="161"/>
      <x:c r="S10" s="161"/>
      <x:c r="T10" s="161"/>
      <x:c r="U10" s="161"/>
      <x:c r="V10" s="161"/>
      <x:c r="W10" s="161"/>
      <x:c r="X10" s="161"/>
      <x:c r="Y10" s="161"/>
      <x:c r="Z10" s="161"/>
    </x:row>
    <x:row r="11">
      <x:c r="A11" s="108" t="str">
        <x:v>Etapas</x:v>
      </x:c>
      <x:c r="B11" s="108" t="str">
        <x:v>Lead nuevo</x:v>
      </x:c>
      <x:c r="C11" s="108" t="str">
        <x:v>Editable</x:v>
      </x:c>
      <x:c r="D11" s="160"/>
      <x:c r="E11" s="160"/>
      <x:c r="F11" s="160"/>
      <x:c r="G11" s="161"/>
      <x:c r="H11" s="161"/>
      <x:c r="I11" s="161"/>
      <x:c r="J11" s="161"/>
      <x:c r="K11" s="161"/>
      <x:c r="L11" s="161"/>
      <x:c r="M11" s="161"/>
      <x:c r="N11" s="161"/>
      <x:c r="O11" s="161"/>
      <x:c r="P11" s="161"/>
      <x:c r="Q11" s="161"/>
      <x:c r="R11" s="161"/>
      <x:c r="S11" s="161"/>
      <x:c r="T11" s="161"/>
      <x:c r="U11" s="161"/>
      <x:c r="V11" s="161"/>
      <x:c r="W11" s="161"/>
      <x:c r="X11" s="161"/>
      <x:c r="Y11" s="161"/>
      <x:c r="Z11" s="161"/>
    </x:row>
    <x:row r="12">
      <x:c r="A12" s="108" t="str">
        <x:v>Etapas</x:v>
      </x:c>
      <x:c r="B12" s="108" t="str">
        <x:v>Contactado</x:v>
      </x:c>
      <x:c r="C12" s="108" t="str">
        <x:v>Editable</x:v>
      </x:c>
      <x:c r="D12" s="160"/>
      <x:c r="E12" s="160"/>
      <x:c r="F12" s="160"/>
      <x:c r="G12" s="161"/>
      <x:c r="H12" s="161"/>
      <x:c r="I12" s="161"/>
      <x:c r="J12" s="161"/>
      <x:c r="K12" s="161"/>
      <x:c r="L12" s="161"/>
      <x:c r="M12" s="161"/>
      <x:c r="N12" s="161"/>
      <x:c r="O12" s="161"/>
      <x:c r="P12" s="161"/>
      <x:c r="Q12" s="161"/>
      <x:c r="R12" s="161"/>
      <x:c r="S12" s="161"/>
      <x:c r="T12" s="161"/>
      <x:c r="U12" s="161"/>
      <x:c r="V12" s="161"/>
      <x:c r="W12" s="161"/>
      <x:c r="X12" s="161"/>
      <x:c r="Y12" s="161"/>
      <x:c r="Z12" s="161"/>
    </x:row>
    <x:row r="13">
      <x:c r="A13" s="108" t="str">
        <x:v>Etapas</x:v>
      </x:c>
      <x:c r="B13" s="108" t="str">
        <x:v>Diagnóstico</x:v>
      </x:c>
      <x:c r="C13" s="108" t="str">
        <x:v>Editable</x:v>
      </x:c>
      <x:c r="D13" s="160"/>
      <x:c r="E13" s="160"/>
      <x:c r="F13" s="160"/>
      <x:c r="G13" s="161"/>
      <x:c r="H13" s="161"/>
      <x:c r="I13" s="161"/>
      <x:c r="J13" s="161"/>
      <x:c r="K13" s="161"/>
      <x:c r="L13" s="161"/>
      <x:c r="M13" s="161"/>
      <x:c r="N13" s="161"/>
      <x:c r="O13" s="161"/>
      <x:c r="P13" s="161"/>
      <x:c r="Q13" s="161"/>
      <x:c r="R13" s="161"/>
      <x:c r="S13" s="161"/>
      <x:c r="T13" s="161"/>
      <x:c r="U13" s="161"/>
      <x:c r="V13" s="161"/>
      <x:c r="W13" s="161"/>
      <x:c r="X13" s="161"/>
      <x:c r="Y13" s="161"/>
      <x:c r="Z13" s="161"/>
    </x:row>
    <x:row r="14">
      <x:c r="A14" s="108" t="str">
        <x:v>Etapas</x:v>
      </x:c>
      <x:c r="B14" s="108" t="str">
        <x:v>Propuesta enviada</x:v>
      </x:c>
      <x:c r="C14" s="108" t="str">
        <x:v>Editable</x:v>
      </x:c>
      <x:c r="D14" s="160"/>
      <x:c r="E14" s="160"/>
      <x:c r="F14" s="160"/>
      <x:c r="G14" s="161"/>
      <x:c r="H14" s="161"/>
      <x:c r="I14" s="161"/>
      <x:c r="J14" s="161"/>
      <x:c r="K14" s="161"/>
      <x:c r="L14" s="161"/>
      <x:c r="M14" s="161"/>
      <x:c r="N14" s="161"/>
      <x:c r="O14" s="161"/>
      <x:c r="P14" s="161"/>
      <x:c r="Q14" s="161"/>
      <x:c r="R14" s="161"/>
      <x:c r="S14" s="161"/>
      <x:c r="T14" s="161"/>
      <x:c r="U14" s="161"/>
      <x:c r="V14" s="161"/>
      <x:c r="W14" s="161"/>
      <x:c r="X14" s="161"/>
      <x:c r="Y14" s="161"/>
      <x:c r="Z14" s="161"/>
    </x:row>
    <x:row r="15">
      <x:c r="A15" s="108" t="str">
        <x:v>Etapas</x:v>
      </x:c>
      <x:c r="B15" s="108" t="str">
        <x:v>Negociación</x:v>
      </x:c>
      <x:c r="C15" s="108" t="str">
        <x:v>Editable</x:v>
      </x:c>
      <x:c r="D15" s="160"/>
      <x:c r="E15" s="160"/>
      <x:c r="F15" s="160"/>
      <x:c r="G15" s="161"/>
      <x:c r="H15" s="161"/>
      <x:c r="I15" s="161"/>
      <x:c r="J15" s="161"/>
      <x:c r="K15" s="161"/>
      <x:c r="L15" s="161"/>
      <x:c r="M15" s="161"/>
      <x:c r="N15" s="161"/>
      <x:c r="O15" s="161"/>
      <x:c r="P15" s="161"/>
      <x:c r="Q15" s="161"/>
      <x:c r="R15" s="161"/>
      <x:c r="S15" s="161"/>
      <x:c r="T15" s="161"/>
      <x:c r="U15" s="161"/>
      <x:c r="V15" s="161"/>
      <x:c r="W15" s="161"/>
      <x:c r="X15" s="161"/>
      <x:c r="Y15" s="161"/>
      <x:c r="Z15" s="161"/>
    </x:row>
    <x:row r="16">
      <x:c r="A16" s="108" t="str">
        <x:v>Etapas</x:v>
      </x:c>
      <x:c r="B16" s="108" t="str">
        <x:v>Ganada</x:v>
      </x:c>
      <x:c r="C16" s="108" t="str">
        <x:v>Editable</x:v>
      </x:c>
      <x:c r="D16" s="160"/>
      <x:c r="E16" s="160"/>
      <x:c r="F16" s="160"/>
      <x:c r="G16" s="161"/>
      <x:c r="H16" s="161"/>
      <x:c r="I16" s="161"/>
      <x:c r="J16" s="161"/>
      <x:c r="K16" s="161"/>
      <x:c r="L16" s="161"/>
      <x:c r="M16" s="161"/>
      <x:c r="N16" s="161"/>
      <x:c r="O16" s="161"/>
      <x:c r="P16" s="161"/>
      <x:c r="Q16" s="161"/>
      <x:c r="R16" s="161"/>
      <x:c r="S16" s="161"/>
      <x:c r="T16" s="161"/>
      <x:c r="U16" s="161"/>
      <x:c r="V16" s="161"/>
      <x:c r="W16" s="161"/>
      <x:c r="X16" s="161"/>
      <x:c r="Y16" s="161"/>
      <x:c r="Z16" s="161"/>
    </x:row>
    <x:row r="17">
      <x:c r="A17" s="108" t="str">
        <x:v>Etapas</x:v>
      </x:c>
      <x:c r="B17" s="108" t="str">
        <x:v>Perdida</x:v>
      </x:c>
      <x:c r="C17" s="108" t="str">
        <x:v>Editable</x:v>
      </x:c>
      <x:c r="D17" s="160"/>
      <x:c r="E17" s="160"/>
      <x:c r="F17" s="160"/>
      <x:c r="G17" s="161"/>
      <x:c r="H17" s="161"/>
      <x:c r="I17" s="161"/>
      <x:c r="J17" s="161"/>
      <x:c r="K17" s="161"/>
      <x:c r="L17" s="161"/>
      <x:c r="M17" s="161"/>
      <x:c r="N17" s="161"/>
      <x:c r="O17" s="161"/>
      <x:c r="P17" s="161"/>
      <x:c r="Q17" s="161"/>
      <x:c r="R17" s="161"/>
      <x:c r="S17" s="161"/>
      <x:c r="T17" s="161"/>
      <x:c r="U17" s="161"/>
      <x:c r="V17" s="161"/>
      <x:c r="W17" s="161"/>
      <x:c r="X17" s="161"/>
      <x:c r="Y17" s="161"/>
      <x:c r="Z17" s="161"/>
    </x:row>
    <x:row r="18">
      <x:c r="A18" s="108" t="str">
        <x:v>Canales</x:v>
      </x:c>
      <x:c r="B18" s="108" t="str">
        <x:v>WhatsApp</x:v>
      </x:c>
      <x:c r="C18" s="108" t="str">
        <x:v>Editable</x:v>
      </x:c>
      <x:c r="D18" s="160"/>
      <x:c r="E18" s="160"/>
      <x:c r="F18" s="160"/>
      <x:c r="G18" s="161"/>
      <x:c r="H18" s="161"/>
      <x:c r="I18" s="161"/>
      <x:c r="J18" s="161"/>
      <x:c r="K18" s="161"/>
      <x:c r="L18" s="161"/>
      <x:c r="M18" s="161"/>
      <x:c r="N18" s="161"/>
      <x:c r="O18" s="161"/>
      <x:c r="P18" s="161"/>
      <x:c r="Q18" s="161"/>
      <x:c r="R18" s="161"/>
      <x:c r="S18" s="161"/>
      <x:c r="T18" s="161"/>
      <x:c r="U18" s="161"/>
      <x:c r="V18" s="161"/>
      <x:c r="W18" s="161"/>
      <x:c r="X18" s="161"/>
      <x:c r="Y18" s="161"/>
      <x:c r="Z18" s="161"/>
    </x:row>
    <x:row r="19">
      <x:c r="A19" s="108" t="str">
        <x:v>Canales</x:v>
      </x:c>
      <x:c r="B19" s="108" t="str">
        <x:v>Llamada</x:v>
      </x:c>
      <x:c r="C19" s="108" t="str">
        <x:v>Editable</x:v>
      </x:c>
      <x:c r="D19" s="160"/>
      <x:c r="E19" s="160"/>
      <x:c r="F19" s="160"/>
      <x:c r="G19" s="161"/>
      <x:c r="H19" s="161"/>
      <x:c r="I19" s="161"/>
      <x:c r="J19" s="161"/>
      <x:c r="K19" s="161"/>
      <x:c r="L19" s="161"/>
      <x:c r="M19" s="161"/>
      <x:c r="N19" s="161"/>
      <x:c r="O19" s="161"/>
      <x:c r="P19" s="161"/>
      <x:c r="Q19" s="161"/>
      <x:c r="R19" s="161"/>
      <x:c r="S19" s="161"/>
      <x:c r="T19" s="161"/>
      <x:c r="U19" s="161"/>
      <x:c r="V19" s="161"/>
      <x:c r="W19" s="161"/>
      <x:c r="X19" s="161"/>
      <x:c r="Y19" s="161"/>
      <x:c r="Z19" s="161"/>
    </x:row>
    <x:row r="20">
      <x:c r="A20" s="108" t="str">
        <x:v>Canales</x:v>
      </x:c>
      <x:c r="B20" s="108" t="str">
        <x:v>Correo</x:v>
      </x:c>
      <x:c r="C20" s="108" t="str">
        <x:v>Editable</x:v>
      </x:c>
      <x:c r="D20" s="160"/>
      <x:c r="E20" s="160"/>
      <x:c r="F20" s="160"/>
      <x:c r="G20" s="161"/>
      <x:c r="H20" s="161"/>
      <x:c r="I20" s="161"/>
      <x:c r="J20" s="161"/>
      <x:c r="K20" s="161"/>
      <x:c r="L20" s="161"/>
      <x:c r="M20" s="161"/>
      <x:c r="N20" s="161"/>
      <x:c r="O20" s="161"/>
      <x:c r="P20" s="161"/>
      <x:c r="Q20" s="161"/>
      <x:c r="R20" s="161"/>
      <x:c r="S20" s="161"/>
      <x:c r="T20" s="161"/>
      <x:c r="U20" s="161"/>
      <x:c r="V20" s="161"/>
      <x:c r="W20" s="161"/>
      <x:c r="X20" s="161"/>
      <x:c r="Y20" s="161"/>
      <x:c r="Z20" s="161"/>
    </x:row>
    <x:row r="21">
      <x:c r="A21" s="108" t="str">
        <x:v>Canales</x:v>
      </x:c>
      <x:c r="B21" s="108" t="str">
        <x:v>Reunión</x:v>
      </x:c>
      <x:c r="C21" s="108" t="str">
        <x:v>Editable</x:v>
      </x:c>
      <x:c r="D21" s="160"/>
      <x:c r="E21" s="160"/>
      <x:c r="F21" s="160"/>
      <x:c r="G21" s="161"/>
      <x:c r="H21" s="161"/>
      <x:c r="I21" s="161"/>
      <x:c r="J21" s="161"/>
      <x:c r="K21" s="161"/>
      <x:c r="L21" s="161"/>
      <x:c r="M21" s="161"/>
      <x:c r="N21" s="161"/>
      <x:c r="O21" s="161"/>
      <x:c r="P21" s="161"/>
      <x:c r="Q21" s="161"/>
      <x:c r="R21" s="161"/>
      <x:c r="S21" s="161"/>
      <x:c r="T21" s="161"/>
      <x:c r="U21" s="161"/>
      <x:c r="V21" s="161"/>
      <x:c r="W21" s="161"/>
      <x:c r="X21" s="161"/>
      <x:c r="Y21" s="161"/>
      <x:c r="Z21" s="161"/>
    </x:row>
    <x:row r="22">
      <x:c r="A22" s="108" t="str">
        <x:v>Canales</x:v>
      </x:c>
      <x:c r="B22" s="108" t="str">
        <x:v>LinkedIn</x:v>
      </x:c>
      <x:c r="C22" s="108" t="str">
        <x:v>Editable</x:v>
      </x:c>
      <x:c r="D22" s="160"/>
      <x:c r="E22" s="160"/>
      <x:c r="F22" s="160"/>
      <x:c r="G22" s="161"/>
      <x:c r="H22" s="161"/>
      <x:c r="I22" s="161"/>
      <x:c r="J22" s="161"/>
      <x:c r="K22" s="161"/>
      <x:c r="L22" s="161"/>
      <x:c r="M22" s="161"/>
      <x:c r="N22" s="161"/>
      <x:c r="O22" s="161"/>
      <x:c r="P22" s="161"/>
      <x:c r="Q22" s="161"/>
      <x:c r="R22" s="161"/>
      <x:c r="S22" s="161"/>
      <x:c r="T22" s="161"/>
      <x:c r="U22" s="161"/>
      <x:c r="V22" s="161"/>
      <x:c r="W22" s="161"/>
      <x:c r="X22" s="161"/>
      <x:c r="Y22" s="161"/>
      <x:c r="Z22" s="161"/>
    </x:row>
    <x:row r="23">
      <x:c r="A23" s="108" t="str">
        <x:v>Canales</x:v>
      </x:c>
      <x:c r="B23" s="108" t="str">
        <x:v>Referido</x:v>
      </x:c>
      <x:c r="C23" s="108" t="str">
        <x:v>Editable</x:v>
      </x:c>
      <x:c r="D23" s="160"/>
      <x:c r="E23" s="160"/>
      <x:c r="F23" s="160"/>
      <x:c r="G23" s="161"/>
      <x:c r="H23" s="161"/>
      <x:c r="I23" s="161"/>
      <x:c r="J23" s="161"/>
      <x:c r="K23" s="161"/>
      <x:c r="L23" s="161"/>
      <x:c r="M23" s="161"/>
      <x:c r="N23" s="161"/>
      <x:c r="O23" s="161"/>
      <x:c r="P23" s="161"/>
      <x:c r="Q23" s="161"/>
      <x:c r="R23" s="161"/>
      <x:c r="S23" s="161"/>
      <x:c r="T23" s="161"/>
      <x:c r="U23" s="161"/>
      <x:c r="V23" s="161"/>
      <x:c r="W23" s="161"/>
      <x:c r="X23" s="161"/>
      <x:c r="Y23" s="161"/>
      <x:c r="Z23" s="161"/>
    </x:row>
    <x:row r="24">
      <x:c r="A24" s="108" t="str">
        <x:v>Canales</x:v>
      </x:c>
      <x:c r="B24" s="108" t="str">
        <x:v>Otro</x:v>
      </x:c>
      <x:c r="C24" s="108" t="str">
        <x:v>Editable</x:v>
      </x:c>
      <x:c r="D24" s="160"/>
      <x:c r="E24" s="160"/>
      <x:c r="F24" s="160"/>
      <x:c r="G24" s="161"/>
      <x:c r="H24" s="161"/>
      <x:c r="I24" s="161"/>
      <x:c r="J24" s="161"/>
      <x:c r="K24" s="161"/>
      <x:c r="L24" s="161"/>
      <x:c r="M24" s="161"/>
      <x:c r="N24" s="161"/>
      <x:c r="O24" s="161"/>
      <x:c r="P24" s="161"/>
      <x:c r="Q24" s="161"/>
      <x:c r="R24" s="161"/>
      <x:c r="S24" s="161"/>
      <x:c r="T24" s="161"/>
      <x:c r="U24" s="161"/>
      <x:c r="V24" s="161"/>
      <x:c r="W24" s="161"/>
      <x:c r="X24" s="161"/>
      <x:c r="Y24" s="161"/>
      <x:c r="Z24" s="161"/>
    </x:row>
    <x:row r="25">
      <x:c r="A25" s="108" t="str">
        <x:v>Fuentes</x:v>
      </x:c>
      <x:c r="B25" s="108" t="str">
        <x:v>Redes sociales</x:v>
      </x:c>
      <x:c r="C25" s="108" t="str">
        <x:v>Editable</x:v>
      </x:c>
      <x:c r="D25" s="160"/>
      <x:c r="E25" s="160"/>
      <x:c r="F25" s="160"/>
      <x:c r="G25" s="161"/>
      <x:c r="H25" s="161"/>
      <x:c r="I25" s="161"/>
      <x:c r="J25" s="161"/>
      <x:c r="K25" s="161"/>
      <x:c r="L25" s="161"/>
      <x:c r="M25" s="161"/>
      <x:c r="N25" s="161"/>
      <x:c r="O25" s="161"/>
      <x:c r="P25" s="161"/>
      <x:c r="Q25" s="161"/>
      <x:c r="R25" s="161"/>
      <x:c r="S25" s="161"/>
      <x:c r="T25" s="161"/>
      <x:c r="U25" s="161"/>
      <x:c r="V25" s="161"/>
      <x:c r="W25" s="161"/>
      <x:c r="X25" s="161"/>
      <x:c r="Y25" s="161"/>
      <x:c r="Z25" s="161"/>
    </x:row>
    <x:row r="26">
      <x:c r="A26" s="108" t="str">
        <x:v>Fuentes</x:v>
      </x:c>
      <x:c r="B26" s="108" t="str">
        <x:v>Sitio web</x:v>
      </x:c>
      <x:c r="C26" s="108" t="str">
        <x:v>Editable</x:v>
      </x:c>
      <x:c r="D26" s="160"/>
      <x:c r="E26" s="160"/>
      <x:c r="F26" s="160"/>
      <x:c r="G26" s="161"/>
      <x:c r="H26" s="161"/>
      <x:c r="I26" s="161"/>
      <x:c r="J26" s="161"/>
      <x:c r="K26" s="161"/>
      <x:c r="L26" s="161"/>
      <x:c r="M26" s="161"/>
      <x:c r="N26" s="161"/>
      <x:c r="O26" s="161"/>
      <x:c r="P26" s="161"/>
      <x:c r="Q26" s="161"/>
      <x:c r="R26" s="161"/>
      <x:c r="S26" s="161"/>
      <x:c r="T26" s="161"/>
      <x:c r="U26" s="161"/>
      <x:c r="V26" s="161"/>
      <x:c r="W26" s="161"/>
      <x:c r="X26" s="161"/>
      <x:c r="Y26" s="161"/>
      <x:c r="Z26" s="161"/>
    </x:row>
    <x:row r="27">
      <x:c r="A27" s="108" t="str">
        <x:v>Fuentes</x:v>
      </x:c>
      <x:c r="B27" s="108" t="str">
        <x:v>Referido</x:v>
      </x:c>
      <x:c r="C27" s="108" t="str">
        <x:v>Editable</x:v>
      </x:c>
      <x:c r="D27" s="160"/>
      <x:c r="E27" s="160"/>
      <x:c r="F27" s="160"/>
      <x:c r="G27" s="161"/>
      <x:c r="H27" s="161"/>
      <x:c r="I27" s="161"/>
      <x:c r="J27" s="161"/>
      <x:c r="K27" s="161"/>
      <x:c r="L27" s="161"/>
      <x:c r="M27" s="161"/>
      <x:c r="N27" s="161"/>
      <x:c r="O27" s="161"/>
      <x:c r="P27" s="161"/>
      <x:c r="Q27" s="161"/>
      <x:c r="R27" s="161"/>
      <x:c r="S27" s="161"/>
      <x:c r="T27" s="161"/>
      <x:c r="U27" s="161"/>
      <x:c r="V27" s="161"/>
      <x:c r="W27" s="161"/>
      <x:c r="X27" s="161"/>
      <x:c r="Y27" s="161"/>
      <x:c r="Z27" s="161"/>
    </x:row>
    <x:row r="28">
      <x:c r="A28" s="108" t="str">
        <x:v>Fuentes</x:v>
      </x:c>
      <x:c r="B28" s="108" t="str">
        <x:v>Campaña</x:v>
      </x:c>
      <x:c r="C28" s="108" t="str">
        <x:v>Editable</x:v>
      </x:c>
      <x:c r="D28" s="160"/>
      <x:c r="E28" s="160"/>
      <x:c r="F28" s="160"/>
      <x:c r="G28" s="161"/>
      <x:c r="H28" s="161"/>
      <x:c r="I28" s="161"/>
      <x:c r="J28" s="161"/>
      <x:c r="K28" s="161"/>
      <x:c r="L28" s="161"/>
      <x:c r="M28" s="161"/>
      <x:c r="N28" s="161"/>
      <x:c r="O28" s="161"/>
      <x:c r="P28" s="161"/>
      <x:c r="Q28" s="161"/>
      <x:c r="R28" s="161"/>
      <x:c r="S28" s="161"/>
      <x:c r="T28" s="161"/>
      <x:c r="U28" s="161"/>
      <x:c r="V28" s="161"/>
      <x:c r="W28" s="161"/>
      <x:c r="X28" s="161"/>
      <x:c r="Y28" s="161"/>
      <x:c r="Z28" s="161"/>
    </x:row>
    <x:row r="29">
      <x:c r="A29" s="108" t="str">
        <x:v>Fuentes</x:v>
      </x:c>
      <x:c r="B29" s="108" t="str">
        <x:v>Evento</x:v>
      </x:c>
      <x:c r="C29" s="108" t="str">
        <x:v>Editable</x:v>
      </x:c>
      <x:c r="D29" s="160"/>
      <x:c r="E29" s="160"/>
      <x:c r="F29" s="160"/>
      <x:c r="G29" s="161"/>
      <x:c r="H29" s="161"/>
      <x:c r="I29" s="161"/>
      <x:c r="J29" s="161"/>
      <x:c r="K29" s="161"/>
      <x:c r="L29" s="161"/>
      <x:c r="M29" s="161"/>
      <x:c r="N29" s="161"/>
      <x:c r="O29" s="161"/>
      <x:c r="P29" s="161"/>
      <x:c r="Q29" s="161"/>
      <x:c r="R29" s="161"/>
      <x:c r="S29" s="161"/>
      <x:c r="T29" s="161"/>
      <x:c r="U29" s="161"/>
      <x:c r="V29" s="161"/>
      <x:c r="W29" s="161"/>
      <x:c r="X29" s="161"/>
      <x:c r="Y29" s="161"/>
      <x:c r="Z29" s="161"/>
    </x:row>
    <x:row r="30">
      <x:c r="A30" s="108" t="str">
        <x:v>Fuentes</x:v>
      </x:c>
      <x:c r="B30" s="108" t="str">
        <x:v>Cliente actual</x:v>
      </x:c>
      <x:c r="C30" s="108" t="str">
        <x:v>Editable</x:v>
      </x:c>
      <x:c r="D30" s="160"/>
      <x:c r="E30" s="160"/>
      <x:c r="F30" s="160"/>
      <x:c r="G30" s="161"/>
      <x:c r="H30" s="161"/>
      <x:c r="I30" s="161"/>
      <x:c r="J30" s="161"/>
      <x:c r="K30" s="161"/>
      <x:c r="L30" s="161"/>
      <x:c r="M30" s="161"/>
      <x:c r="N30" s="161"/>
      <x:c r="O30" s="161"/>
      <x:c r="P30" s="161"/>
      <x:c r="Q30" s="161"/>
      <x:c r="R30" s="161"/>
      <x:c r="S30" s="161"/>
      <x:c r="T30" s="161"/>
      <x:c r="U30" s="161"/>
      <x:c r="V30" s="161"/>
      <x:c r="W30" s="161"/>
      <x:c r="X30" s="161"/>
      <x:c r="Y30" s="161"/>
      <x:c r="Z30" s="161"/>
    </x:row>
    <x:row r="31">
      <x:c r="A31" s="108" t="str">
        <x:v>Fuentes</x:v>
      </x:c>
      <x:c r="B31" s="108" t="str">
        <x:v>Otro</x:v>
      </x:c>
      <x:c r="C31" s="108" t="str">
        <x:v>Editable</x:v>
      </x:c>
      <x:c r="D31" s="160"/>
      <x:c r="E31" s="160"/>
      <x:c r="F31" s="160"/>
      <x:c r="G31" s="161"/>
      <x:c r="H31" s="161"/>
      <x:c r="I31" s="161"/>
      <x:c r="J31" s="161"/>
      <x:c r="K31" s="161"/>
      <x:c r="L31" s="161"/>
      <x:c r="M31" s="161"/>
      <x:c r="N31" s="161"/>
      <x:c r="O31" s="161"/>
      <x:c r="P31" s="161"/>
      <x:c r="Q31" s="161"/>
      <x:c r="R31" s="161"/>
      <x:c r="S31" s="161"/>
      <x:c r="T31" s="161"/>
      <x:c r="U31" s="161"/>
      <x:c r="V31" s="161"/>
      <x:c r="W31" s="161"/>
      <x:c r="X31" s="161"/>
      <x:c r="Y31" s="161"/>
      <x:c r="Z31" s="161"/>
    </x:row>
    <x:row r="32">
      <x:c r="A32" s="108" t="str">
        <x:v>Segmentos</x:v>
      </x:c>
      <x:c r="B32" s="108" t="str">
        <x:v>Microempresa</x:v>
      </x:c>
      <x:c r="C32" s="108" t="str">
        <x:v>Editable</x:v>
      </x:c>
      <x:c r="D32" s="160"/>
      <x:c r="E32" s="160"/>
      <x:c r="F32" s="160"/>
      <x:c r="G32" s="161"/>
      <x:c r="H32" s="161"/>
      <x:c r="I32" s="161"/>
      <x:c r="J32" s="161"/>
      <x:c r="K32" s="161"/>
      <x:c r="L32" s="161"/>
      <x:c r="M32" s="161"/>
      <x:c r="N32" s="161"/>
      <x:c r="O32" s="161"/>
      <x:c r="P32" s="161"/>
      <x:c r="Q32" s="161"/>
      <x:c r="R32" s="161"/>
      <x:c r="S32" s="161"/>
      <x:c r="T32" s="161"/>
      <x:c r="U32" s="161"/>
      <x:c r="V32" s="161"/>
      <x:c r="W32" s="161"/>
      <x:c r="X32" s="161"/>
      <x:c r="Y32" s="161"/>
      <x:c r="Z32" s="161"/>
    </x:row>
    <x:row r="33">
      <x:c r="A33" s="108" t="str">
        <x:v>Segmentos</x:v>
      </x:c>
      <x:c r="B33" s="108" t="str">
        <x:v>PYME</x:v>
      </x:c>
      <x:c r="C33" s="108" t="str">
        <x:v>Editable</x:v>
      </x:c>
      <x:c r="D33" s="160"/>
      <x:c r="E33" s="160"/>
      <x:c r="F33" s="160"/>
      <x:c r="G33" s="161"/>
      <x:c r="H33" s="161"/>
      <x:c r="I33" s="161"/>
      <x:c r="J33" s="161"/>
      <x:c r="K33" s="161"/>
      <x:c r="L33" s="161"/>
      <x:c r="M33" s="161"/>
      <x:c r="N33" s="161"/>
      <x:c r="O33" s="161"/>
      <x:c r="P33" s="161"/>
      <x:c r="Q33" s="161"/>
      <x:c r="R33" s="161"/>
      <x:c r="S33" s="161"/>
      <x:c r="T33" s="161"/>
      <x:c r="U33" s="161"/>
      <x:c r="V33" s="161"/>
      <x:c r="W33" s="161"/>
      <x:c r="X33" s="161"/>
      <x:c r="Y33" s="161"/>
      <x:c r="Z33" s="161"/>
    </x:row>
    <x:row r="34">
      <x:c r="A34" s="108" t="str">
        <x:v>Segmentos</x:v>
      </x:c>
      <x:c r="B34" s="108" t="str">
        <x:v>Corporativo</x:v>
      </x:c>
      <x:c r="C34" s="108" t="str">
        <x:v>Editable</x:v>
      </x:c>
      <x:c r="D34" s="160"/>
      <x:c r="E34" s="160"/>
      <x:c r="F34" s="160"/>
      <x:c r="G34" s="161"/>
      <x:c r="H34" s="161"/>
      <x:c r="I34" s="161"/>
      <x:c r="J34" s="161"/>
      <x:c r="K34" s="161"/>
      <x:c r="L34" s="161"/>
      <x:c r="M34" s="161"/>
      <x:c r="N34" s="161"/>
      <x:c r="O34" s="161"/>
      <x:c r="P34" s="161"/>
      <x:c r="Q34" s="161"/>
      <x:c r="R34" s="161"/>
      <x:c r="S34" s="161"/>
      <x:c r="T34" s="161"/>
      <x:c r="U34" s="161"/>
      <x:c r="V34" s="161"/>
      <x:c r="W34" s="161"/>
      <x:c r="X34" s="161"/>
      <x:c r="Y34" s="161"/>
      <x:c r="Z34" s="161"/>
    </x:row>
    <x:row r="35">
      <x:c r="A35" s="108" t="str">
        <x:v>Segmentos</x:v>
      </x:c>
      <x:c r="B35" s="108" t="str">
        <x:v>Gobierno</x:v>
      </x:c>
      <x:c r="C35" s="108" t="str">
        <x:v>Editable</x:v>
      </x:c>
      <x:c r="D35" s="160"/>
      <x:c r="E35" s="160"/>
      <x:c r="F35" s="160"/>
      <x:c r="G35" s="161"/>
      <x:c r="H35" s="161"/>
      <x:c r="I35" s="161"/>
      <x:c r="J35" s="161"/>
      <x:c r="K35" s="161"/>
      <x:c r="L35" s="161"/>
      <x:c r="M35" s="161"/>
      <x:c r="N35" s="161"/>
      <x:c r="O35" s="161"/>
      <x:c r="P35" s="161"/>
      <x:c r="Q35" s="161"/>
      <x:c r="R35" s="161"/>
      <x:c r="S35" s="161"/>
      <x:c r="T35" s="161"/>
      <x:c r="U35" s="161"/>
      <x:c r="V35" s="161"/>
      <x:c r="W35" s="161"/>
      <x:c r="X35" s="161"/>
      <x:c r="Y35" s="161"/>
      <x:c r="Z35" s="161"/>
    </x:row>
    <x:row r="36">
      <x:c r="A36" s="108" t="str">
        <x:v>Segmentos</x:v>
      </x:c>
      <x:c r="B36" s="108" t="str">
        <x:v>Emprendedor</x:v>
      </x:c>
      <x:c r="C36" s="108" t="str">
        <x:v>Editable</x:v>
      </x:c>
      <x:c r="D36" s="160"/>
      <x:c r="E36" s="160"/>
      <x:c r="F36" s="160"/>
      <x:c r="G36" s="161"/>
      <x:c r="H36" s="161"/>
      <x:c r="I36" s="161"/>
      <x:c r="J36" s="161"/>
      <x:c r="K36" s="161"/>
      <x:c r="L36" s="161"/>
      <x:c r="M36" s="161"/>
      <x:c r="N36" s="161"/>
      <x:c r="O36" s="161"/>
      <x:c r="P36" s="161"/>
      <x:c r="Q36" s="161"/>
      <x:c r="R36" s="161"/>
      <x:c r="S36" s="161"/>
      <x:c r="T36" s="161"/>
      <x:c r="U36" s="161"/>
      <x:c r="V36" s="161"/>
      <x:c r="W36" s="161"/>
      <x:c r="X36" s="161"/>
      <x:c r="Y36" s="161"/>
      <x:c r="Z36" s="161"/>
    </x:row>
    <x:row r="37">
      <x:c r="A37" s="108" t="str">
        <x:v>Segmentos</x:v>
      </x:c>
      <x:c r="B37" s="108" t="str">
        <x:v>Consultoría</x:v>
      </x:c>
      <x:c r="C37" s="108" t="str">
        <x:v>Editable</x:v>
      </x:c>
      <x:c r="D37" s="160"/>
      <x:c r="E37" s="160"/>
      <x:c r="F37" s="160"/>
      <x:c r="G37" s="161"/>
      <x:c r="H37" s="161"/>
      <x:c r="I37" s="161"/>
      <x:c r="J37" s="161"/>
      <x:c r="K37" s="161"/>
      <x:c r="L37" s="161"/>
      <x:c r="M37" s="161"/>
      <x:c r="N37" s="161"/>
      <x:c r="O37" s="161"/>
      <x:c r="P37" s="161"/>
      <x:c r="Q37" s="161"/>
      <x:c r="R37" s="161"/>
      <x:c r="S37" s="161"/>
      <x:c r="T37" s="161"/>
      <x:c r="U37" s="161"/>
      <x:c r="V37" s="161"/>
      <x:c r="W37" s="161"/>
      <x:c r="X37" s="161"/>
      <x:c r="Y37" s="161"/>
      <x:c r="Z37" s="161"/>
    </x:row>
    <x:row r="38">
      <x:c r="A38" s="108" t="str">
        <x:v>Segmentos</x:v>
      </x:c>
      <x:c r="B38" s="108" t="str">
        <x:v>Otro</x:v>
      </x:c>
      <x:c r="C38" s="108" t="str">
        <x:v>Editable</x:v>
      </x:c>
      <x:c r="D38" s="160"/>
      <x:c r="E38" s="160"/>
      <x:c r="F38" s="160"/>
      <x:c r="G38" s="161"/>
      <x:c r="H38" s="161"/>
      <x:c r="I38" s="161"/>
      <x:c r="J38" s="161"/>
      <x:c r="K38" s="161"/>
      <x:c r="L38" s="161"/>
      <x:c r="M38" s="161"/>
      <x:c r="N38" s="161"/>
      <x:c r="O38" s="161"/>
      <x:c r="P38" s="161"/>
      <x:c r="Q38" s="161"/>
      <x:c r="R38" s="161"/>
      <x:c r="S38" s="161"/>
      <x:c r="T38" s="161"/>
      <x:c r="U38" s="161"/>
      <x:c r="V38" s="161"/>
      <x:c r="W38" s="161"/>
      <x:c r="X38" s="161"/>
      <x:c r="Y38" s="161"/>
      <x:c r="Z38" s="161"/>
    </x:row>
    <x:row r="39">
      <x:c r="A39" s="108" t="str">
        <x:v>Estatus cliente</x:v>
      </x:c>
      <x:c r="B39" s="108" t="str">
        <x:v>Prospecto</x:v>
      </x:c>
      <x:c r="C39" s="108" t="str">
        <x:v>Editable</x:v>
      </x:c>
      <x:c r="D39" s="160"/>
      <x:c r="E39" s="160"/>
      <x:c r="F39" s="160"/>
      <x:c r="G39" s="161"/>
      <x:c r="H39" s="161"/>
      <x:c r="I39" s="161"/>
      <x:c r="J39" s="161"/>
      <x:c r="K39" s="161"/>
      <x:c r="L39" s="161"/>
      <x:c r="M39" s="161"/>
      <x:c r="N39" s="161"/>
      <x:c r="O39" s="161"/>
      <x:c r="P39" s="161"/>
      <x:c r="Q39" s="161"/>
      <x:c r="R39" s="161"/>
      <x:c r="S39" s="161"/>
      <x:c r="T39" s="161"/>
      <x:c r="U39" s="161"/>
      <x:c r="V39" s="161"/>
      <x:c r="W39" s="161"/>
      <x:c r="X39" s="161"/>
      <x:c r="Y39" s="161"/>
      <x:c r="Z39" s="161"/>
    </x:row>
    <x:row r="40">
      <x:c r="A40" s="108" t="str">
        <x:v>Estatus cliente</x:v>
      </x:c>
      <x:c r="B40" s="108" t="str">
        <x:v>Activo</x:v>
      </x:c>
      <x:c r="C40" s="108" t="str">
        <x:v>Editable</x:v>
      </x:c>
      <x:c r="D40" s="160"/>
      <x:c r="E40" s="160"/>
      <x:c r="F40" s="160"/>
      <x:c r="G40" s="161"/>
      <x:c r="H40" s="161"/>
      <x:c r="I40" s="161"/>
      <x:c r="J40" s="161"/>
      <x:c r="K40" s="161"/>
      <x:c r="L40" s="161"/>
      <x:c r="M40" s="161"/>
      <x:c r="N40" s="161"/>
      <x:c r="O40" s="161"/>
      <x:c r="P40" s="161"/>
      <x:c r="Q40" s="161"/>
      <x:c r="R40" s="161"/>
      <x:c r="S40" s="161"/>
      <x:c r="T40" s="161"/>
      <x:c r="U40" s="161"/>
      <x:c r="V40" s="161"/>
      <x:c r="W40" s="161"/>
      <x:c r="X40" s="161"/>
      <x:c r="Y40" s="161"/>
      <x:c r="Z40" s="161"/>
    </x:row>
    <x:row r="41">
      <x:c r="A41" s="108" t="str">
        <x:v>Estatus cliente</x:v>
      </x:c>
      <x:c r="B41" s="108" t="str">
        <x:v>Inactivo</x:v>
      </x:c>
      <x:c r="C41" s="108" t="str">
        <x:v>Editable</x:v>
      </x:c>
      <x:c r="D41" s="160"/>
      <x:c r="E41" s="160"/>
      <x:c r="F41" s="160"/>
      <x:c r="G41" s="161"/>
      <x:c r="H41" s="161"/>
      <x:c r="I41" s="161"/>
      <x:c r="J41" s="161"/>
      <x:c r="K41" s="161"/>
      <x:c r="L41" s="161"/>
      <x:c r="M41" s="161"/>
      <x:c r="N41" s="161"/>
      <x:c r="O41" s="161"/>
      <x:c r="P41" s="161"/>
      <x:c r="Q41" s="161"/>
      <x:c r="R41" s="161"/>
      <x:c r="S41" s="161"/>
      <x:c r="T41" s="161"/>
      <x:c r="U41" s="161"/>
      <x:c r="V41" s="161"/>
      <x:c r="W41" s="161"/>
      <x:c r="X41" s="161"/>
      <x:c r="Y41" s="161"/>
      <x:c r="Z41" s="161"/>
    </x:row>
    <x:row r="42">
      <x:c r="A42" s="108" t="str">
        <x:v>Estatus cliente</x:v>
      </x:c>
      <x:c r="B42" s="108" t="str">
        <x:v>Bloqueado</x:v>
      </x:c>
      <x:c r="C42" s="108" t="str">
        <x:v>Editable</x:v>
      </x:c>
      <x:c r="D42" s="160"/>
      <x:c r="E42" s="160"/>
      <x:c r="F42" s="160"/>
      <x:c r="G42" s="161"/>
      <x:c r="H42" s="161"/>
      <x:c r="I42" s="161"/>
      <x:c r="J42" s="161"/>
      <x:c r="K42" s="161"/>
      <x:c r="L42" s="161"/>
      <x:c r="M42" s="161"/>
      <x:c r="N42" s="161"/>
      <x:c r="O42" s="161"/>
      <x:c r="P42" s="161"/>
      <x:c r="Q42" s="161"/>
      <x:c r="R42" s="161"/>
      <x:c r="S42" s="161"/>
      <x:c r="T42" s="161"/>
      <x:c r="U42" s="161"/>
      <x:c r="V42" s="161"/>
      <x:c r="W42" s="161"/>
      <x:c r="X42" s="161"/>
      <x:c r="Y42" s="161"/>
      <x:c r="Z42" s="161"/>
    </x:row>
    <x:row r="43">
      <x:c r="A43" s="108" t="str">
        <x:v>Estatus oportunidad</x:v>
      </x:c>
      <x:c r="B43" s="108" t="str">
        <x:v>Abierta</x:v>
      </x:c>
      <x:c r="C43" s="108" t="str">
        <x:v>Editable</x:v>
      </x:c>
      <x:c r="D43" s="160"/>
      <x:c r="E43" s="160"/>
      <x:c r="F43" s="160"/>
      <x:c r="G43" s="161"/>
      <x:c r="H43" s="161"/>
      <x:c r="I43" s="161"/>
      <x:c r="J43" s="161"/>
      <x:c r="K43" s="161"/>
      <x:c r="L43" s="161"/>
      <x:c r="M43" s="161"/>
      <x:c r="N43" s="161"/>
      <x:c r="O43" s="161"/>
      <x:c r="P43" s="161"/>
      <x:c r="Q43" s="161"/>
      <x:c r="R43" s="161"/>
      <x:c r="S43" s="161"/>
      <x:c r="T43" s="161"/>
      <x:c r="U43" s="161"/>
      <x:c r="V43" s="161"/>
      <x:c r="W43" s="161"/>
      <x:c r="X43" s="161"/>
      <x:c r="Y43" s="161"/>
      <x:c r="Z43" s="161"/>
    </x:row>
    <x:row r="44">
      <x:c r="A44" s="108" t="str">
        <x:v>Estatus oportunidad</x:v>
      </x:c>
      <x:c r="B44" s="108" t="str">
        <x:v>Ganada</x:v>
      </x:c>
      <x:c r="C44" s="108" t="str">
        <x:v>Editable</x:v>
      </x:c>
      <x:c r="D44" s="160"/>
      <x:c r="E44" s="160"/>
      <x:c r="F44" s="160"/>
      <x:c r="G44" s="161"/>
      <x:c r="H44" s="161"/>
      <x:c r="I44" s="161"/>
      <x:c r="J44" s="161"/>
      <x:c r="K44" s="161"/>
      <x:c r="L44" s="161"/>
      <x:c r="M44" s="161"/>
      <x:c r="N44" s="161"/>
      <x:c r="O44" s="161"/>
      <x:c r="P44" s="161"/>
      <x:c r="Q44" s="161"/>
      <x:c r="R44" s="161"/>
      <x:c r="S44" s="161"/>
      <x:c r="T44" s="161"/>
      <x:c r="U44" s="161"/>
      <x:c r="V44" s="161"/>
      <x:c r="W44" s="161"/>
      <x:c r="X44" s="161"/>
      <x:c r="Y44" s="161"/>
      <x:c r="Z44" s="161"/>
    </x:row>
    <x:row r="45">
      <x:c r="A45" s="108" t="str">
        <x:v>Estatus oportunidad</x:v>
      </x:c>
      <x:c r="B45" s="108" t="str">
        <x:v>Perdida</x:v>
      </x:c>
      <x:c r="C45" s="108" t="str">
        <x:v>Editable</x:v>
      </x:c>
      <x:c r="D45" s="160"/>
      <x:c r="E45" s="160"/>
      <x:c r="F45" s="160"/>
      <x:c r="G45" s="161"/>
      <x:c r="H45" s="161"/>
      <x:c r="I45" s="161"/>
      <x:c r="J45" s="161"/>
      <x:c r="K45" s="161"/>
      <x:c r="L45" s="161"/>
      <x:c r="M45" s="161"/>
      <x:c r="N45" s="161"/>
      <x:c r="O45" s="161"/>
      <x:c r="P45" s="161"/>
      <x:c r="Q45" s="161"/>
      <x:c r="R45" s="161"/>
      <x:c r="S45" s="161"/>
      <x:c r="T45" s="161"/>
      <x:c r="U45" s="161"/>
      <x:c r="V45" s="161"/>
      <x:c r="W45" s="161"/>
      <x:c r="X45" s="161"/>
      <x:c r="Y45" s="161"/>
      <x:c r="Z45" s="161"/>
    </x:row>
    <x:row r="46">
      <x:c r="A46" s="108" t="str">
        <x:v>Estatus oportunidad</x:v>
      </x:c>
      <x:c r="B46" s="108" t="str">
        <x:v>Pausada</x:v>
      </x:c>
      <x:c r="C46" s="108" t="str">
        <x:v>Editable</x:v>
      </x:c>
      <x:c r="D46" s="160"/>
      <x:c r="E46" s="160"/>
      <x:c r="F46" s="160"/>
      <x:c r="G46" s="161"/>
      <x:c r="H46" s="161"/>
      <x:c r="I46" s="161"/>
      <x:c r="J46" s="161"/>
      <x:c r="K46" s="161"/>
      <x:c r="L46" s="161"/>
      <x:c r="M46" s="161"/>
      <x:c r="N46" s="161"/>
      <x:c r="O46" s="161"/>
      <x:c r="P46" s="161"/>
      <x:c r="Q46" s="161"/>
      <x:c r="R46" s="161"/>
      <x:c r="S46" s="161"/>
      <x:c r="T46" s="161"/>
      <x:c r="U46" s="161"/>
      <x:c r="V46" s="161"/>
      <x:c r="W46" s="161"/>
      <x:c r="X46" s="161"/>
      <x:c r="Y46" s="161"/>
      <x:c r="Z46" s="161"/>
    </x:row>
    <x:row r="47">
      <x:c r="A47" s="108" t="str">
        <x:v>Prioridad</x:v>
      </x:c>
      <x:c r="B47" s="108" t="str">
        <x:v>Alta</x:v>
      </x:c>
      <x:c r="C47" s="108" t="str">
        <x:v>Editable</x:v>
      </x:c>
      <x:c r="D47" s="160"/>
      <x:c r="E47" s="160"/>
      <x:c r="F47" s="160"/>
      <x:c r="G47" s="161"/>
      <x:c r="H47" s="161"/>
      <x:c r="I47" s="161"/>
      <x:c r="J47" s="161"/>
      <x:c r="K47" s="161"/>
      <x:c r="L47" s="161"/>
      <x:c r="M47" s="161"/>
      <x:c r="N47" s="161"/>
      <x:c r="O47" s="161"/>
      <x:c r="P47" s="161"/>
      <x:c r="Q47" s="161"/>
      <x:c r="R47" s="161"/>
      <x:c r="S47" s="161"/>
      <x:c r="T47" s="161"/>
      <x:c r="U47" s="161"/>
      <x:c r="V47" s="161"/>
      <x:c r="W47" s="161"/>
      <x:c r="X47" s="161"/>
      <x:c r="Y47" s="161"/>
      <x:c r="Z47" s="161"/>
    </x:row>
    <x:row r="48">
      <x:c r="A48" s="108" t="str">
        <x:v>Prioridad</x:v>
      </x:c>
      <x:c r="B48" s="108" t="str">
        <x:v>Media</x:v>
      </x:c>
      <x:c r="C48" s="108" t="str">
        <x:v>Editable</x:v>
      </x:c>
      <x:c r="D48" s="160"/>
      <x:c r="E48" s="160"/>
      <x:c r="F48" s="160"/>
      <x:c r="G48" s="161"/>
      <x:c r="H48" s="161"/>
      <x:c r="I48" s="161"/>
      <x:c r="J48" s="161"/>
      <x:c r="K48" s="161"/>
      <x:c r="L48" s="161"/>
      <x:c r="M48" s="161"/>
      <x:c r="N48" s="161"/>
      <x:c r="O48" s="161"/>
      <x:c r="P48" s="161"/>
      <x:c r="Q48" s="161"/>
      <x:c r="R48" s="161"/>
      <x:c r="S48" s="161"/>
      <x:c r="T48" s="161"/>
      <x:c r="U48" s="161"/>
      <x:c r="V48" s="161"/>
      <x:c r="W48" s="161"/>
      <x:c r="X48" s="161"/>
      <x:c r="Y48" s="161"/>
      <x:c r="Z48" s="161"/>
    </x:row>
    <x:row r="49">
      <x:c r="A49" s="108" t="str">
        <x:v>Prioridad</x:v>
      </x:c>
      <x:c r="B49" s="108" t="str">
        <x:v>Baja</x:v>
      </x:c>
      <x:c r="C49" s="108" t="str">
        <x:v>Editable</x:v>
      </x:c>
      <x:c r="D49" s="160"/>
      <x:c r="E49" s="160"/>
      <x:c r="F49" s="160"/>
      <x:c r="G49" s="161"/>
      <x:c r="H49" s="161"/>
      <x:c r="I49" s="161"/>
      <x:c r="J49" s="161"/>
      <x:c r="K49" s="161"/>
      <x:c r="L49" s="161"/>
      <x:c r="M49" s="161"/>
      <x:c r="N49" s="161"/>
      <x:c r="O49" s="161"/>
      <x:c r="P49" s="161"/>
      <x:c r="Q49" s="161"/>
      <x:c r="R49" s="161"/>
      <x:c r="S49" s="161"/>
      <x:c r="T49" s="161"/>
      <x:c r="U49" s="161"/>
      <x:c r="V49" s="161"/>
      <x:c r="W49" s="161"/>
      <x:c r="X49" s="161"/>
      <x:c r="Y49" s="161"/>
      <x:c r="Z49" s="161"/>
    </x:row>
    <x:row r="50">
      <x:c r="A50" s="160"/>
      <x:c r="B50" s="160"/>
      <x:c r="C50" s="160"/>
      <x:c r="D50" s="160"/>
      <x:c r="E50" s="160"/>
      <x:c r="F50" s="160"/>
      <x:c r="G50" s="161"/>
      <x:c r="H50" s="161"/>
      <x:c r="I50" s="161"/>
      <x:c r="J50" s="161"/>
      <x:c r="K50" s="161"/>
      <x:c r="L50" s="161"/>
      <x:c r="M50" s="161"/>
      <x:c r="N50" s="161"/>
      <x:c r="O50" s="161"/>
      <x:c r="P50" s="161"/>
      <x:c r="Q50" s="161"/>
      <x:c r="R50" s="161"/>
      <x:c r="S50" s="161"/>
      <x:c r="T50" s="161"/>
      <x:c r="U50" s="161"/>
      <x:c r="V50" s="161"/>
      <x:c r="W50" s="161"/>
      <x:c r="X50" s="161"/>
      <x:c r="Y50" s="161"/>
      <x:c r="Z50" s="161"/>
    </x:row>
    <x:row r="51">
      <x:c r="A51" s="160"/>
      <x:c r="B51" s="160"/>
      <x:c r="C51" s="160"/>
      <x:c r="D51" s="160"/>
      <x:c r="E51" s="160"/>
      <x:c r="F51" s="160"/>
      <x:c r="G51" s="161"/>
      <x:c r="H51" s="161"/>
      <x:c r="I51" s="161"/>
      <x:c r="J51" s="161"/>
      <x:c r="K51" s="161"/>
      <x:c r="L51" s="161"/>
      <x:c r="M51" s="161"/>
      <x:c r="N51" s="161"/>
      <x:c r="O51" s="161"/>
      <x:c r="P51" s="161"/>
      <x:c r="Q51" s="161"/>
      <x:c r="R51" s="161"/>
      <x:c r="S51" s="161"/>
      <x:c r="T51" s="161"/>
      <x:c r="U51" s="161"/>
      <x:c r="V51" s="161"/>
      <x:c r="W51" s="161"/>
      <x:c r="X51" s="161"/>
      <x:c r="Y51" s="161"/>
      <x:c r="Z51" s="161"/>
    </x:row>
    <x:row r="52">
      <x:c r="A52" s="160"/>
      <x:c r="B52" s="160"/>
      <x:c r="C52" s="160"/>
      <x:c r="D52" s="160"/>
      <x:c r="E52" s="160"/>
      <x:c r="F52" s="160"/>
      <x:c r="G52" s="161"/>
      <x:c r="H52" s="161"/>
      <x:c r="I52" s="161"/>
      <x:c r="J52" s="161"/>
      <x:c r="K52" s="161"/>
      <x:c r="L52" s="161"/>
      <x:c r="M52" s="161"/>
      <x:c r="N52" s="161"/>
      <x:c r="O52" s="161"/>
      <x:c r="P52" s="161"/>
      <x:c r="Q52" s="161"/>
      <x:c r="R52" s="161"/>
      <x:c r="S52" s="161"/>
      <x:c r="T52" s="161"/>
      <x:c r="U52" s="161"/>
      <x:c r="V52" s="161"/>
      <x:c r="W52" s="161"/>
      <x:c r="X52" s="161"/>
      <x:c r="Y52" s="161"/>
      <x:c r="Z52" s="161"/>
    </x:row>
    <x:row r="53">
      <x:c r="A53" s="160"/>
      <x:c r="B53" s="160"/>
      <x:c r="C53" s="160"/>
      <x:c r="D53" s="160"/>
      <x:c r="E53" s="160"/>
      <x:c r="F53" s="160"/>
      <x:c r="G53" s="161"/>
      <x:c r="H53" s="161"/>
      <x:c r="I53" s="161"/>
      <x:c r="J53" s="161"/>
      <x:c r="K53" s="161"/>
      <x:c r="L53" s="161"/>
      <x:c r="M53" s="161"/>
      <x:c r="N53" s="161"/>
      <x:c r="O53" s="161"/>
      <x:c r="P53" s="161"/>
      <x:c r="Q53" s="161"/>
      <x:c r="R53" s="161"/>
      <x:c r="S53" s="161"/>
      <x:c r="T53" s="161"/>
      <x:c r="U53" s="161"/>
      <x:c r="V53" s="161"/>
      <x:c r="W53" s="161"/>
      <x:c r="X53" s="161"/>
      <x:c r="Y53" s="161"/>
      <x:c r="Z53" s="161"/>
    </x:row>
    <x:row r="54">
      <x:c r="A54" s="160"/>
      <x:c r="B54" s="160"/>
      <x:c r="C54" s="160"/>
      <x:c r="D54" s="160"/>
      <x:c r="E54" s="160"/>
      <x:c r="F54" s="160"/>
      <x:c r="G54" s="161"/>
      <x:c r="H54" s="161"/>
      <x:c r="I54" s="161"/>
      <x:c r="J54" s="161"/>
      <x:c r="K54" s="161"/>
      <x:c r="L54" s="161"/>
      <x:c r="M54" s="161"/>
      <x:c r="N54" s="161"/>
      <x:c r="O54" s="161"/>
      <x:c r="P54" s="161"/>
      <x:c r="Q54" s="161"/>
      <x:c r="R54" s="161"/>
      <x:c r="S54" s="161"/>
      <x:c r="T54" s="161"/>
      <x:c r="U54" s="161"/>
      <x:c r="V54" s="161"/>
      <x:c r="W54" s="161"/>
      <x:c r="X54" s="161"/>
      <x:c r="Y54" s="161"/>
      <x:c r="Z54" s="161"/>
    </x:row>
    <x:row r="55">
      <x:c r="A55" s="160"/>
      <x:c r="B55" s="160"/>
      <x:c r="C55" s="160"/>
      <x:c r="D55" s="160"/>
      <x:c r="E55" s="160"/>
      <x:c r="F55" s="160"/>
      <x:c r="G55" s="161"/>
      <x:c r="H55" s="161"/>
      <x:c r="I55" s="161"/>
      <x:c r="J55" s="161"/>
      <x:c r="K55" s="161"/>
      <x:c r="L55" s="161"/>
      <x:c r="M55" s="161"/>
      <x:c r="N55" s="161"/>
      <x:c r="O55" s="161"/>
      <x:c r="P55" s="161"/>
      <x:c r="Q55" s="161"/>
      <x:c r="R55" s="161"/>
      <x:c r="S55" s="161"/>
      <x:c r="T55" s="161"/>
      <x:c r="U55" s="161"/>
      <x:c r="V55" s="161"/>
      <x:c r="W55" s="161"/>
      <x:c r="X55" s="161"/>
      <x:c r="Y55" s="161"/>
      <x:c r="Z55" s="161"/>
    </x:row>
    <x:row r="56">
      <x:c r="A56" s="160"/>
      <x:c r="B56" s="160"/>
      <x:c r="C56" s="160"/>
      <x:c r="D56" s="160"/>
      <x:c r="E56" s="160"/>
      <x:c r="F56" s="160"/>
      <x:c r="G56" s="161"/>
      <x:c r="H56" s="161"/>
      <x:c r="I56" s="161"/>
      <x:c r="J56" s="161"/>
      <x:c r="K56" s="161"/>
      <x:c r="L56" s="161"/>
      <x:c r="M56" s="161"/>
      <x:c r="N56" s="161"/>
      <x:c r="O56" s="161"/>
      <x:c r="P56" s="161"/>
      <x:c r="Q56" s="161"/>
      <x:c r="R56" s="161"/>
      <x:c r="S56" s="161"/>
      <x:c r="T56" s="161"/>
      <x:c r="U56" s="161"/>
      <x:c r="V56" s="161"/>
      <x:c r="W56" s="161"/>
      <x:c r="X56" s="161"/>
      <x:c r="Y56" s="161"/>
      <x:c r="Z56" s="161"/>
    </x:row>
    <x:row r="57">
      <x:c r="A57" s="160"/>
      <x:c r="B57" s="160"/>
      <x:c r="C57" s="160"/>
      <x:c r="D57" s="160"/>
      <x:c r="E57" s="160"/>
      <x:c r="F57" s="160"/>
      <x:c r="G57" s="161"/>
      <x:c r="H57" s="161"/>
      <x:c r="I57" s="161"/>
      <x:c r="J57" s="161"/>
      <x:c r="K57" s="161"/>
      <x:c r="L57" s="161"/>
      <x:c r="M57" s="161"/>
      <x:c r="N57" s="161"/>
      <x:c r="O57" s="161"/>
      <x:c r="P57" s="161"/>
      <x:c r="Q57" s="161"/>
      <x:c r="R57" s="161"/>
      <x:c r="S57" s="161"/>
      <x:c r="T57" s="161"/>
      <x:c r="U57" s="161"/>
      <x:c r="V57" s="161"/>
      <x:c r="W57" s="161"/>
      <x:c r="X57" s="161"/>
      <x:c r="Y57" s="161"/>
      <x:c r="Z57" s="161"/>
    </x:row>
    <x:row r="58">
      <x:c r="A58" s="160"/>
      <x:c r="B58" s="160"/>
      <x:c r="C58" s="160"/>
      <x:c r="D58" s="160"/>
      <x:c r="E58" s="160"/>
      <x:c r="F58" s="160"/>
      <x:c r="G58" s="161"/>
      <x:c r="H58" s="161"/>
      <x:c r="I58" s="161"/>
      <x:c r="J58" s="161"/>
      <x:c r="K58" s="161"/>
      <x:c r="L58" s="161"/>
      <x:c r="M58" s="161"/>
      <x:c r="N58" s="161"/>
      <x:c r="O58" s="161"/>
      <x:c r="P58" s="161"/>
      <x:c r="Q58" s="161"/>
      <x:c r="R58" s="161"/>
      <x:c r="S58" s="161"/>
      <x:c r="T58" s="161"/>
      <x:c r="U58" s="161"/>
      <x:c r="V58" s="161"/>
      <x:c r="W58" s="161"/>
      <x:c r="X58" s="161"/>
      <x:c r="Y58" s="161"/>
      <x:c r="Z58" s="161"/>
    </x:row>
    <x:row r="59">
      <x:c r="A59" s="160"/>
      <x:c r="B59" s="160"/>
      <x:c r="C59" s="160"/>
      <x:c r="D59" s="160"/>
      <x:c r="E59" s="160"/>
      <x:c r="F59" s="160"/>
      <x:c r="G59" s="161"/>
      <x:c r="H59" s="161"/>
      <x:c r="I59" s="161"/>
      <x:c r="J59" s="161"/>
      <x:c r="K59" s="161"/>
      <x:c r="L59" s="161"/>
      <x:c r="M59" s="161"/>
      <x:c r="N59" s="161"/>
      <x:c r="O59" s="161"/>
      <x:c r="P59" s="161"/>
      <x:c r="Q59" s="161"/>
      <x:c r="R59" s="161"/>
      <x:c r="S59" s="161"/>
      <x:c r="T59" s="161"/>
      <x:c r="U59" s="161"/>
      <x:c r="V59" s="161"/>
      <x:c r="W59" s="161"/>
      <x:c r="X59" s="161"/>
      <x:c r="Y59" s="161"/>
      <x:c r="Z59" s="161"/>
    </x:row>
    <x:row r="60">
      <x:c r="A60" s="160"/>
      <x:c r="B60" s="160"/>
      <x:c r="C60" s="160"/>
      <x:c r="D60" s="160"/>
      <x:c r="E60" s="160"/>
      <x:c r="F60" s="160"/>
      <x:c r="G60" s="161"/>
      <x:c r="H60" s="161"/>
      <x:c r="I60" s="161"/>
      <x:c r="J60" s="161"/>
      <x:c r="K60" s="161"/>
      <x:c r="L60" s="161"/>
      <x:c r="M60" s="161"/>
      <x:c r="N60" s="161"/>
      <x:c r="O60" s="161"/>
      <x:c r="P60" s="161"/>
      <x:c r="Q60" s="161"/>
      <x:c r="R60" s="161"/>
      <x:c r="S60" s="161"/>
      <x:c r="T60" s="161"/>
      <x:c r="U60" s="161"/>
      <x:c r="V60" s="161"/>
      <x:c r="W60" s="161"/>
      <x:c r="X60" s="161"/>
      <x:c r="Y60" s="161"/>
      <x:c r="Z60" s="161"/>
    </x:row>
    <x:row r="61">
      <x:c r="A61" s="161"/>
      <x:c r="B61" s="161"/>
      <x:c r="C61" s="161"/>
      <x:c r="D61" s="161"/>
      <x:c r="E61" s="161"/>
      <x:c r="F61" s="161"/>
      <x:c r="G61" s="161"/>
      <x:c r="H61" s="161"/>
      <x:c r="I61" s="161"/>
      <x:c r="J61" s="161"/>
      <x:c r="K61" s="161"/>
      <x:c r="L61" s="161"/>
      <x:c r="M61" s="161"/>
      <x:c r="N61" s="161"/>
      <x:c r="O61" s="161"/>
      <x:c r="P61" s="161"/>
      <x:c r="Q61" s="161"/>
      <x:c r="R61" s="161"/>
      <x:c r="S61" s="161"/>
      <x:c r="T61" s="161"/>
      <x:c r="U61" s="161"/>
      <x:c r="V61" s="161"/>
      <x:c r="W61" s="161"/>
      <x:c r="X61" s="161"/>
      <x:c r="Y61" s="161"/>
      <x:c r="Z61" s="161"/>
    </x:row>
    <x:row r="62">
      <x:c r="A62" s="161"/>
      <x:c r="B62" s="161"/>
      <x:c r="C62" s="161"/>
      <x:c r="D62" s="161"/>
      <x:c r="E62" s="161"/>
      <x:c r="F62" s="161"/>
      <x:c r="G62" s="161"/>
      <x:c r="H62" s="161"/>
      <x:c r="I62" s="161"/>
      <x:c r="J62" s="161"/>
      <x:c r="K62" s="161"/>
      <x:c r="L62" s="161"/>
      <x:c r="M62" s="161"/>
      <x:c r="N62" s="161"/>
      <x:c r="O62" s="161"/>
      <x:c r="P62" s="161"/>
      <x:c r="Q62" s="161"/>
      <x:c r="R62" s="161"/>
      <x:c r="S62" s="161"/>
      <x:c r="T62" s="161"/>
      <x:c r="U62" s="161"/>
      <x:c r="V62" s="161"/>
      <x:c r="W62" s="161"/>
      <x:c r="X62" s="161"/>
      <x:c r="Y62" s="161"/>
      <x:c r="Z62" s="161"/>
    </x:row>
    <x:row r="63">
      <x:c r="A63" s="161"/>
      <x:c r="B63" s="161"/>
      <x:c r="C63" s="161"/>
      <x:c r="D63" s="161"/>
      <x:c r="E63" s="161"/>
      <x:c r="F63" s="161"/>
      <x:c r="G63" s="161"/>
      <x:c r="H63" s="161"/>
      <x:c r="I63" s="161"/>
      <x:c r="J63" s="161"/>
      <x:c r="K63" s="161"/>
      <x:c r="L63" s="161"/>
      <x:c r="M63" s="161"/>
      <x:c r="N63" s="161"/>
      <x:c r="O63" s="161"/>
      <x:c r="P63" s="161"/>
      <x:c r="Q63" s="161"/>
      <x:c r="R63" s="161"/>
      <x:c r="S63" s="161"/>
      <x:c r="T63" s="161"/>
      <x:c r="U63" s="161"/>
      <x:c r="V63" s="161"/>
      <x:c r="W63" s="161"/>
      <x:c r="X63" s="161"/>
      <x:c r="Y63" s="161"/>
      <x:c r="Z63" s="161"/>
    </x:row>
    <x:row r="64">
      <x:c r="A64" s="161"/>
      <x:c r="B64" s="161"/>
      <x:c r="C64" s="161"/>
      <x:c r="D64" s="161"/>
      <x:c r="E64" s="161"/>
      <x:c r="F64" s="161"/>
      <x:c r="G64" s="161"/>
      <x:c r="H64" s="161"/>
      <x:c r="I64" s="161"/>
      <x:c r="J64" s="161"/>
      <x:c r="K64" s="161"/>
      <x:c r="L64" s="161"/>
      <x:c r="M64" s="161"/>
      <x:c r="N64" s="161"/>
      <x:c r="O64" s="161"/>
      <x:c r="P64" s="161"/>
      <x:c r="Q64" s="161"/>
      <x:c r="R64" s="161"/>
      <x:c r="S64" s="161"/>
      <x:c r="T64" s="161"/>
      <x:c r="U64" s="161"/>
      <x:c r="V64" s="161"/>
      <x:c r="W64" s="161"/>
      <x:c r="X64" s="161"/>
      <x:c r="Y64" s="161"/>
      <x:c r="Z64" s="161"/>
    </x:row>
    <x:row r="65">
      <x:c r="A65" s="161"/>
      <x:c r="B65" s="161"/>
      <x:c r="C65" s="161"/>
      <x:c r="D65" s="161"/>
      <x:c r="E65" s="161"/>
      <x:c r="F65" s="161"/>
      <x:c r="G65" s="161"/>
      <x:c r="H65" s="161"/>
      <x:c r="I65" s="161"/>
      <x:c r="J65" s="161"/>
      <x:c r="K65" s="161"/>
      <x:c r="L65" s="161"/>
      <x:c r="M65" s="161"/>
      <x:c r="N65" s="161"/>
      <x:c r="O65" s="161"/>
      <x:c r="P65" s="161"/>
      <x:c r="Q65" s="161"/>
      <x:c r="R65" s="161"/>
      <x:c r="S65" s="161"/>
      <x:c r="T65" s="161"/>
      <x:c r="U65" s="161"/>
      <x:c r="V65" s="161"/>
      <x:c r="W65" s="161"/>
      <x:c r="X65" s="161"/>
      <x:c r="Y65" s="161"/>
      <x:c r="Z65" s="161"/>
    </x:row>
    <x:row r="66">
      <x:c r="A66" s="161"/>
      <x:c r="B66" s="161"/>
      <x:c r="C66" s="161"/>
      <x:c r="D66" s="161"/>
      <x:c r="E66" s="161"/>
      <x:c r="F66" s="161"/>
      <x:c r="G66" s="161"/>
      <x:c r="H66" s="161"/>
      <x:c r="I66" s="161"/>
      <x:c r="J66" s="161"/>
      <x:c r="K66" s="161"/>
      <x:c r="L66" s="161"/>
      <x:c r="M66" s="161"/>
      <x:c r="N66" s="161"/>
      <x:c r="O66" s="161"/>
      <x:c r="P66" s="161"/>
      <x:c r="Q66" s="161"/>
      <x:c r="R66" s="161"/>
      <x:c r="S66" s="161"/>
      <x:c r="T66" s="161"/>
      <x:c r="U66" s="161"/>
      <x:c r="V66" s="161"/>
      <x:c r="W66" s="161"/>
      <x:c r="X66" s="161"/>
      <x:c r="Y66" s="161"/>
      <x:c r="Z66" s="161"/>
    </x:row>
    <x:row r="67">
      <x:c r="A67" s="161"/>
      <x:c r="B67" s="161"/>
      <x:c r="C67" s="161"/>
      <x:c r="D67" s="161"/>
      <x:c r="E67" s="161"/>
      <x:c r="F67" s="161"/>
      <x:c r="G67" s="161"/>
      <x:c r="H67" s="161"/>
      <x:c r="I67" s="161"/>
      <x:c r="J67" s="161"/>
      <x:c r="K67" s="161"/>
      <x:c r="L67" s="161"/>
      <x:c r="M67" s="161"/>
      <x:c r="N67" s="161"/>
      <x:c r="O67" s="161"/>
      <x:c r="P67" s="161"/>
      <x:c r="Q67" s="161"/>
      <x:c r="R67" s="161"/>
      <x:c r="S67" s="161"/>
      <x:c r="T67" s="161"/>
      <x:c r="U67" s="161"/>
      <x:c r="V67" s="161"/>
      <x:c r="W67" s="161"/>
      <x:c r="X67" s="161"/>
      <x:c r="Y67" s="161"/>
      <x:c r="Z67" s="161"/>
    </x:row>
    <x:row r="68">
      <x:c r="A68" s="161"/>
      <x:c r="B68" s="161"/>
      <x:c r="C68" s="161"/>
      <x:c r="D68" s="161"/>
      <x:c r="E68" s="161"/>
      <x:c r="F68" s="161"/>
      <x:c r="G68" s="161"/>
      <x:c r="H68" s="161"/>
      <x:c r="I68" s="161"/>
      <x:c r="J68" s="161"/>
      <x:c r="K68" s="161"/>
      <x:c r="L68" s="161"/>
      <x:c r="M68" s="161"/>
      <x:c r="N68" s="161"/>
      <x:c r="O68" s="161"/>
      <x:c r="P68" s="161"/>
      <x:c r="Q68" s="161"/>
      <x:c r="R68" s="161"/>
      <x:c r="S68" s="161"/>
      <x:c r="T68" s="161"/>
      <x:c r="U68" s="161"/>
      <x:c r="V68" s="161"/>
      <x:c r="W68" s="161"/>
      <x:c r="X68" s="161"/>
      <x:c r="Y68" s="161"/>
      <x:c r="Z68" s="161"/>
    </x:row>
    <x:row r="69">
      <x:c r="A69" s="161"/>
      <x:c r="B69" s="161"/>
      <x:c r="C69" s="161"/>
      <x:c r="D69" s="161"/>
      <x:c r="E69" s="161"/>
      <x:c r="F69" s="161"/>
      <x:c r="G69" s="161"/>
      <x:c r="H69" s="161"/>
      <x:c r="I69" s="161"/>
      <x:c r="J69" s="161"/>
      <x:c r="K69" s="161"/>
      <x:c r="L69" s="161"/>
      <x:c r="M69" s="161"/>
      <x:c r="N69" s="161"/>
      <x:c r="O69" s="161"/>
      <x:c r="P69" s="161"/>
      <x:c r="Q69" s="161"/>
      <x:c r="R69" s="161"/>
      <x:c r="S69" s="161"/>
      <x:c r="T69" s="161"/>
      <x:c r="U69" s="161"/>
      <x:c r="V69" s="161"/>
      <x:c r="W69" s="161"/>
      <x:c r="X69" s="161"/>
      <x:c r="Y69" s="161"/>
      <x:c r="Z69" s="161"/>
    </x:row>
    <x:row r="70">
      <x:c r="A70" s="161"/>
      <x:c r="B70" s="161"/>
      <x:c r="C70" s="161"/>
      <x:c r="D70" s="161"/>
      <x:c r="E70" s="161"/>
      <x:c r="F70" s="161"/>
      <x:c r="G70" s="161"/>
      <x:c r="H70" s="161"/>
      <x:c r="I70" s="161"/>
      <x:c r="J70" s="161"/>
      <x:c r="K70" s="161"/>
      <x:c r="L70" s="161"/>
      <x:c r="M70" s="161"/>
      <x:c r="N70" s="161"/>
      <x:c r="O70" s="161"/>
      <x:c r="P70" s="161"/>
      <x:c r="Q70" s="161"/>
      <x:c r="R70" s="161"/>
      <x:c r="S70" s="161"/>
      <x:c r="T70" s="161"/>
      <x:c r="U70" s="161"/>
      <x:c r="V70" s="161"/>
      <x:c r="W70" s="161"/>
      <x:c r="X70" s="161"/>
      <x:c r="Y70" s="161"/>
      <x:c r="Z70" s="161"/>
    </x:row>
    <x:row r="71">
      <x:c r="A71" s="161"/>
      <x:c r="B71" s="161"/>
      <x:c r="C71" s="161"/>
      <x:c r="D71" s="161"/>
      <x:c r="E71" s="161"/>
      <x:c r="F71" s="161"/>
      <x:c r="G71" s="161"/>
      <x:c r="H71" s="161"/>
      <x:c r="I71" s="161"/>
      <x:c r="J71" s="161"/>
      <x:c r="K71" s="161"/>
      <x:c r="L71" s="161"/>
      <x:c r="M71" s="161"/>
      <x:c r="N71" s="161"/>
      <x:c r="O71" s="161"/>
      <x:c r="P71" s="161"/>
      <x:c r="Q71" s="161"/>
      <x:c r="R71" s="161"/>
      <x:c r="S71" s="161"/>
      <x:c r="T71" s="161"/>
      <x:c r="U71" s="161"/>
      <x:c r="V71" s="161"/>
      <x:c r="W71" s="161"/>
      <x:c r="X71" s="161"/>
      <x:c r="Y71" s="161"/>
      <x:c r="Z71" s="161"/>
    </x:row>
    <x:row r="72">
      <x:c r="A72" s="161"/>
      <x:c r="B72" s="161"/>
      <x:c r="C72" s="161"/>
      <x:c r="D72" s="161"/>
      <x:c r="E72" s="161"/>
      <x:c r="F72" s="161"/>
      <x:c r="G72" s="161"/>
      <x:c r="H72" s="161"/>
      <x:c r="I72" s="161"/>
      <x:c r="J72" s="161"/>
      <x:c r="K72" s="161"/>
      <x:c r="L72" s="161"/>
      <x:c r="M72" s="161"/>
      <x:c r="N72" s="161"/>
      <x:c r="O72" s="161"/>
      <x:c r="P72" s="161"/>
      <x:c r="Q72" s="161"/>
      <x:c r="R72" s="161"/>
      <x:c r="S72" s="161"/>
      <x:c r="T72" s="161"/>
      <x:c r="U72" s="161"/>
      <x:c r="V72" s="161"/>
      <x:c r="W72" s="161"/>
      <x:c r="X72" s="161"/>
      <x:c r="Y72" s="161"/>
      <x:c r="Z72" s="161"/>
    </x:row>
    <x:row r="73">
      <x:c r="A73" s="161"/>
      <x:c r="B73" s="161"/>
      <x:c r="C73" s="161"/>
      <x:c r="D73" s="161"/>
      <x:c r="E73" s="161"/>
      <x:c r="F73" s="161"/>
      <x:c r="G73" s="161"/>
      <x:c r="H73" s="161"/>
      <x:c r="I73" s="161"/>
      <x:c r="J73" s="161"/>
      <x:c r="K73" s="161"/>
      <x:c r="L73" s="161"/>
      <x:c r="M73" s="161"/>
      <x:c r="N73" s="161"/>
      <x:c r="O73" s="161"/>
      <x:c r="P73" s="161"/>
      <x:c r="Q73" s="161"/>
      <x:c r="R73" s="161"/>
      <x:c r="S73" s="161"/>
      <x:c r="T73" s="161"/>
      <x:c r="U73" s="161"/>
      <x:c r="V73" s="161"/>
      <x:c r="W73" s="161"/>
      <x:c r="X73" s="161"/>
      <x:c r="Y73" s="161"/>
      <x:c r="Z73" s="161"/>
    </x:row>
    <x:row r="74">
      <x:c r="A74" s="161"/>
      <x:c r="B74" s="161"/>
      <x:c r="C74" s="161"/>
      <x:c r="D74" s="161"/>
      <x:c r="E74" s="161"/>
      <x:c r="F74" s="161"/>
      <x:c r="G74" s="161"/>
      <x:c r="H74" s="161"/>
      <x:c r="I74" s="161"/>
      <x:c r="J74" s="161"/>
      <x:c r="K74" s="161"/>
      <x:c r="L74" s="161"/>
      <x:c r="M74" s="161"/>
      <x:c r="N74" s="161"/>
      <x:c r="O74" s="161"/>
      <x:c r="P74" s="161"/>
      <x:c r="Q74" s="161"/>
      <x:c r="R74" s="161"/>
      <x:c r="S74" s="161"/>
      <x:c r="T74" s="161"/>
      <x:c r="U74" s="161"/>
      <x:c r="V74" s="161"/>
      <x:c r="W74" s="161"/>
      <x:c r="X74" s="161"/>
      <x:c r="Y74" s="161"/>
      <x:c r="Z74" s="161"/>
    </x:row>
    <x:row r="75">
      <x:c r="A75" s="161"/>
      <x:c r="B75" s="161"/>
      <x:c r="C75" s="161"/>
      <x:c r="D75" s="161"/>
      <x:c r="E75" s="161"/>
      <x:c r="F75" s="161"/>
      <x:c r="G75" s="161"/>
      <x:c r="H75" s="161"/>
      <x:c r="I75" s="161"/>
      <x:c r="J75" s="161"/>
      <x:c r="K75" s="161"/>
      <x:c r="L75" s="161"/>
      <x:c r="M75" s="161"/>
      <x:c r="N75" s="161"/>
      <x:c r="O75" s="161"/>
      <x:c r="P75" s="161"/>
      <x:c r="Q75" s="161"/>
      <x:c r="R75" s="161"/>
      <x:c r="S75" s="161"/>
      <x:c r="T75" s="161"/>
      <x:c r="U75" s="161"/>
      <x:c r="V75" s="161"/>
      <x:c r="W75" s="161"/>
      <x:c r="X75" s="161"/>
      <x:c r="Y75" s="161"/>
      <x:c r="Z75" s="161"/>
    </x:row>
    <x:row r="76">
      <x:c r="A76" s="161"/>
      <x:c r="B76" s="161"/>
      <x:c r="C76" s="161"/>
      <x:c r="D76" s="161"/>
      <x:c r="E76" s="161"/>
      <x:c r="F76" s="161"/>
      <x:c r="G76" s="161"/>
      <x:c r="H76" s="161"/>
      <x:c r="I76" s="161"/>
      <x:c r="J76" s="161"/>
      <x:c r="K76" s="161"/>
      <x:c r="L76" s="161"/>
      <x:c r="M76" s="161"/>
      <x:c r="N76" s="161"/>
      <x:c r="O76" s="161"/>
      <x:c r="P76" s="161"/>
      <x:c r="Q76" s="161"/>
      <x:c r="R76" s="161"/>
      <x:c r="S76" s="161"/>
      <x:c r="T76" s="161"/>
      <x:c r="U76" s="161"/>
      <x:c r="V76" s="161"/>
      <x:c r="W76" s="161"/>
      <x:c r="X76" s="161"/>
      <x:c r="Y76" s="161"/>
      <x:c r="Z76" s="161"/>
    </x:row>
    <x:row r="77">
      <x:c r="A77" s="161"/>
      <x:c r="B77" s="161"/>
      <x:c r="C77" s="161"/>
      <x:c r="D77" s="161"/>
      <x:c r="E77" s="161"/>
      <x:c r="F77" s="161"/>
      <x:c r="G77" s="161"/>
      <x:c r="H77" s="161"/>
      <x:c r="I77" s="161"/>
      <x:c r="J77" s="161"/>
      <x:c r="K77" s="161"/>
      <x:c r="L77" s="161"/>
      <x:c r="M77" s="161"/>
      <x:c r="N77" s="161"/>
      <x:c r="O77" s="161"/>
      <x:c r="P77" s="161"/>
      <x:c r="Q77" s="161"/>
      <x:c r="R77" s="161"/>
      <x:c r="S77" s="161"/>
      <x:c r="T77" s="161"/>
      <x:c r="U77" s="161"/>
      <x:c r="V77" s="161"/>
      <x:c r="W77" s="161"/>
      <x:c r="X77" s="161"/>
      <x:c r="Y77" s="161"/>
      <x:c r="Z77" s="161"/>
    </x:row>
    <x:row r="78">
      <x:c r="A78" s="161"/>
      <x:c r="B78" s="161"/>
      <x:c r="C78" s="161"/>
      <x:c r="D78" s="161"/>
      <x:c r="E78" s="161"/>
      <x:c r="F78" s="161"/>
      <x:c r="G78" s="161"/>
      <x:c r="H78" s="161"/>
      <x:c r="I78" s="161"/>
      <x:c r="J78" s="161"/>
      <x:c r="K78" s="161"/>
      <x:c r="L78" s="161"/>
      <x:c r="M78" s="161"/>
      <x:c r="N78" s="161"/>
      <x:c r="O78" s="161"/>
      <x:c r="P78" s="161"/>
      <x:c r="Q78" s="161"/>
      <x:c r="R78" s="161"/>
      <x:c r="S78" s="161"/>
      <x:c r="T78" s="161"/>
      <x:c r="U78" s="161"/>
      <x:c r="V78" s="161"/>
      <x:c r="W78" s="161"/>
      <x:c r="X78" s="161"/>
      <x:c r="Y78" s="161"/>
      <x:c r="Z78" s="161"/>
    </x:row>
    <x:row r="79">
      <x:c r="A79" s="161"/>
      <x:c r="B79" s="161"/>
      <x:c r="C79" s="161"/>
      <x:c r="D79" s="161"/>
      <x:c r="E79" s="161"/>
      <x:c r="F79" s="161"/>
      <x:c r="G79" s="161"/>
      <x:c r="H79" s="161"/>
      <x:c r="I79" s="161"/>
      <x:c r="J79" s="161"/>
      <x:c r="K79" s="161"/>
      <x:c r="L79" s="161"/>
      <x:c r="M79" s="161"/>
      <x:c r="N79" s="161"/>
      <x:c r="O79" s="161"/>
      <x:c r="P79" s="161"/>
      <x:c r="Q79" s="161"/>
      <x:c r="R79" s="161"/>
      <x:c r="S79" s="161"/>
      <x:c r="T79" s="161"/>
      <x:c r="U79" s="161"/>
      <x:c r="V79" s="161"/>
      <x:c r="W79" s="161"/>
      <x:c r="X79" s="161"/>
      <x:c r="Y79" s="161"/>
      <x:c r="Z79" s="161"/>
    </x:row>
    <x:row r="80">
      <x:c r="A80" s="161"/>
      <x:c r="B80" s="161"/>
      <x:c r="C80" s="161"/>
      <x:c r="D80" s="161"/>
      <x:c r="E80" s="161"/>
      <x:c r="F80" s="161"/>
      <x:c r="G80" s="161"/>
      <x:c r="H80" s="161"/>
      <x:c r="I80" s="161"/>
      <x:c r="J80" s="161"/>
      <x:c r="K80" s="161"/>
      <x:c r="L80" s="161"/>
      <x:c r="M80" s="161"/>
      <x:c r="N80" s="161"/>
      <x:c r="O80" s="161"/>
      <x:c r="P80" s="161"/>
      <x:c r="Q80" s="161"/>
      <x:c r="R80" s="161"/>
      <x:c r="S80" s="161"/>
      <x:c r="T80" s="161"/>
      <x:c r="U80" s="161"/>
      <x:c r="V80" s="161"/>
      <x:c r="W80" s="161"/>
      <x:c r="X80" s="161"/>
      <x:c r="Y80" s="161"/>
      <x:c r="Z80" s="161"/>
    </x:row>
    <x:row r="81">
      <x:c r="A81" s="161"/>
      <x:c r="B81" s="161"/>
      <x:c r="C81" s="161"/>
      <x:c r="D81" s="161"/>
      <x:c r="E81" s="161"/>
      <x:c r="F81" s="161"/>
      <x:c r="G81" s="161"/>
      <x:c r="H81" s="161"/>
      <x:c r="I81" s="161"/>
      <x:c r="J81" s="161"/>
      <x:c r="K81" s="161"/>
      <x:c r="L81" s="161"/>
      <x:c r="M81" s="161"/>
      <x:c r="N81" s="161"/>
      <x:c r="O81" s="161"/>
      <x:c r="P81" s="161"/>
      <x:c r="Q81" s="161"/>
      <x:c r="R81" s="161"/>
      <x:c r="S81" s="161"/>
      <x:c r="T81" s="161"/>
      <x:c r="U81" s="161"/>
      <x:c r="V81" s="161"/>
      <x:c r="W81" s="161"/>
      <x:c r="X81" s="161"/>
      <x:c r="Y81" s="161"/>
      <x:c r="Z81" s="161"/>
    </x:row>
    <x:row r="82">
      <x:c r="A82" s="161"/>
      <x:c r="B82" s="161"/>
      <x:c r="C82" s="161"/>
      <x:c r="D82" s="161"/>
      <x:c r="E82" s="161"/>
      <x:c r="F82" s="161"/>
      <x:c r="G82" s="161"/>
      <x:c r="H82" s="161"/>
      <x:c r="I82" s="161"/>
      <x:c r="J82" s="161"/>
      <x:c r="K82" s="161"/>
      <x:c r="L82" s="161"/>
      <x:c r="M82" s="161"/>
      <x:c r="N82" s="161"/>
      <x:c r="O82" s="161"/>
      <x:c r="P82" s="161"/>
      <x:c r="Q82" s="161"/>
      <x:c r="R82" s="161"/>
      <x:c r="S82" s="161"/>
      <x:c r="T82" s="161"/>
      <x:c r="U82" s="161"/>
      <x:c r="V82" s="161"/>
      <x:c r="W82" s="161"/>
      <x:c r="X82" s="161"/>
      <x:c r="Y82" s="161"/>
      <x:c r="Z82" s="161"/>
    </x:row>
    <x:row r="83">
      <x:c r="A83" s="161"/>
      <x:c r="B83" s="161"/>
      <x:c r="C83" s="161"/>
      <x:c r="D83" s="161"/>
      <x:c r="E83" s="161"/>
      <x:c r="F83" s="161"/>
      <x:c r="G83" s="161"/>
      <x:c r="H83" s="161"/>
      <x:c r="I83" s="161"/>
      <x:c r="J83" s="161"/>
      <x:c r="K83" s="161"/>
      <x:c r="L83" s="161"/>
      <x:c r="M83" s="161"/>
      <x:c r="N83" s="161"/>
      <x:c r="O83" s="161"/>
      <x:c r="P83" s="161"/>
      <x:c r="Q83" s="161"/>
      <x:c r="R83" s="161"/>
      <x:c r="S83" s="161"/>
      <x:c r="T83" s="161"/>
      <x:c r="U83" s="161"/>
      <x:c r="V83" s="161"/>
      <x:c r="W83" s="161"/>
      <x:c r="X83" s="161"/>
      <x:c r="Y83" s="161"/>
      <x:c r="Z83" s="161"/>
    </x:row>
    <x:row r="84">
      <x:c r="A84" s="161"/>
      <x:c r="B84" s="161"/>
      <x:c r="C84" s="161"/>
      <x:c r="D84" s="161"/>
      <x:c r="E84" s="161"/>
      <x:c r="F84" s="161"/>
      <x:c r="G84" s="161"/>
      <x:c r="H84" s="161"/>
      <x:c r="I84" s="161"/>
      <x:c r="J84" s="161"/>
      <x:c r="K84" s="161"/>
      <x:c r="L84" s="161"/>
      <x:c r="M84" s="161"/>
      <x:c r="N84" s="161"/>
      <x:c r="O84" s="161"/>
      <x:c r="P84" s="161"/>
      <x:c r="Q84" s="161"/>
      <x:c r="R84" s="161"/>
      <x:c r="S84" s="161"/>
      <x:c r="T84" s="161"/>
      <x:c r="U84" s="161"/>
      <x:c r="V84" s="161"/>
      <x:c r="W84" s="161"/>
      <x:c r="X84" s="161"/>
      <x:c r="Y84" s="161"/>
      <x:c r="Z84" s="161"/>
    </x:row>
    <x:row r="85">
      <x:c r="A85" s="161"/>
      <x:c r="B85" s="161"/>
      <x:c r="C85" s="161"/>
      <x:c r="D85" s="161"/>
      <x:c r="E85" s="161"/>
      <x:c r="F85" s="161"/>
      <x:c r="G85" s="161"/>
      <x:c r="H85" s="161"/>
      <x:c r="I85" s="161"/>
      <x:c r="J85" s="161"/>
      <x:c r="K85" s="161"/>
      <x:c r="L85" s="161"/>
      <x:c r="M85" s="161"/>
      <x:c r="N85" s="161"/>
      <x:c r="O85" s="161"/>
      <x:c r="P85" s="161"/>
      <x:c r="Q85" s="161"/>
      <x:c r="R85" s="161"/>
      <x:c r="S85" s="161"/>
      <x:c r="T85" s="161"/>
      <x:c r="U85" s="161"/>
      <x:c r="V85" s="161"/>
      <x:c r="W85" s="161"/>
      <x:c r="X85" s="161"/>
      <x:c r="Y85" s="161"/>
      <x:c r="Z85" s="161"/>
    </x:row>
    <x:row r="86">
      <x:c r="A86" s="161"/>
      <x:c r="B86" s="161"/>
      <x:c r="C86" s="161"/>
      <x:c r="D86" s="161"/>
      <x:c r="E86" s="161"/>
      <x:c r="F86" s="161"/>
      <x:c r="G86" s="161"/>
      <x:c r="H86" s="161"/>
      <x:c r="I86" s="161"/>
      <x:c r="J86" s="161"/>
      <x:c r="K86" s="161"/>
      <x:c r="L86" s="161"/>
      <x:c r="M86" s="161"/>
      <x:c r="N86" s="161"/>
      <x:c r="O86" s="161"/>
      <x:c r="P86" s="161"/>
      <x:c r="Q86" s="161"/>
      <x:c r="R86" s="161"/>
      <x:c r="S86" s="161"/>
      <x:c r="T86" s="161"/>
      <x:c r="U86" s="161"/>
      <x:c r="V86" s="161"/>
      <x:c r="W86" s="161"/>
      <x:c r="X86" s="161"/>
      <x:c r="Y86" s="161"/>
      <x:c r="Z86" s="161"/>
    </x:row>
    <x:row r="87">
      <x:c r="A87" s="161"/>
      <x:c r="B87" s="161"/>
      <x:c r="C87" s="161"/>
      <x:c r="D87" s="161"/>
      <x:c r="E87" s="161"/>
      <x:c r="F87" s="161"/>
      <x:c r="G87" s="161"/>
      <x:c r="H87" s="161"/>
      <x:c r="I87" s="161"/>
      <x:c r="J87" s="161"/>
      <x:c r="K87" s="161"/>
      <x:c r="L87" s="161"/>
      <x:c r="M87" s="161"/>
      <x:c r="N87" s="161"/>
      <x:c r="O87" s="161"/>
      <x:c r="P87" s="161"/>
      <x:c r="Q87" s="161"/>
      <x:c r="R87" s="161"/>
      <x:c r="S87" s="161"/>
      <x:c r="T87" s="161"/>
      <x:c r="U87" s="161"/>
      <x:c r="V87" s="161"/>
      <x:c r="W87" s="161"/>
      <x:c r="X87" s="161"/>
      <x:c r="Y87" s="161"/>
      <x:c r="Z87" s="161"/>
    </x:row>
    <x:row r="88">
      <x:c r="A88" s="161"/>
      <x:c r="B88" s="161"/>
      <x:c r="C88" s="161"/>
      <x:c r="D88" s="161"/>
      <x:c r="E88" s="161"/>
      <x:c r="F88" s="161"/>
      <x:c r="G88" s="161"/>
      <x:c r="H88" s="161"/>
      <x:c r="I88" s="161"/>
      <x:c r="J88" s="161"/>
      <x:c r="K88" s="161"/>
      <x:c r="L88" s="161"/>
      <x:c r="M88" s="161"/>
      <x:c r="N88" s="161"/>
      <x:c r="O88" s="161"/>
      <x:c r="P88" s="161"/>
      <x:c r="Q88" s="161"/>
      <x:c r="R88" s="161"/>
      <x:c r="S88" s="161"/>
      <x:c r="T88" s="161"/>
      <x:c r="U88" s="161"/>
      <x:c r="V88" s="161"/>
      <x:c r="W88" s="161"/>
      <x:c r="X88" s="161"/>
      <x:c r="Y88" s="161"/>
      <x:c r="Z88" s="161"/>
    </x:row>
    <x:row r="89">
      <x:c r="A89" s="161"/>
      <x:c r="B89" s="161"/>
      <x:c r="C89" s="161"/>
      <x:c r="D89" s="161"/>
      <x:c r="E89" s="161"/>
      <x:c r="F89" s="161"/>
      <x:c r="G89" s="161"/>
      <x:c r="H89" s="161"/>
      <x:c r="I89" s="161"/>
      <x:c r="J89" s="161"/>
      <x:c r="K89" s="161"/>
      <x:c r="L89" s="161"/>
      <x:c r="M89" s="161"/>
      <x:c r="N89" s="161"/>
      <x:c r="O89" s="161"/>
      <x:c r="P89" s="161"/>
      <x:c r="Q89" s="161"/>
      <x:c r="R89" s="161"/>
      <x:c r="S89" s="161"/>
      <x:c r="T89" s="161"/>
      <x:c r="U89" s="161"/>
      <x:c r="V89" s="161"/>
      <x:c r="W89" s="161"/>
      <x:c r="X89" s="161"/>
      <x:c r="Y89" s="161"/>
      <x:c r="Z89" s="161"/>
    </x:row>
    <x:row r="90">
      <x:c r="A90" s="161"/>
      <x:c r="B90" s="161"/>
      <x:c r="C90" s="161"/>
      <x:c r="D90" s="161"/>
      <x:c r="E90" s="161"/>
      <x:c r="F90" s="161"/>
      <x:c r="G90" s="161"/>
      <x:c r="H90" s="161"/>
      <x:c r="I90" s="161"/>
      <x:c r="J90" s="161"/>
      <x:c r="K90" s="161"/>
      <x:c r="L90" s="161"/>
      <x:c r="M90" s="161"/>
      <x:c r="N90" s="161"/>
      <x:c r="O90" s="161"/>
      <x:c r="P90" s="161"/>
      <x:c r="Q90" s="161"/>
      <x:c r="R90" s="161"/>
      <x:c r="S90" s="161"/>
      <x:c r="T90" s="161"/>
      <x:c r="U90" s="161"/>
      <x:c r="V90" s="161"/>
      <x:c r="W90" s="161"/>
      <x:c r="X90" s="161"/>
      <x:c r="Y90" s="161"/>
      <x:c r="Z90" s="161"/>
    </x:row>
    <x:row r="91">
      <x:c r="A91" s="161"/>
      <x:c r="B91" s="161"/>
      <x:c r="C91" s="161"/>
      <x:c r="D91" s="161"/>
      <x:c r="E91" s="161"/>
      <x:c r="F91" s="161"/>
      <x:c r="G91" s="161"/>
      <x:c r="H91" s="161"/>
      <x:c r="I91" s="161"/>
      <x:c r="J91" s="161"/>
      <x:c r="K91" s="161"/>
      <x:c r="L91" s="161"/>
      <x:c r="M91" s="161"/>
      <x:c r="N91" s="161"/>
      <x:c r="O91" s="161"/>
      <x:c r="P91" s="161"/>
      <x:c r="Q91" s="161"/>
      <x:c r="R91" s="161"/>
      <x:c r="S91" s="161"/>
      <x:c r="T91" s="161"/>
      <x:c r="U91" s="161"/>
      <x:c r="V91" s="161"/>
      <x:c r="W91" s="161"/>
      <x:c r="X91" s="161"/>
      <x:c r="Y91" s="161"/>
      <x:c r="Z91" s="161"/>
    </x:row>
    <x:row r="92">
      <x:c r="A92" s="161"/>
      <x:c r="B92" s="161"/>
      <x:c r="C92" s="161"/>
      <x:c r="D92" s="161"/>
      <x:c r="E92" s="161"/>
      <x:c r="F92" s="161"/>
      <x:c r="G92" s="161"/>
      <x:c r="H92" s="161"/>
      <x:c r="I92" s="161"/>
      <x:c r="J92" s="161"/>
      <x:c r="K92" s="161"/>
      <x:c r="L92" s="161"/>
      <x:c r="M92" s="161"/>
      <x:c r="N92" s="161"/>
      <x:c r="O92" s="161"/>
      <x:c r="P92" s="161"/>
      <x:c r="Q92" s="161"/>
      <x:c r="R92" s="161"/>
      <x:c r="S92" s="161"/>
      <x:c r="T92" s="161"/>
      <x:c r="U92" s="161"/>
      <x:c r="V92" s="161"/>
      <x:c r="W92" s="161"/>
      <x:c r="X92" s="161"/>
      <x:c r="Y92" s="161"/>
      <x:c r="Z92" s="161"/>
    </x:row>
    <x:row r="93">
      <x:c r="A93" s="161"/>
      <x:c r="B93" s="161"/>
      <x:c r="C93" s="161"/>
      <x:c r="D93" s="161"/>
      <x:c r="E93" s="161"/>
      <x:c r="F93" s="161"/>
      <x:c r="G93" s="161"/>
      <x:c r="H93" s="161"/>
      <x:c r="I93" s="161"/>
      <x:c r="J93" s="161"/>
      <x:c r="K93" s="161"/>
      <x:c r="L93" s="161"/>
      <x:c r="M93" s="161"/>
      <x:c r="N93" s="161"/>
      <x:c r="O93" s="161"/>
      <x:c r="P93" s="161"/>
      <x:c r="Q93" s="161"/>
      <x:c r="R93" s="161"/>
      <x:c r="S93" s="161"/>
      <x:c r="T93" s="161"/>
      <x:c r="U93" s="161"/>
      <x:c r="V93" s="161"/>
      <x:c r="W93" s="161"/>
      <x:c r="X93" s="161"/>
      <x:c r="Y93" s="161"/>
      <x:c r="Z93" s="161"/>
    </x:row>
    <x:row r="94">
      <x:c r="A94" s="161"/>
      <x:c r="B94" s="161"/>
      <x:c r="C94" s="161"/>
      <x:c r="D94" s="161"/>
      <x:c r="E94" s="161"/>
      <x:c r="F94" s="161"/>
      <x:c r="G94" s="161"/>
      <x:c r="H94" s="161"/>
      <x:c r="I94" s="161"/>
      <x:c r="J94" s="161"/>
      <x:c r="K94" s="161"/>
      <x:c r="L94" s="161"/>
      <x:c r="M94" s="161"/>
      <x:c r="N94" s="161"/>
      <x:c r="O94" s="161"/>
      <x:c r="P94" s="161"/>
      <x:c r="Q94" s="161"/>
      <x:c r="R94" s="161"/>
      <x:c r="S94" s="161"/>
      <x:c r="T94" s="161"/>
      <x:c r="U94" s="161"/>
      <x:c r="V94" s="161"/>
      <x:c r="W94" s="161"/>
      <x:c r="X94" s="161"/>
      <x:c r="Y94" s="161"/>
      <x:c r="Z94" s="161"/>
    </x:row>
    <x:row r="95">
      <x:c r="A95" s="161"/>
      <x:c r="B95" s="161"/>
      <x:c r="C95" s="161"/>
      <x:c r="D95" s="161"/>
      <x:c r="E95" s="161"/>
      <x:c r="F95" s="161"/>
      <x:c r="G95" s="161"/>
      <x:c r="H95" s="161"/>
      <x:c r="I95" s="161"/>
      <x:c r="J95" s="161"/>
      <x:c r="K95" s="161"/>
      <x:c r="L95" s="161"/>
      <x:c r="M95" s="161"/>
      <x:c r="N95" s="161"/>
      <x:c r="O95" s="161"/>
      <x:c r="P95" s="161"/>
      <x:c r="Q95" s="161"/>
      <x:c r="R95" s="161"/>
      <x:c r="S95" s="161"/>
      <x:c r="T95" s="161"/>
      <x:c r="U95" s="161"/>
      <x:c r="V95" s="161"/>
      <x:c r="W95" s="161"/>
      <x:c r="X95" s="161"/>
      <x:c r="Y95" s="161"/>
      <x:c r="Z95" s="161"/>
    </x:row>
    <x:row r="96">
      <x:c r="A96" s="161"/>
      <x:c r="B96" s="161"/>
      <x:c r="C96" s="161"/>
      <x:c r="D96" s="161"/>
      <x:c r="E96" s="161"/>
      <x:c r="F96" s="161"/>
      <x:c r="G96" s="161"/>
      <x:c r="H96" s="161"/>
      <x:c r="I96" s="161"/>
      <x:c r="J96" s="161"/>
      <x:c r="K96" s="161"/>
      <x:c r="L96" s="161"/>
      <x:c r="M96" s="161"/>
      <x:c r="N96" s="161"/>
      <x:c r="O96" s="161"/>
      <x:c r="P96" s="161"/>
      <x:c r="Q96" s="161"/>
      <x:c r="R96" s="161"/>
      <x:c r="S96" s="161"/>
      <x:c r="T96" s="161"/>
      <x:c r="U96" s="161"/>
      <x:c r="V96" s="161"/>
      <x:c r="W96" s="161"/>
      <x:c r="X96" s="161"/>
      <x:c r="Y96" s="161"/>
      <x:c r="Z96" s="161"/>
    </x:row>
    <x:row r="97">
      <x:c r="A97" s="161"/>
      <x:c r="B97" s="161"/>
      <x:c r="C97" s="161"/>
      <x:c r="D97" s="161"/>
      <x:c r="E97" s="161"/>
      <x:c r="F97" s="161"/>
      <x:c r="G97" s="161"/>
      <x:c r="H97" s="161"/>
      <x:c r="I97" s="161"/>
      <x:c r="J97" s="161"/>
      <x:c r="K97" s="161"/>
      <x:c r="L97" s="161"/>
      <x:c r="M97" s="161"/>
      <x:c r="N97" s="161"/>
      <x:c r="O97" s="161"/>
      <x:c r="P97" s="161"/>
      <x:c r="Q97" s="161"/>
      <x:c r="R97" s="161"/>
      <x:c r="S97" s="161"/>
      <x:c r="T97" s="161"/>
      <x:c r="U97" s="161"/>
      <x:c r="V97" s="161"/>
      <x:c r="W97" s="161"/>
      <x:c r="X97" s="161"/>
      <x:c r="Y97" s="161"/>
      <x:c r="Z97" s="161"/>
    </x:row>
    <x:row r="98">
      <x:c r="A98" s="161"/>
      <x:c r="B98" s="161"/>
      <x:c r="C98" s="161"/>
      <x:c r="D98" s="161"/>
      <x:c r="E98" s="161"/>
      <x:c r="F98" s="161"/>
      <x:c r="G98" s="161"/>
      <x:c r="H98" s="161"/>
      <x:c r="I98" s="161"/>
      <x:c r="J98" s="161"/>
      <x:c r="K98" s="161"/>
      <x:c r="L98" s="161"/>
      <x:c r="M98" s="161"/>
      <x:c r="N98" s="161"/>
      <x:c r="O98" s="161"/>
      <x:c r="P98" s="161"/>
      <x:c r="Q98" s="161"/>
      <x:c r="R98" s="161"/>
      <x:c r="S98" s="161"/>
      <x:c r="T98" s="161"/>
      <x:c r="U98" s="161"/>
      <x:c r="V98" s="161"/>
      <x:c r="W98" s="161"/>
      <x:c r="X98" s="161"/>
      <x:c r="Y98" s="161"/>
      <x:c r="Z98" s="161"/>
    </x:row>
    <x:row r="99">
      <x:c r="A99" s="161"/>
      <x:c r="B99" s="161"/>
      <x:c r="C99" s="161"/>
      <x:c r="D99" s="161"/>
      <x:c r="E99" s="161"/>
      <x:c r="F99" s="161"/>
      <x:c r="G99" s="161"/>
      <x:c r="H99" s="161"/>
      <x:c r="I99" s="161"/>
      <x:c r="J99" s="161"/>
      <x:c r="K99" s="161"/>
      <x:c r="L99" s="161"/>
      <x:c r="M99" s="161"/>
      <x:c r="N99" s="161"/>
      <x:c r="O99" s="161"/>
      <x:c r="P99" s="161"/>
      <x:c r="Q99" s="161"/>
      <x:c r="R99" s="161"/>
      <x:c r="S99" s="161"/>
      <x:c r="T99" s="161"/>
      <x:c r="U99" s="161"/>
      <x:c r="V99" s="161"/>
      <x:c r="W99" s="161"/>
      <x:c r="X99" s="161"/>
      <x:c r="Y99" s="161"/>
      <x:c r="Z99" s="161"/>
    </x:row>
    <x:row r="100">
      <x:c r="A100" s="161"/>
      <x:c r="B100" s="161"/>
      <x:c r="C100" s="161"/>
      <x:c r="D100" s="161"/>
      <x:c r="E100" s="161"/>
      <x:c r="F100" s="161"/>
      <x:c r="G100" s="161"/>
      <x:c r="H100" s="161"/>
      <x:c r="I100" s="161"/>
      <x:c r="J100" s="161"/>
      <x:c r="K100" s="161"/>
      <x:c r="L100" s="161"/>
      <x:c r="M100" s="161"/>
      <x:c r="N100" s="161"/>
      <x:c r="O100" s="161"/>
      <x:c r="P100" s="161"/>
      <x:c r="Q100" s="161"/>
      <x:c r="R100" s="161"/>
      <x:c r="S100" s="161"/>
      <x:c r="T100" s="161"/>
      <x:c r="U100" s="161"/>
      <x:c r="V100" s="161"/>
      <x:c r="W100" s="161"/>
      <x:c r="X100" s="161"/>
      <x:c r="Y100" s="161"/>
      <x:c r="Z100" s="161"/>
    </x:row>
    <x:row r="101">
      <x:c r="A101" s="161"/>
      <x:c r="B101" s="161"/>
      <x:c r="C101" s="161"/>
      <x:c r="D101" s="161"/>
      <x:c r="E101" s="161"/>
      <x:c r="F101" s="161"/>
      <x:c r="G101" s="161"/>
      <x:c r="H101" s="161"/>
      <x:c r="I101" s="161"/>
      <x:c r="J101" s="161"/>
      <x:c r="K101" s="161"/>
      <x:c r="L101" s="161"/>
      <x:c r="M101" s="161"/>
      <x:c r="N101" s="161"/>
      <x:c r="O101" s="161"/>
      <x:c r="P101" s="161"/>
      <x:c r="Q101" s="161"/>
      <x:c r="R101" s="161"/>
      <x:c r="S101" s="161"/>
      <x:c r="T101" s="161"/>
      <x:c r="U101" s="161"/>
      <x:c r="V101" s="161"/>
      <x:c r="W101" s="161"/>
      <x:c r="X101" s="161"/>
      <x:c r="Y101" s="161"/>
      <x:c r="Z101" s="161"/>
    </x:row>
    <x:row r="102">
      <x:c r="A102" s="161"/>
      <x:c r="B102" s="161"/>
      <x:c r="C102" s="161"/>
      <x:c r="D102" s="161"/>
      <x:c r="E102" s="161"/>
      <x:c r="F102" s="161"/>
      <x:c r="G102" s="161"/>
      <x:c r="H102" s="161"/>
      <x:c r="I102" s="161"/>
      <x:c r="J102" s="161"/>
      <x:c r="K102" s="161"/>
      <x:c r="L102" s="161"/>
      <x:c r="M102" s="161"/>
      <x:c r="N102" s="161"/>
      <x:c r="O102" s="161"/>
      <x:c r="P102" s="161"/>
      <x:c r="Q102" s="161"/>
      <x:c r="R102" s="161"/>
      <x:c r="S102" s="161"/>
      <x:c r="T102" s="161"/>
      <x:c r="U102" s="161"/>
      <x:c r="V102" s="161"/>
      <x:c r="W102" s="161"/>
      <x:c r="X102" s="161"/>
      <x:c r="Y102" s="161"/>
      <x:c r="Z102" s="161"/>
    </x:row>
    <x:row r="103">
      <x:c r="A103" s="161"/>
      <x:c r="B103" s="161"/>
      <x:c r="C103" s="161"/>
      <x:c r="D103" s="161"/>
      <x:c r="E103" s="161"/>
      <x:c r="F103" s="161"/>
      <x:c r="G103" s="161"/>
      <x:c r="H103" s="161"/>
      <x:c r="I103" s="161"/>
      <x:c r="J103" s="161"/>
      <x:c r="K103" s="161"/>
      <x:c r="L103" s="161"/>
      <x:c r="M103" s="161"/>
      <x:c r="N103" s="161"/>
      <x:c r="O103" s="161"/>
      <x:c r="P103" s="161"/>
      <x:c r="Q103" s="161"/>
      <x:c r="R103" s="161"/>
      <x:c r="S103" s="161"/>
      <x:c r="T103" s="161"/>
      <x:c r="U103" s="161"/>
      <x:c r="V103" s="161"/>
      <x:c r="W103" s="161"/>
      <x:c r="X103" s="161"/>
      <x:c r="Y103" s="161"/>
      <x:c r="Z103" s="161"/>
    </x:row>
    <x:row r="104">
      <x:c r="A104" s="161"/>
      <x:c r="B104" s="161"/>
      <x:c r="C104" s="161"/>
      <x:c r="D104" s="161"/>
      <x:c r="E104" s="161"/>
      <x:c r="F104" s="161"/>
      <x:c r="G104" s="161"/>
      <x:c r="H104" s="161"/>
      <x:c r="I104" s="161"/>
      <x:c r="J104" s="161"/>
      <x:c r="K104" s="161"/>
      <x:c r="L104" s="161"/>
      <x:c r="M104" s="161"/>
      <x:c r="N104" s="161"/>
      <x:c r="O104" s="161"/>
      <x:c r="P104" s="161"/>
      <x:c r="Q104" s="161"/>
      <x:c r="R104" s="161"/>
      <x:c r="S104" s="161"/>
      <x:c r="T104" s="161"/>
      <x:c r="U104" s="161"/>
      <x:c r="V104" s="161"/>
      <x:c r="W104" s="161"/>
      <x:c r="X104" s="161"/>
      <x:c r="Y104" s="161"/>
      <x:c r="Z104" s="161"/>
    </x:row>
    <x:row r="105">
      <x:c r="A105" s="161"/>
      <x:c r="B105" s="161"/>
      <x:c r="C105" s="161"/>
      <x:c r="D105" s="161"/>
      <x:c r="E105" s="161"/>
      <x:c r="F105" s="161"/>
      <x:c r="G105" s="161"/>
      <x:c r="H105" s="161"/>
      <x:c r="I105" s="161"/>
      <x:c r="J105" s="161"/>
      <x:c r="K105" s="161"/>
      <x:c r="L105" s="161"/>
      <x:c r="M105" s="161"/>
      <x:c r="N105" s="161"/>
      <x:c r="O105" s="161"/>
      <x:c r="P105" s="161"/>
      <x:c r="Q105" s="161"/>
      <x:c r="R105" s="161"/>
      <x:c r="S105" s="161"/>
      <x:c r="T105" s="161"/>
      <x:c r="U105" s="161"/>
      <x:c r="V105" s="161"/>
      <x:c r="W105" s="161"/>
      <x:c r="X105" s="161"/>
      <x:c r="Y105" s="161"/>
      <x:c r="Z105" s="161"/>
    </x:row>
    <x:row r="106">
      <x:c r="A106" s="161"/>
      <x:c r="B106" s="161"/>
      <x:c r="C106" s="161"/>
      <x:c r="D106" s="161"/>
      <x:c r="E106" s="161"/>
      <x:c r="F106" s="161"/>
      <x:c r="G106" s="161"/>
      <x:c r="H106" s="161"/>
      <x:c r="I106" s="161"/>
      <x:c r="J106" s="161"/>
      <x:c r="K106" s="161"/>
      <x:c r="L106" s="161"/>
      <x:c r="M106" s="161"/>
      <x:c r="N106" s="161"/>
      <x:c r="O106" s="161"/>
      <x:c r="P106" s="161"/>
      <x:c r="Q106" s="161"/>
      <x:c r="R106" s="161"/>
      <x:c r="S106" s="161"/>
      <x:c r="T106" s="161"/>
      <x:c r="U106" s="161"/>
      <x:c r="V106" s="161"/>
      <x:c r="W106" s="161"/>
      <x:c r="X106" s="161"/>
      <x:c r="Y106" s="161"/>
      <x:c r="Z106" s="161"/>
    </x:row>
    <x:row r="107">
      <x:c r="A107" s="161"/>
      <x:c r="B107" s="161"/>
      <x:c r="C107" s="161"/>
      <x:c r="D107" s="161"/>
      <x:c r="E107" s="161"/>
      <x:c r="F107" s="161"/>
      <x:c r="G107" s="161"/>
      <x:c r="H107" s="161"/>
      <x:c r="I107" s="161"/>
      <x:c r="J107" s="161"/>
      <x:c r="K107" s="161"/>
      <x:c r="L107" s="161"/>
      <x:c r="M107" s="161"/>
      <x:c r="N107" s="161"/>
      <x:c r="O107" s="161"/>
      <x:c r="P107" s="161"/>
      <x:c r="Q107" s="161"/>
      <x:c r="R107" s="161"/>
      <x:c r="S107" s="161"/>
      <x:c r="T107" s="161"/>
      <x:c r="U107" s="161"/>
      <x:c r="V107" s="161"/>
      <x:c r="W107" s="161"/>
      <x:c r="X107" s="161"/>
      <x:c r="Y107" s="161"/>
      <x:c r="Z107" s="161"/>
    </x:row>
    <x:row r="108">
      <x:c r="A108" s="161"/>
      <x:c r="B108" s="161"/>
      <x:c r="C108" s="161"/>
      <x:c r="D108" s="161"/>
      <x:c r="E108" s="161"/>
      <x:c r="F108" s="161"/>
      <x:c r="G108" s="161"/>
      <x:c r="H108" s="161"/>
      <x:c r="I108" s="161"/>
      <x:c r="J108" s="161"/>
      <x:c r="K108" s="161"/>
      <x:c r="L108" s="161"/>
      <x:c r="M108" s="161"/>
      <x:c r="N108" s="161"/>
      <x:c r="O108" s="161"/>
      <x:c r="P108" s="161"/>
      <x:c r="Q108" s="161"/>
      <x:c r="R108" s="161"/>
      <x:c r="S108" s="161"/>
      <x:c r="T108" s="161"/>
      <x:c r="U108" s="161"/>
      <x:c r="V108" s="161"/>
      <x:c r="W108" s="161"/>
      <x:c r="X108" s="161"/>
      <x:c r="Y108" s="161"/>
      <x:c r="Z108" s="161"/>
    </x:row>
    <x:row r="109">
      <x:c r="A109" s="161"/>
      <x:c r="B109" s="161"/>
      <x:c r="C109" s="161"/>
      <x:c r="D109" s="161"/>
      <x:c r="E109" s="161"/>
      <x:c r="F109" s="161"/>
      <x:c r="G109" s="161"/>
      <x:c r="H109" s="161"/>
      <x:c r="I109" s="161"/>
      <x:c r="J109" s="161"/>
      <x:c r="K109" s="161"/>
      <x:c r="L109" s="161"/>
      <x:c r="M109" s="161"/>
      <x:c r="N109" s="161"/>
      <x:c r="O109" s="161"/>
      <x:c r="P109" s="161"/>
      <x:c r="Q109" s="161"/>
      <x:c r="R109" s="161"/>
      <x:c r="S109" s="161"/>
      <x:c r="T109" s="161"/>
      <x:c r="U109" s="161"/>
      <x:c r="V109" s="161"/>
      <x:c r="W109" s="161"/>
      <x:c r="X109" s="161"/>
      <x:c r="Y109" s="161"/>
      <x:c r="Z109" s="161"/>
    </x:row>
    <x:row r="110">
      <x:c r="A110" s="161"/>
      <x:c r="B110" s="161"/>
      <x:c r="C110" s="161"/>
      <x:c r="D110" s="161"/>
      <x:c r="E110" s="161"/>
      <x:c r="F110" s="161"/>
      <x:c r="G110" s="161"/>
      <x:c r="H110" s="161"/>
      <x:c r="I110" s="161"/>
      <x:c r="J110" s="161"/>
      <x:c r="K110" s="161"/>
      <x:c r="L110" s="161"/>
      <x:c r="M110" s="161"/>
      <x:c r="N110" s="161"/>
      <x:c r="O110" s="161"/>
      <x:c r="P110" s="161"/>
      <x:c r="Q110" s="161"/>
      <x:c r="R110" s="161"/>
      <x:c r="S110" s="161"/>
      <x:c r="T110" s="161"/>
      <x:c r="U110" s="161"/>
      <x:c r="V110" s="161"/>
      <x:c r="W110" s="161"/>
      <x:c r="X110" s="161"/>
      <x:c r="Y110" s="161"/>
      <x:c r="Z110" s="161"/>
    </x:row>
    <x:row r="111">
      <x:c r="A111" s="161"/>
      <x:c r="B111" s="161"/>
      <x:c r="C111" s="161"/>
      <x:c r="D111" s="161"/>
      <x:c r="E111" s="161"/>
      <x:c r="F111" s="161"/>
      <x:c r="G111" s="161"/>
      <x:c r="H111" s="161"/>
      <x:c r="I111" s="161"/>
      <x:c r="J111" s="161"/>
      <x:c r="K111" s="161"/>
      <x:c r="L111" s="161"/>
      <x:c r="M111" s="161"/>
      <x:c r="N111" s="161"/>
      <x:c r="O111" s="161"/>
      <x:c r="P111" s="161"/>
      <x:c r="Q111" s="161"/>
      <x:c r="R111" s="161"/>
      <x:c r="S111" s="161"/>
      <x:c r="T111" s="161"/>
      <x:c r="U111" s="161"/>
      <x:c r="V111" s="161"/>
      <x:c r="W111" s="161"/>
      <x:c r="X111" s="161"/>
      <x:c r="Y111" s="161"/>
      <x:c r="Z111" s="161"/>
    </x:row>
    <x:row r="112">
      <x:c r="A112" s="161"/>
      <x:c r="B112" s="161"/>
      <x:c r="C112" s="161"/>
      <x:c r="D112" s="161"/>
      <x:c r="E112" s="161"/>
      <x:c r="F112" s="161"/>
      <x:c r="G112" s="161"/>
      <x:c r="H112" s="161"/>
      <x:c r="I112" s="161"/>
      <x:c r="J112" s="161"/>
      <x:c r="K112" s="161"/>
      <x:c r="L112" s="161"/>
      <x:c r="M112" s="161"/>
      <x:c r="N112" s="161"/>
      <x:c r="O112" s="161"/>
      <x:c r="P112" s="161"/>
      <x:c r="Q112" s="161"/>
      <x:c r="R112" s="161"/>
      <x:c r="S112" s="161"/>
      <x:c r="T112" s="161"/>
      <x:c r="U112" s="161"/>
      <x:c r="V112" s="161"/>
      <x:c r="W112" s="161"/>
      <x:c r="X112" s="161"/>
      <x:c r="Y112" s="161"/>
      <x:c r="Z112" s="161"/>
    </x:row>
    <x:row r="113">
      <x:c r="A113" s="161"/>
      <x:c r="B113" s="161"/>
      <x:c r="C113" s="161"/>
      <x:c r="D113" s="161"/>
      <x:c r="E113" s="161"/>
      <x:c r="F113" s="161"/>
      <x:c r="G113" s="161"/>
      <x:c r="H113" s="161"/>
      <x:c r="I113" s="161"/>
      <x:c r="J113" s="161"/>
      <x:c r="K113" s="161"/>
      <x:c r="L113" s="161"/>
      <x:c r="M113" s="161"/>
      <x:c r="N113" s="161"/>
      <x:c r="O113" s="161"/>
      <x:c r="P113" s="161"/>
      <x:c r="Q113" s="161"/>
      <x:c r="R113" s="161"/>
      <x:c r="S113" s="161"/>
      <x:c r="T113" s="161"/>
      <x:c r="U113" s="161"/>
      <x:c r="V113" s="161"/>
      <x:c r="W113" s="161"/>
      <x:c r="X113" s="161"/>
      <x:c r="Y113" s="161"/>
      <x:c r="Z113" s="161"/>
    </x:row>
    <x:row r="114">
      <x:c r="A114" s="161"/>
      <x:c r="B114" s="161"/>
      <x:c r="C114" s="161"/>
      <x:c r="D114" s="161"/>
      <x:c r="E114" s="161"/>
      <x:c r="F114" s="161"/>
      <x:c r="G114" s="161"/>
      <x:c r="H114" s="161"/>
      <x:c r="I114" s="161"/>
      <x:c r="J114" s="161"/>
      <x:c r="K114" s="161"/>
      <x:c r="L114" s="161"/>
      <x:c r="M114" s="161"/>
      <x:c r="N114" s="161"/>
      <x:c r="O114" s="161"/>
      <x:c r="P114" s="161"/>
      <x:c r="Q114" s="161"/>
      <x:c r="R114" s="161"/>
      <x:c r="S114" s="161"/>
      <x:c r="T114" s="161"/>
      <x:c r="U114" s="161"/>
      <x:c r="V114" s="161"/>
      <x:c r="W114" s="161"/>
      <x:c r="X114" s="161"/>
      <x:c r="Y114" s="161"/>
      <x:c r="Z114" s="161"/>
    </x:row>
    <x:row r="115">
      <x:c r="A115" s="161"/>
      <x:c r="B115" s="161"/>
      <x:c r="C115" s="161"/>
      <x:c r="D115" s="161"/>
      <x:c r="E115" s="161"/>
      <x:c r="F115" s="161"/>
      <x:c r="G115" s="161"/>
      <x:c r="H115" s="161"/>
      <x:c r="I115" s="161"/>
      <x:c r="J115" s="161"/>
      <x:c r="K115" s="161"/>
      <x:c r="L115" s="161"/>
      <x:c r="M115" s="161"/>
      <x:c r="N115" s="161"/>
      <x:c r="O115" s="161"/>
      <x:c r="P115" s="161"/>
      <x:c r="Q115" s="161"/>
      <x:c r="R115" s="161"/>
      <x:c r="S115" s="161"/>
      <x:c r="T115" s="161"/>
      <x:c r="U115" s="161"/>
      <x:c r="V115" s="161"/>
      <x:c r="W115" s="161"/>
      <x:c r="X115" s="161"/>
      <x:c r="Y115" s="161"/>
      <x:c r="Z115" s="161"/>
    </x:row>
    <x:row r="116">
      <x:c r="A116" s="161"/>
      <x:c r="B116" s="161"/>
      <x:c r="C116" s="161"/>
      <x:c r="D116" s="161"/>
      <x:c r="E116" s="161"/>
      <x:c r="F116" s="161"/>
      <x:c r="G116" s="161"/>
      <x:c r="H116" s="161"/>
      <x:c r="I116" s="161"/>
      <x:c r="J116" s="161"/>
      <x:c r="K116" s="161"/>
      <x:c r="L116" s="161"/>
      <x:c r="M116" s="161"/>
      <x:c r="N116" s="161"/>
      <x:c r="O116" s="161"/>
      <x:c r="P116" s="161"/>
      <x:c r="Q116" s="161"/>
      <x:c r="R116" s="161"/>
      <x:c r="S116" s="161"/>
      <x:c r="T116" s="161"/>
      <x:c r="U116" s="161"/>
      <x:c r="V116" s="161"/>
      <x:c r="W116" s="161"/>
      <x:c r="X116" s="161"/>
      <x:c r="Y116" s="161"/>
      <x:c r="Z116" s="161"/>
    </x:row>
    <x:row r="117">
      <x:c r="A117" s="161"/>
      <x:c r="B117" s="161"/>
      <x:c r="C117" s="161"/>
      <x:c r="D117" s="161"/>
      <x:c r="E117" s="161"/>
      <x:c r="F117" s="161"/>
      <x:c r="G117" s="161"/>
      <x:c r="H117" s="161"/>
      <x:c r="I117" s="161"/>
      <x:c r="J117" s="161"/>
      <x:c r="K117" s="161"/>
      <x:c r="L117" s="161"/>
      <x:c r="M117" s="161"/>
      <x:c r="N117" s="161"/>
      <x:c r="O117" s="161"/>
      <x:c r="P117" s="161"/>
      <x:c r="Q117" s="161"/>
      <x:c r="R117" s="161"/>
      <x:c r="S117" s="161"/>
      <x:c r="T117" s="161"/>
      <x:c r="U117" s="161"/>
      <x:c r="V117" s="161"/>
      <x:c r="W117" s="161"/>
      <x:c r="X117" s="161"/>
      <x:c r="Y117" s="161"/>
      <x:c r="Z117" s="161"/>
    </x:row>
    <x:row r="118">
      <x:c r="A118" s="161"/>
      <x:c r="B118" s="161"/>
      <x:c r="C118" s="161"/>
      <x:c r="D118" s="161"/>
      <x:c r="E118" s="161"/>
      <x:c r="F118" s="161"/>
      <x:c r="G118" s="161"/>
      <x:c r="H118" s="161"/>
      <x:c r="I118" s="161"/>
      <x:c r="J118" s="161"/>
      <x:c r="K118" s="161"/>
      <x:c r="L118" s="161"/>
      <x:c r="M118" s="161"/>
      <x:c r="N118" s="161"/>
      <x:c r="O118" s="161"/>
      <x:c r="P118" s="161"/>
      <x:c r="Q118" s="161"/>
      <x:c r="R118" s="161"/>
      <x:c r="S118" s="161"/>
      <x:c r="T118" s="161"/>
      <x:c r="U118" s="161"/>
      <x:c r="V118" s="161"/>
      <x:c r="W118" s="161"/>
      <x:c r="X118" s="161"/>
      <x:c r="Y118" s="161"/>
      <x:c r="Z118" s="161"/>
    </x:row>
    <x:row r="119">
      <x:c r="A119" s="161"/>
      <x:c r="B119" s="161"/>
      <x:c r="C119" s="161"/>
      <x:c r="D119" s="161"/>
      <x:c r="E119" s="161"/>
      <x:c r="F119" s="161"/>
      <x:c r="G119" s="161"/>
      <x:c r="H119" s="161"/>
      <x:c r="I119" s="161"/>
      <x:c r="J119" s="161"/>
      <x:c r="K119" s="161"/>
      <x:c r="L119" s="161"/>
      <x:c r="M119" s="161"/>
      <x:c r="N119" s="161"/>
      <x:c r="O119" s="161"/>
      <x:c r="P119" s="161"/>
      <x:c r="Q119" s="161"/>
      <x:c r="R119" s="161"/>
      <x:c r="S119" s="161"/>
      <x:c r="T119" s="161"/>
      <x:c r="U119" s="161"/>
      <x:c r="V119" s="161"/>
      <x:c r="W119" s="161"/>
      <x:c r="X119" s="161"/>
      <x:c r="Y119" s="161"/>
      <x:c r="Z119" s="161"/>
    </x:row>
    <x:row r="120">
      <x:c r="A120" s="161"/>
      <x:c r="B120" s="161"/>
      <x:c r="C120" s="161"/>
      <x:c r="D120" s="161"/>
      <x:c r="E120" s="161"/>
      <x:c r="F120" s="161"/>
      <x:c r="G120" s="161"/>
      <x:c r="H120" s="161"/>
      <x:c r="I120" s="161"/>
      <x:c r="J120" s="161"/>
      <x:c r="K120" s="161"/>
      <x:c r="L120" s="161"/>
      <x:c r="M120" s="161"/>
      <x:c r="N120" s="161"/>
      <x:c r="O120" s="161"/>
      <x:c r="P120" s="161"/>
      <x:c r="Q120" s="161"/>
      <x:c r="R120" s="161"/>
      <x:c r="S120" s="161"/>
      <x:c r="T120" s="161"/>
      <x:c r="U120" s="161"/>
      <x:c r="V120" s="161"/>
      <x:c r="W120" s="161"/>
      <x:c r="X120" s="161"/>
      <x:c r="Y120" s="161"/>
      <x:c r="Z120" s="161"/>
    </x:row>
    <x:row r="121">
      <x:c r="A121" s="161"/>
      <x:c r="B121" s="161"/>
      <x:c r="C121" s="161"/>
      <x:c r="D121" s="161"/>
      <x:c r="E121" s="161"/>
      <x:c r="F121" s="161"/>
      <x:c r="G121" s="161"/>
      <x:c r="H121" s="161"/>
      <x:c r="I121" s="161"/>
      <x:c r="J121" s="161"/>
      <x:c r="K121" s="161"/>
      <x:c r="L121" s="161"/>
      <x:c r="M121" s="161"/>
      <x:c r="N121" s="161"/>
      <x:c r="O121" s="161"/>
      <x:c r="P121" s="161"/>
      <x:c r="Q121" s="161"/>
      <x:c r="R121" s="161"/>
      <x:c r="S121" s="161"/>
      <x:c r="T121" s="161"/>
      <x:c r="U121" s="161"/>
      <x:c r="V121" s="161"/>
      <x:c r="W121" s="161"/>
      <x:c r="X121" s="161"/>
      <x:c r="Y121" s="161"/>
      <x:c r="Z121" s="161"/>
    </x:row>
    <x:row r="122">
      <x:c r="A122" s="161"/>
      <x:c r="B122" s="161"/>
      <x:c r="C122" s="161"/>
      <x:c r="D122" s="161"/>
      <x:c r="E122" s="161"/>
      <x:c r="F122" s="161"/>
      <x:c r="G122" s="161"/>
      <x:c r="H122" s="161"/>
      <x:c r="I122" s="161"/>
      <x:c r="J122" s="161"/>
      <x:c r="K122" s="161"/>
      <x:c r="L122" s="161"/>
      <x:c r="M122" s="161"/>
      <x:c r="N122" s="161"/>
      <x:c r="O122" s="161"/>
      <x:c r="P122" s="161"/>
      <x:c r="Q122" s="161"/>
      <x:c r="R122" s="161"/>
      <x:c r="S122" s="161"/>
      <x:c r="T122" s="161"/>
      <x:c r="U122" s="161"/>
      <x:c r="V122" s="161"/>
      <x:c r="W122" s="161"/>
      <x:c r="X122" s="161"/>
      <x:c r="Y122" s="161"/>
      <x:c r="Z122" s="161"/>
    </x:row>
    <x:row r="123">
      <x:c r="A123" s="161"/>
      <x:c r="B123" s="161"/>
      <x:c r="C123" s="161"/>
      <x:c r="D123" s="161"/>
      <x:c r="E123" s="161"/>
      <x:c r="F123" s="161"/>
      <x:c r="G123" s="161"/>
      <x:c r="H123" s="161"/>
      <x:c r="I123" s="161"/>
      <x:c r="J123" s="161"/>
      <x:c r="K123" s="161"/>
      <x:c r="L123" s="161"/>
      <x:c r="M123" s="161"/>
      <x:c r="N123" s="161"/>
      <x:c r="O123" s="161"/>
      <x:c r="P123" s="161"/>
      <x:c r="Q123" s="161"/>
      <x:c r="R123" s="161"/>
      <x:c r="S123" s="161"/>
      <x:c r="T123" s="161"/>
      <x:c r="U123" s="161"/>
      <x:c r="V123" s="161"/>
      <x:c r="W123" s="161"/>
      <x:c r="X123" s="161"/>
      <x:c r="Y123" s="161"/>
      <x:c r="Z123" s="161"/>
    </x:row>
    <x:row r="124">
      <x:c r="A124" s="161"/>
      <x:c r="B124" s="161"/>
      <x:c r="C124" s="161"/>
      <x:c r="D124" s="161"/>
      <x:c r="E124" s="161"/>
      <x:c r="F124" s="161"/>
      <x:c r="G124" s="161"/>
      <x:c r="H124" s="161"/>
      <x:c r="I124" s="161"/>
      <x:c r="J124" s="161"/>
      <x:c r="K124" s="161"/>
      <x:c r="L124" s="161"/>
      <x:c r="M124" s="161"/>
      <x:c r="N124" s="161"/>
      <x:c r="O124" s="161"/>
      <x:c r="P124" s="161"/>
      <x:c r="Q124" s="161"/>
      <x:c r="R124" s="161"/>
      <x:c r="S124" s="161"/>
      <x:c r="T124" s="161"/>
      <x:c r="U124" s="161"/>
      <x:c r="V124" s="161"/>
      <x:c r="W124" s="161"/>
      <x:c r="X124" s="161"/>
      <x:c r="Y124" s="161"/>
      <x:c r="Z124" s="161"/>
    </x:row>
    <x:row r="125">
      <x:c r="A125" s="161"/>
      <x:c r="B125" s="161"/>
      <x:c r="C125" s="161"/>
      <x:c r="D125" s="161"/>
      <x:c r="E125" s="161"/>
      <x:c r="F125" s="161"/>
      <x:c r="G125" s="161"/>
      <x:c r="H125" s="161"/>
      <x:c r="I125" s="161"/>
      <x:c r="J125" s="161"/>
      <x:c r="K125" s="161"/>
      <x:c r="L125" s="161"/>
      <x:c r="M125" s="161"/>
      <x:c r="N125" s="161"/>
      <x:c r="O125" s="161"/>
      <x:c r="P125" s="161"/>
      <x:c r="Q125" s="161"/>
      <x:c r="R125" s="161"/>
      <x:c r="S125" s="161"/>
      <x:c r="T125" s="161"/>
      <x:c r="U125" s="161"/>
      <x:c r="V125" s="161"/>
      <x:c r="W125" s="161"/>
      <x:c r="X125" s="161"/>
      <x:c r="Y125" s="161"/>
      <x:c r="Z125" s="161"/>
    </x:row>
    <x:row r="126">
      <x:c r="A126" s="161"/>
      <x:c r="B126" s="161"/>
      <x:c r="C126" s="161"/>
      <x:c r="D126" s="161"/>
      <x:c r="E126" s="161"/>
      <x:c r="F126" s="161"/>
      <x:c r="G126" s="161"/>
      <x:c r="H126" s="161"/>
      <x:c r="I126" s="161"/>
      <x:c r="J126" s="161"/>
      <x:c r="K126" s="161"/>
      <x:c r="L126" s="161"/>
      <x:c r="M126" s="161"/>
      <x:c r="N126" s="161"/>
      <x:c r="O126" s="161"/>
      <x:c r="P126" s="161"/>
      <x:c r="Q126" s="161"/>
      <x:c r="R126" s="161"/>
      <x:c r="S126" s="161"/>
      <x:c r="T126" s="161"/>
      <x:c r="U126" s="161"/>
      <x:c r="V126" s="161"/>
      <x:c r="W126" s="161"/>
      <x:c r="X126" s="161"/>
      <x:c r="Y126" s="161"/>
      <x:c r="Z126" s="161"/>
    </x:row>
    <x:row r="127">
      <x:c r="A127" s="161"/>
      <x:c r="B127" s="161"/>
      <x:c r="C127" s="161"/>
      <x:c r="D127" s="161"/>
      <x:c r="E127" s="161"/>
      <x:c r="F127" s="161"/>
      <x:c r="G127" s="161"/>
      <x:c r="H127" s="161"/>
      <x:c r="I127" s="161"/>
      <x:c r="J127" s="161"/>
      <x:c r="K127" s="161"/>
      <x:c r="L127" s="161"/>
      <x:c r="M127" s="161"/>
      <x:c r="N127" s="161"/>
      <x:c r="O127" s="161"/>
      <x:c r="P127" s="161"/>
      <x:c r="Q127" s="161"/>
      <x:c r="R127" s="161"/>
      <x:c r="S127" s="161"/>
      <x:c r="T127" s="161"/>
      <x:c r="U127" s="161"/>
      <x:c r="V127" s="161"/>
      <x:c r="W127" s="161"/>
      <x:c r="X127" s="161"/>
      <x:c r="Y127" s="161"/>
      <x:c r="Z127" s="161"/>
    </x:row>
    <x:row r="128">
      <x:c r="A128" s="161"/>
      <x:c r="B128" s="161"/>
      <x:c r="C128" s="161"/>
      <x:c r="D128" s="161"/>
      <x:c r="E128" s="161"/>
      <x:c r="F128" s="161"/>
      <x:c r="G128" s="161"/>
      <x:c r="H128" s="161"/>
      <x:c r="I128" s="161"/>
      <x:c r="J128" s="161"/>
      <x:c r="K128" s="161"/>
      <x:c r="L128" s="161"/>
      <x:c r="M128" s="161"/>
      <x:c r="N128" s="161"/>
      <x:c r="O128" s="161"/>
      <x:c r="P128" s="161"/>
      <x:c r="Q128" s="161"/>
      <x:c r="R128" s="161"/>
      <x:c r="S128" s="161"/>
      <x:c r="T128" s="161"/>
      <x:c r="U128" s="161"/>
      <x:c r="V128" s="161"/>
      <x:c r="W128" s="161"/>
      <x:c r="X128" s="161"/>
      <x:c r="Y128" s="161"/>
      <x:c r="Z128" s="161"/>
    </x:row>
    <x:row r="129">
      <x:c r="A129" s="161"/>
      <x:c r="B129" s="161"/>
      <x:c r="C129" s="161"/>
      <x:c r="D129" s="161"/>
      <x:c r="E129" s="161"/>
      <x:c r="F129" s="161"/>
      <x:c r="G129" s="161"/>
      <x:c r="H129" s="161"/>
      <x:c r="I129" s="161"/>
      <x:c r="J129" s="161"/>
      <x:c r="K129" s="161"/>
      <x:c r="L129" s="161"/>
      <x:c r="M129" s="161"/>
      <x:c r="N129" s="161"/>
      <x:c r="O129" s="161"/>
      <x:c r="P129" s="161"/>
      <x:c r="Q129" s="161"/>
      <x:c r="R129" s="161"/>
      <x:c r="S129" s="161"/>
      <x:c r="T129" s="161"/>
      <x:c r="U129" s="161"/>
      <x:c r="V129" s="161"/>
      <x:c r="W129" s="161"/>
      <x:c r="X129" s="161"/>
      <x:c r="Y129" s="161"/>
      <x:c r="Z129" s="161"/>
    </x:row>
    <x:row r="130">
      <x:c r="A130" s="161"/>
      <x:c r="B130" s="161"/>
      <x:c r="C130" s="161"/>
      <x:c r="D130" s="161"/>
      <x:c r="E130" s="161"/>
      <x:c r="F130" s="161"/>
      <x:c r="G130" s="161"/>
      <x:c r="H130" s="161"/>
      <x:c r="I130" s="161"/>
      <x:c r="J130" s="161"/>
      <x:c r="K130" s="161"/>
      <x:c r="L130" s="161"/>
      <x:c r="M130" s="161"/>
      <x:c r="N130" s="161"/>
      <x:c r="O130" s="161"/>
      <x:c r="P130" s="161"/>
      <x:c r="Q130" s="161"/>
      <x:c r="R130" s="161"/>
      <x:c r="S130" s="161"/>
      <x:c r="T130" s="161"/>
      <x:c r="U130" s="161"/>
      <x:c r="V130" s="161"/>
      <x:c r="W130" s="161"/>
      <x:c r="X130" s="161"/>
      <x:c r="Y130" s="161"/>
      <x:c r="Z130" s="161"/>
    </x:row>
    <x:row r="131">
      <x:c r="A131" s="161"/>
      <x:c r="B131" s="161"/>
      <x:c r="C131" s="161"/>
      <x:c r="D131" s="161"/>
      <x:c r="E131" s="161"/>
      <x:c r="F131" s="161"/>
      <x:c r="G131" s="161"/>
      <x:c r="H131" s="161"/>
      <x:c r="I131" s="161"/>
      <x:c r="J131" s="161"/>
      <x:c r="K131" s="161"/>
      <x:c r="L131" s="161"/>
      <x:c r="M131" s="161"/>
      <x:c r="N131" s="161"/>
      <x:c r="O131" s="161"/>
      <x:c r="P131" s="161"/>
      <x:c r="Q131" s="161"/>
      <x:c r="R131" s="161"/>
      <x:c r="S131" s="161"/>
      <x:c r="T131" s="161"/>
      <x:c r="U131" s="161"/>
      <x:c r="V131" s="161"/>
      <x:c r="W131" s="161"/>
      <x:c r="X131" s="161"/>
      <x:c r="Y131" s="161"/>
      <x:c r="Z131" s="161"/>
    </x:row>
    <x:row r="132">
      <x:c r="A132" s="161"/>
      <x:c r="B132" s="161"/>
      <x:c r="C132" s="161"/>
      <x:c r="D132" s="161"/>
      <x:c r="E132" s="161"/>
      <x:c r="F132" s="161"/>
      <x:c r="G132" s="161"/>
      <x:c r="H132" s="161"/>
      <x:c r="I132" s="161"/>
      <x:c r="J132" s="161"/>
      <x:c r="K132" s="161"/>
      <x:c r="L132" s="161"/>
      <x:c r="M132" s="161"/>
      <x:c r="N132" s="161"/>
      <x:c r="O132" s="161"/>
      <x:c r="P132" s="161"/>
      <x:c r="Q132" s="161"/>
      <x:c r="R132" s="161"/>
      <x:c r="S132" s="161"/>
      <x:c r="T132" s="161"/>
      <x:c r="U132" s="161"/>
      <x:c r="V132" s="161"/>
      <x:c r="W132" s="161"/>
      <x:c r="X132" s="161"/>
      <x:c r="Y132" s="161"/>
      <x:c r="Z132" s="161"/>
    </x:row>
    <x:row r="133">
      <x:c r="A133" s="161"/>
      <x:c r="B133" s="161"/>
      <x:c r="C133" s="161"/>
      <x:c r="D133" s="161"/>
      <x:c r="E133" s="161"/>
      <x:c r="F133" s="161"/>
      <x:c r="G133" s="161"/>
      <x:c r="H133" s="161"/>
      <x:c r="I133" s="161"/>
      <x:c r="J133" s="161"/>
      <x:c r="K133" s="161"/>
      <x:c r="L133" s="161"/>
      <x:c r="M133" s="161"/>
      <x:c r="N133" s="161"/>
      <x:c r="O133" s="161"/>
      <x:c r="P133" s="161"/>
      <x:c r="Q133" s="161"/>
      <x:c r="R133" s="161"/>
      <x:c r="S133" s="161"/>
      <x:c r="T133" s="161"/>
      <x:c r="U133" s="161"/>
      <x:c r="V133" s="161"/>
      <x:c r="W133" s="161"/>
      <x:c r="X133" s="161"/>
      <x:c r="Y133" s="161"/>
      <x:c r="Z133" s="161"/>
    </x:row>
    <x:row r="134">
      <x:c r="A134" s="161"/>
      <x:c r="B134" s="161"/>
      <x:c r="C134" s="161"/>
      <x:c r="D134" s="161"/>
      <x:c r="E134" s="161"/>
      <x:c r="F134" s="161"/>
      <x:c r="G134" s="161"/>
      <x:c r="H134" s="161"/>
      <x:c r="I134" s="161"/>
      <x:c r="J134" s="161"/>
      <x:c r="K134" s="161"/>
      <x:c r="L134" s="161"/>
      <x:c r="M134" s="161"/>
      <x:c r="N134" s="161"/>
      <x:c r="O134" s="161"/>
      <x:c r="P134" s="161"/>
      <x:c r="Q134" s="161"/>
      <x:c r="R134" s="161"/>
      <x:c r="S134" s="161"/>
      <x:c r="T134" s="161"/>
      <x:c r="U134" s="161"/>
      <x:c r="V134" s="161"/>
      <x:c r="W134" s="161"/>
      <x:c r="X134" s="161"/>
      <x:c r="Y134" s="161"/>
      <x:c r="Z134" s="161"/>
    </x:row>
    <x:row r="135">
      <x:c r="A135" s="161"/>
      <x:c r="B135" s="161"/>
      <x:c r="C135" s="161"/>
      <x:c r="D135" s="161"/>
      <x:c r="E135" s="161"/>
      <x:c r="F135" s="161"/>
      <x:c r="G135" s="161"/>
      <x:c r="H135" s="161"/>
      <x:c r="I135" s="161"/>
      <x:c r="J135" s="161"/>
      <x:c r="K135" s="161"/>
      <x:c r="L135" s="161"/>
      <x:c r="M135" s="161"/>
      <x:c r="N135" s="161"/>
      <x:c r="O135" s="161"/>
      <x:c r="P135" s="161"/>
      <x:c r="Q135" s="161"/>
      <x:c r="R135" s="161"/>
      <x:c r="S135" s="161"/>
      <x:c r="T135" s="161"/>
      <x:c r="U135" s="161"/>
      <x:c r="V135" s="161"/>
      <x:c r="W135" s="161"/>
      <x:c r="X135" s="161"/>
      <x:c r="Y135" s="161"/>
      <x:c r="Z135" s="161"/>
    </x:row>
    <x:row r="136">
      <x:c r="A136" s="161"/>
      <x:c r="B136" s="161"/>
      <x:c r="C136" s="161"/>
      <x:c r="D136" s="161"/>
      <x:c r="E136" s="161"/>
      <x:c r="F136" s="161"/>
      <x:c r="G136" s="161"/>
      <x:c r="H136" s="161"/>
      <x:c r="I136" s="161"/>
      <x:c r="J136" s="161"/>
      <x:c r="K136" s="161"/>
      <x:c r="L136" s="161"/>
      <x:c r="M136" s="161"/>
      <x:c r="N136" s="161"/>
      <x:c r="O136" s="161"/>
      <x:c r="P136" s="161"/>
      <x:c r="Q136" s="161"/>
      <x:c r="R136" s="161"/>
      <x:c r="S136" s="161"/>
      <x:c r="T136" s="161"/>
      <x:c r="U136" s="161"/>
      <x:c r="V136" s="161"/>
      <x:c r="W136" s="161"/>
      <x:c r="X136" s="161"/>
      <x:c r="Y136" s="161"/>
      <x:c r="Z136" s="161"/>
    </x:row>
    <x:row r="137">
      <x:c r="A137" s="161"/>
      <x:c r="B137" s="161"/>
      <x:c r="C137" s="161"/>
      <x:c r="D137" s="161"/>
      <x:c r="E137" s="161"/>
      <x:c r="F137" s="161"/>
      <x:c r="G137" s="161"/>
      <x:c r="H137" s="161"/>
      <x:c r="I137" s="161"/>
      <x:c r="J137" s="161"/>
      <x:c r="K137" s="161"/>
      <x:c r="L137" s="161"/>
      <x:c r="M137" s="161"/>
      <x:c r="N137" s="161"/>
      <x:c r="O137" s="161"/>
      <x:c r="P137" s="161"/>
      <x:c r="Q137" s="161"/>
      <x:c r="R137" s="161"/>
      <x:c r="S137" s="161"/>
      <x:c r="T137" s="161"/>
      <x:c r="U137" s="161"/>
      <x:c r="V137" s="161"/>
      <x:c r="W137" s="161"/>
      <x:c r="X137" s="161"/>
      <x:c r="Y137" s="161"/>
      <x:c r="Z137" s="161"/>
    </x:row>
    <x:row r="138">
      <x:c r="A138" s="161"/>
      <x:c r="B138" s="161"/>
      <x:c r="C138" s="161"/>
      <x:c r="D138" s="161"/>
      <x:c r="E138" s="161"/>
      <x:c r="F138" s="161"/>
      <x:c r="G138" s="161"/>
      <x:c r="H138" s="161"/>
      <x:c r="I138" s="161"/>
      <x:c r="J138" s="161"/>
      <x:c r="K138" s="161"/>
      <x:c r="L138" s="161"/>
      <x:c r="M138" s="161"/>
      <x:c r="N138" s="161"/>
      <x:c r="O138" s="161"/>
      <x:c r="P138" s="161"/>
      <x:c r="Q138" s="161"/>
      <x:c r="R138" s="161"/>
      <x:c r="S138" s="161"/>
      <x:c r="T138" s="161"/>
      <x:c r="U138" s="161"/>
      <x:c r="V138" s="161"/>
      <x:c r="W138" s="161"/>
      <x:c r="X138" s="161"/>
      <x:c r="Y138" s="161"/>
      <x:c r="Z138" s="161"/>
    </x:row>
    <x:row r="139">
      <x:c r="A139" s="161"/>
      <x:c r="B139" s="161"/>
      <x:c r="C139" s="161"/>
      <x:c r="D139" s="161"/>
      <x:c r="E139" s="161"/>
      <x:c r="F139" s="161"/>
      <x:c r="G139" s="161"/>
      <x:c r="H139" s="161"/>
      <x:c r="I139" s="161"/>
      <x:c r="J139" s="161"/>
      <x:c r="K139" s="161"/>
      <x:c r="L139" s="161"/>
      <x:c r="M139" s="161"/>
      <x:c r="N139" s="161"/>
      <x:c r="O139" s="161"/>
      <x:c r="P139" s="161"/>
      <x:c r="Q139" s="161"/>
      <x:c r="R139" s="161"/>
      <x:c r="S139" s="161"/>
      <x:c r="T139" s="161"/>
      <x:c r="U139" s="161"/>
      <x:c r="V139" s="161"/>
      <x:c r="W139" s="161"/>
      <x:c r="X139" s="161"/>
      <x:c r="Y139" s="161"/>
      <x:c r="Z139" s="161"/>
    </x:row>
    <x:row r="140">
      <x:c r="A140" s="161"/>
      <x:c r="B140" s="161"/>
      <x:c r="C140" s="161"/>
      <x:c r="D140" s="161"/>
      <x:c r="E140" s="161"/>
      <x:c r="F140" s="161"/>
      <x:c r="G140" s="161"/>
      <x:c r="H140" s="161"/>
      <x:c r="I140" s="161"/>
      <x:c r="J140" s="161"/>
      <x:c r="K140" s="161"/>
      <x:c r="L140" s="161"/>
      <x:c r="M140" s="161"/>
      <x:c r="N140" s="161"/>
      <x:c r="O140" s="161"/>
      <x:c r="P140" s="161"/>
      <x:c r="Q140" s="161"/>
      <x:c r="R140" s="161"/>
      <x:c r="S140" s="161"/>
      <x:c r="T140" s="161"/>
      <x:c r="U140" s="161"/>
      <x:c r="V140" s="161"/>
      <x:c r="W140" s="161"/>
      <x:c r="X140" s="161"/>
      <x:c r="Y140" s="161"/>
      <x:c r="Z140" s="161"/>
    </x:row>
    <x:row r="141">
      <x:c r="A141" s="161"/>
      <x:c r="B141" s="161"/>
      <x:c r="C141" s="161"/>
      <x:c r="D141" s="161"/>
      <x:c r="E141" s="161"/>
      <x:c r="F141" s="161"/>
      <x:c r="G141" s="161"/>
      <x:c r="H141" s="161"/>
      <x:c r="I141" s="161"/>
      <x:c r="J141" s="161"/>
      <x:c r="K141" s="161"/>
      <x:c r="L141" s="161"/>
      <x:c r="M141" s="161"/>
      <x:c r="N141" s="161"/>
      <x:c r="O141" s="161"/>
      <x:c r="P141" s="161"/>
      <x:c r="Q141" s="161"/>
      <x:c r="R141" s="161"/>
      <x:c r="S141" s="161"/>
      <x:c r="T141" s="161"/>
      <x:c r="U141" s="161"/>
      <x:c r="V141" s="161"/>
      <x:c r="W141" s="161"/>
      <x:c r="X141" s="161"/>
      <x:c r="Y141" s="161"/>
      <x:c r="Z141" s="161"/>
    </x:row>
    <x:row r="142">
      <x:c r="A142" s="161"/>
      <x:c r="B142" s="161"/>
      <x:c r="C142" s="161"/>
      <x:c r="D142" s="161"/>
      <x:c r="E142" s="161"/>
      <x:c r="F142" s="161"/>
      <x:c r="G142" s="161"/>
      <x:c r="H142" s="161"/>
      <x:c r="I142" s="161"/>
      <x:c r="J142" s="161"/>
      <x:c r="K142" s="161"/>
      <x:c r="L142" s="161"/>
      <x:c r="M142" s="161"/>
      <x:c r="N142" s="161"/>
      <x:c r="O142" s="161"/>
      <x:c r="P142" s="161"/>
      <x:c r="Q142" s="161"/>
      <x:c r="R142" s="161"/>
      <x:c r="S142" s="161"/>
      <x:c r="T142" s="161"/>
      <x:c r="U142" s="161"/>
      <x:c r="V142" s="161"/>
      <x:c r="W142" s="161"/>
      <x:c r="X142" s="161"/>
      <x:c r="Y142" s="161"/>
      <x:c r="Z142" s="161"/>
    </x:row>
    <x:row r="143">
      <x:c r="A143" s="161"/>
      <x:c r="B143" s="161"/>
      <x:c r="C143" s="161"/>
      <x:c r="D143" s="161"/>
      <x:c r="E143" s="161"/>
      <x:c r="F143" s="161"/>
      <x:c r="G143" s="161"/>
      <x:c r="H143" s="161"/>
      <x:c r="I143" s="161"/>
      <x:c r="J143" s="161"/>
      <x:c r="K143" s="161"/>
      <x:c r="L143" s="161"/>
      <x:c r="M143" s="161"/>
      <x:c r="N143" s="161"/>
      <x:c r="O143" s="161"/>
      <x:c r="P143" s="161"/>
      <x:c r="Q143" s="161"/>
      <x:c r="R143" s="161"/>
      <x:c r="S143" s="161"/>
      <x:c r="T143" s="161"/>
      <x:c r="U143" s="161"/>
      <x:c r="V143" s="161"/>
      <x:c r="W143" s="161"/>
      <x:c r="X143" s="161"/>
      <x:c r="Y143" s="161"/>
      <x:c r="Z143" s="161"/>
    </x:row>
    <x:row r="144">
      <x:c r="A144" s="161"/>
      <x:c r="B144" s="161"/>
      <x:c r="C144" s="161"/>
      <x:c r="D144" s="161"/>
      <x:c r="E144" s="161"/>
      <x:c r="F144" s="161"/>
      <x:c r="G144" s="161"/>
      <x:c r="H144" s="161"/>
      <x:c r="I144" s="161"/>
      <x:c r="J144" s="161"/>
      <x:c r="K144" s="161"/>
      <x:c r="L144" s="161"/>
      <x:c r="M144" s="161"/>
      <x:c r="N144" s="161"/>
      <x:c r="O144" s="161"/>
      <x:c r="P144" s="161"/>
      <x:c r="Q144" s="161"/>
      <x:c r="R144" s="161"/>
      <x:c r="S144" s="161"/>
      <x:c r="T144" s="161"/>
      <x:c r="U144" s="161"/>
      <x:c r="V144" s="161"/>
      <x:c r="W144" s="161"/>
      <x:c r="X144" s="161"/>
      <x:c r="Y144" s="161"/>
      <x:c r="Z144" s="161"/>
    </x:row>
    <x:row r="145">
      <x:c r="A145" s="161"/>
      <x:c r="B145" s="161"/>
      <x:c r="C145" s="161"/>
      <x:c r="D145" s="161"/>
      <x:c r="E145" s="161"/>
      <x:c r="F145" s="161"/>
      <x:c r="G145" s="161"/>
      <x:c r="H145" s="161"/>
      <x:c r="I145" s="161"/>
      <x:c r="J145" s="161"/>
      <x:c r="K145" s="161"/>
      <x:c r="L145" s="161"/>
      <x:c r="M145" s="161"/>
      <x:c r="N145" s="161"/>
      <x:c r="O145" s="161"/>
      <x:c r="P145" s="161"/>
      <x:c r="Q145" s="161"/>
      <x:c r="R145" s="161"/>
      <x:c r="S145" s="161"/>
      <x:c r="T145" s="161"/>
      <x:c r="U145" s="161"/>
      <x:c r="V145" s="161"/>
      <x:c r="W145" s="161"/>
      <x:c r="X145" s="161"/>
      <x:c r="Y145" s="161"/>
      <x:c r="Z145" s="161"/>
    </x:row>
    <x:row r="146">
      <x:c r="A146" s="161"/>
      <x:c r="B146" s="161"/>
      <x:c r="C146" s="161"/>
      <x:c r="D146" s="161"/>
      <x:c r="E146" s="161"/>
      <x:c r="F146" s="161"/>
      <x:c r="G146" s="161"/>
      <x:c r="H146" s="161"/>
      <x:c r="I146" s="161"/>
      <x:c r="J146" s="161"/>
      <x:c r="K146" s="161"/>
      <x:c r="L146" s="161"/>
      <x:c r="M146" s="161"/>
      <x:c r="N146" s="161"/>
      <x:c r="O146" s="161"/>
      <x:c r="P146" s="161"/>
      <x:c r="Q146" s="161"/>
      <x:c r="R146" s="161"/>
      <x:c r="S146" s="161"/>
      <x:c r="T146" s="161"/>
      <x:c r="U146" s="161"/>
      <x:c r="V146" s="161"/>
      <x:c r="W146" s="161"/>
      <x:c r="X146" s="161"/>
      <x:c r="Y146" s="161"/>
      <x:c r="Z146" s="161"/>
    </x:row>
    <x:row r="147">
      <x:c r="A147" s="161"/>
      <x:c r="B147" s="161"/>
      <x:c r="C147" s="161"/>
      <x:c r="D147" s="161"/>
      <x:c r="E147" s="161"/>
      <x:c r="F147" s="161"/>
      <x:c r="G147" s="161"/>
      <x:c r="H147" s="161"/>
      <x:c r="I147" s="161"/>
      <x:c r="J147" s="161"/>
      <x:c r="K147" s="161"/>
      <x:c r="L147" s="161"/>
      <x:c r="M147" s="161"/>
      <x:c r="N147" s="161"/>
      <x:c r="O147" s="161"/>
      <x:c r="P147" s="161"/>
      <x:c r="Q147" s="161"/>
      <x:c r="R147" s="161"/>
      <x:c r="S147" s="161"/>
      <x:c r="T147" s="161"/>
      <x:c r="U147" s="161"/>
      <x:c r="V147" s="161"/>
      <x:c r="W147" s="161"/>
      <x:c r="X147" s="161"/>
      <x:c r="Y147" s="161"/>
      <x:c r="Z147" s="161"/>
    </x:row>
    <x:row r="148">
      <x:c r="A148" s="161"/>
      <x:c r="B148" s="161"/>
      <x:c r="C148" s="161"/>
      <x:c r="D148" s="161"/>
      <x:c r="E148" s="161"/>
      <x:c r="F148" s="161"/>
      <x:c r="G148" s="161"/>
      <x:c r="H148" s="161"/>
      <x:c r="I148" s="161"/>
      <x:c r="J148" s="161"/>
      <x:c r="K148" s="161"/>
      <x:c r="L148" s="161"/>
      <x:c r="M148" s="161"/>
      <x:c r="N148" s="161"/>
      <x:c r="O148" s="161"/>
      <x:c r="P148" s="161"/>
      <x:c r="Q148" s="161"/>
      <x:c r="R148" s="161"/>
      <x:c r="S148" s="161"/>
      <x:c r="T148" s="161"/>
      <x:c r="U148" s="161"/>
      <x:c r="V148" s="161"/>
      <x:c r="W148" s="161"/>
      <x:c r="X148" s="161"/>
      <x:c r="Y148" s="161"/>
      <x:c r="Z148" s="161"/>
    </x:row>
    <x:row r="149">
      <x:c r="A149" s="161"/>
      <x:c r="B149" s="161"/>
      <x:c r="C149" s="161"/>
      <x:c r="D149" s="161"/>
      <x:c r="E149" s="161"/>
      <x:c r="F149" s="161"/>
      <x:c r="G149" s="161"/>
      <x:c r="H149" s="161"/>
      <x:c r="I149" s="161"/>
      <x:c r="J149" s="161"/>
      <x:c r="K149" s="161"/>
      <x:c r="L149" s="161"/>
      <x:c r="M149" s="161"/>
      <x:c r="N149" s="161"/>
      <x:c r="O149" s="161"/>
      <x:c r="P149" s="161"/>
      <x:c r="Q149" s="161"/>
      <x:c r="R149" s="161"/>
      <x:c r="S149" s="161"/>
      <x:c r="T149" s="161"/>
      <x:c r="U149" s="161"/>
      <x:c r="V149" s="161"/>
      <x:c r="W149" s="161"/>
      <x:c r="X149" s="161"/>
      <x:c r="Y149" s="161"/>
      <x:c r="Z149" s="161"/>
    </x:row>
    <x:row r="150">
      <x:c r="A150" s="161"/>
      <x:c r="B150" s="161"/>
      <x:c r="C150" s="161"/>
      <x:c r="D150" s="161"/>
      <x:c r="E150" s="161"/>
      <x:c r="F150" s="161"/>
      <x:c r="G150" s="161"/>
      <x:c r="H150" s="161"/>
      <x:c r="I150" s="161"/>
      <x:c r="J150" s="161"/>
      <x:c r="K150" s="161"/>
      <x:c r="L150" s="161"/>
      <x:c r="M150" s="161"/>
      <x:c r="N150" s="161"/>
      <x:c r="O150" s="161"/>
      <x:c r="P150" s="161"/>
      <x:c r="Q150" s="161"/>
      <x:c r="R150" s="161"/>
      <x:c r="S150" s="161"/>
      <x:c r="T150" s="161"/>
      <x:c r="U150" s="161"/>
      <x:c r="V150" s="161"/>
      <x:c r="W150" s="161"/>
      <x:c r="X150" s="161"/>
      <x:c r="Y150" s="161"/>
      <x:c r="Z150" s="161"/>
    </x:row>
    <x:row r="151">
      <x:c r="A151" s="161"/>
      <x:c r="B151" s="161"/>
      <x:c r="C151" s="161"/>
      <x:c r="D151" s="161"/>
      <x:c r="E151" s="161"/>
      <x:c r="F151" s="161"/>
      <x:c r="G151" s="161"/>
      <x:c r="H151" s="161"/>
      <x:c r="I151" s="161"/>
      <x:c r="J151" s="161"/>
      <x:c r="K151" s="161"/>
      <x:c r="L151" s="161"/>
      <x:c r="M151" s="161"/>
      <x:c r="N151" s="161"/>
      <x:c r="O151" s="161"/>
      <x:c r="P151" s="161"/>
      <x:c r="Q151" s="161"/>
      <x:c r="R151" s="161"/>
      <x:c r="S151" s="161"/>
      <x:c r="T151" s="161"/>
      <x:c r="U151" s="161"/>
      <x:c r="V151" s="161"/>
      <x:c r="W151" s="161"/>
      <x:c r="X151" s="161"/>
      <x:c r="Y151" s="161"/>
      <x:c r="Z151" s="161"/>
    </x:row>
    <x:row r="152">
      <x:c r="A152" s="161"/>
      <x:c r="B152" s="161"/>
      <x:c r="C152" s="161"/>
      <x:c r="D152" s="161"/>
      <x:c r="E152" s="161"/>
      <x:c r="F152" s="161"/>
      <x:c r="G152" s="161"/>
      <x:c r="H152" s="161"/>
      <x:c r="I152" s="161"/>
      <x:c r="J152" s="161"/>
      <x:c r="K152" s="161"/>
      <x:c r="L152" s="161"/>
      <x:c r="M152" s="161"/>
      <x:c r="N152" s="161"/>
      <x:c r="O152" s="161"/>
      <x:c r="P152" s="161"/>
      <x:c r="Q152" s="161"/>
      <x:c r="R152" s="161"/>
      <x:c r="S152" s="161"/>
      <x:c r="T152" s="161"/>
      <x:c r="U152" s="161"/>
      <x:c r="V152" s="161"/>
      <x:c r="W152" s="161"/>
      <x:c r="X152" s="161"/>
      <x:c r="Y152" s="161"/>
      <x:c r="Z152" s="161"/>
    </x:row>
    <x:row r="153">
      <x:c r="A153" s="161"/>
      <x:c r="B153" s="161"/>
      <x:c r="C153" s="161"/>
      <x:c r="D153" s="161"/>
      <x:c r="E153" s="161"/>
      <x:c r="F153" s="161"/>
      <x:c r="G153" s="161"/>
      <x:c r="H153" s="161"/>
      <x:c r="I153" s="161"/>
      <x:c r="J153" s="161"/>
      <x:c r="K153" s="161"/>
      <x:c r="L153" s="161"/>
      <x:c r="M153" s="161"/>
      <x:c r="N153" s="161"/>
      <x:c r="O153" s="161"/>
      <x:c r="P153" s="161"/>
      <x:c r="Q153" s="161"/>
      <x:c r="R153" s="161"/>
      <x:c r="S153" s="161"/>
      <x:c r="T153" s="161"/>
      <x:c r="U153" s="161"/>
      <x:c r="V153" s="161"/>
      <x:c r="W153" s="161"/>
      <x:c r="X153" s="161"/>
      <x:c r="Y153" s="161"/>
      <x:c r="Z153" s="161"/>
    </x:row>
    <x:row r="154">
      <x:c r="A154" s="161"/>
      <x:c r="B154" s="161"/>
      <x:c r="C154" s="161"/>
      <x:c r="D154" s="161"/>
      <x:c r="E154" s="161"/>
      <x:c r="F154" s="161"/>
      <x:c r="G154" s="161"/>
      <x:c r="H154" s="161"/>
      <x:c r="I154" s="161"/>
      <x:c r="J154" s="161"/>
      <x:c r="K154" s="161"/>
      <x:c r="L154" s="161"/>
      <x:c r="M154" s="161"/>
      <x:c r="N154" s="161"/>
      <x:c r="O154" s="161"/>
      <x:c r="P154" s="161"/>
      <x:c r="Q154" s="161"/>
      <x:c r="R154" s="161"/>
      <x:c r="S154" s="161"/>
      <x:c r="T154" s="161"/>
      <x:c r="U154" s="161"/>
      <x:c r="V154" s="161"/>
      <x:c r="W154" s="161"/>
      <x:c r="X154" s="161"/>
      <x:c r="Y154" s="161"/>
      <x:c r="Z154" s="161"/>
    </x:row>
    <x:row r="155">
      <x:c r="A155" s="161"/>
      <x:c r="B155" s="161"/>
      <x:c r="C155" s="161"/>
      <x:c r="D155" s="161"/>
      <x:c r="E155" s="161"/>
      <x:c r="F155" s="161"/>
      <x:c r="G155" s="161"/>
      <x:c r="H155" s="161"/>
      <x:c r="I155" s="161"/>
      <x:c r="J155" s="161"/>
      <x:c r="K155" s="161"/>
      <x:c r="L155" s="161"/>
      <x:c r="M155" s="161"/>
      <x:c r="N155" s="161"/>
      <x:c r="O155" s="161"/>
      <x:c r="P155" s="161"/>
      <x:c r="Q155" s="161"/>
      <x:c r="R155" s="161"/>
      <x:c r="S155" s="161"/>
      <x:c r="T155" s="161"/>
      <x:c r="U155" s="161"/>
      <x:c r="V155" s="161"/>
      <x:c r="W155" s="161"/>
      <x:c r="X155" s="161"/>
      <x:c r="Y155" s="161"/>
      <x:c r="Z155" s="161"/>
    </x:row>
    <x:row r="156">
      <x:c r="A156" s="161"/>
      <x:c r="B156" s="161"/>
      <x:c r="C156" s="161"/>
      <x:c r="D156" s="161"/>
      <x:c r="E156" s="161"/>
      <x:c r="F156" s="161"/>
      <x:c r="G156" s="161"/>
      <x:c r="H156" s="161"/>
      <x:c r="I156" s="161"/>
      <x:c r="J156" s="161"/>
      <x:c r="K156" s="161"/>
      <x:c r="L156" s="161"/>
      <x:c r="M156" s="161"/>
      <x:c r="N156" s="161"/>
      <x:c r="O156" s="161"/>
      <x:c r="P156" s="161"/>
      <x:c r="Q156" s="161"/>
      <x:c r="R156" s="161"/>
      <x:c r="S156" s="161"/>
      <x:c r="T156" s="161"/>
      <x:c r="U156" s="161"/>
      <x:c r="V156" s="161"/>
      <x:c r="W156" s="161"/>
      <x:c r="X156" s="161"/>
      <x:c r="Y156" s="161"/>
      <x:c r="Z156" s="161"/>
    </x:row>
    <x:row r="157">
      <x:c r="A157" s="161"/>
      <x:c r="B157" s="161"/>
      <x:c r="C157" s="161"/>
      <x:c r="D157" s="161"/>
      <x:c r="E157" s="161"/>
      <x:c r="F157" s="161"/>
      <x:c r="G157" s="161"/>
      <x:c r="H157" s="161"/>
      <x:c r="I157" s="161"/>
      <x:c r="J157" s="161"/>
      <x:c r="K157" s="161"/>
      <x:c r="L157" s="161"/>
      <x:c r="M157" s="161"/>
      <x:c r="N157" s="161"/>
      <x:c r="O157" s="161"/>
      <x:c r="P157" s="161"/>
      <x:c r="Q157" s="161"/>
      <x:c r="R157" s="161"/>
      <x:c r="S157" s="161"/>
      <x:c r="T157" s="161"/>
      <x:c r="U157" s="161"/>
      <x:c r="V157" s="161"/>
      <x:c r="W157" s="161"/>
      <x:c r="X157" s="161"/>
      <x:c r="Y157" s="161"/>
      <x:c r="Z157" s="161"/>
    </x:row>
    <x:row r="158">
      <x:c r="A158" s="161"/>
      <x:c r="B158" s="161"/>
      <x:c r="C158" s="161"/>
      <x:c r="D158" s="161"/>
      <x:c r="E158" s="161"/>
      <x:c r="F158" s="161"/>
      <x:c r="G158" s="161"/>
      <x:c r="H158" s="161"/>
      <x:c r="I158" s="161"/>
      <x:c r="J158" s="161"/>
      <x:c r="K158" s="161"/>
      <x:c r="L158" s="161"/>
      <x:c r="M158" s="161"/>
      <x:c r="N158" s="161"/>
      <x:c r="O158" s="161"/>
      <x:c r="P158" s="161"/>
      <x:c r="Q158" s="161"/>
      <x:c r="R158" s="161"/>
      <x:c r="S158" s="161"/>
      <x:c r="T158" s="161"/>
      <x:c r="U158" s="161"/>
      <x:c r="V158" s="161"/>
      <x:c r="W158" s="161"/>
      <x:c r="X158" s="161"/>
      <x:c r="Y158" s="161"/>
      <x:c r="Z158" s="161"/>
    </x:row>
    <x:row r="159">
      <x:c r="A159" s="161"/>
      <x:c r="B159" s="161"/>
      <x:c r="C159" s="161"/>
      <x:c r="D159" s="161"/>
      <x:c r="E159" s="161"/>
      <x:c r="F159" s="161"/>
      <x:c r="G159" s="161"/>
      <x:c r="H159" s="161"/>
      <x:c r="I159" s="161"/>
      <x:c r="J159" s="161"/>
      <x:c r="K159" s="161"/>
      <x:c r="L159" s="161"/>
      <x:c r="M159" s="161"/>
      <x:c r="N159" s="161"/>
      <x:c r="O159" s="161"/>
      <x:c r="P159" s="161"/>
      <x:c r="Q159" s="161"/>
      <x:c r="R159" s="161"/>
      <x:c r="S159" s="161"/>
      <x:c r="T159" s="161"/>
      <x:c r="U159" s="161"/>
      <x:c r="V159" s="161"/>
      <x:c r="W159" s="161"/>
      <x:c r="X159" s="161"/>
      <x:c r="Y159" s="161"/>
      <x:c r="Z159" s="161"/>
    </x:row>
    <x:row r="160">
      <x:c r="A160" s="161"/>
      <x:c r="B160" s="161"/>
      <x:c r="C160" s="161"/>
      <x:c r="D160" s="161"/>
      <x:c r="E160" s="161"/>
      <x:c r="F160" s="161"/>
      <x:c r="G160" s="161"/>
      <x:c r="H160" s="161"/>
      <x:c r="I160" s="161"/>
      <x:c r="J160" s="161"/>
      <x:c r="K160" s="161"/>
      <x:c r="L160" s="161"/>
      <x:c r="M160" s="161"/>
      <x:c r="N160" s="161"/>
      <x:c r="O160" s="161"/>
      <x:c r="P160" s="161"/>
      <x:c r="Q160" s="161"/>
      <x:c r="R160" s="161"/>
      <x:c r="S160" s="161"/>
      <x:c r="T160" s="161"/>
      <x:c r="U160" s="161"/>
      <x:c r="V160" s="161"/>
      <x:c r="W160" s="161"/>
      <x:c r="X160" s="161"/>
      <x:c r="Y160" s="161"/>
      <x:c r="Z160" s="161"/>
    </x:row>
    <x:row r="161">
      <x:c r="A161" s="161"/>
      <x:c r="B161" s="161"/>
      <x:c r="C161" s="161"/>
      <x:c r="D161" s="161"/>
      <x:c r="E161" s="161"/>
      <x:c r="F161" s="161"/>
      <x:c r="G161" s="161"/>
      <x:c r="H161" s="161"/>
      <x:c r="I161" s="161"/>
      <x:c r="J161" s="161"/>
      <x:c r="K161" s="161"/>
      <x:c r="L161" s="161"/>
      <x:c r="M161" s="161"/>
      <x:c r="N161" s="161"/>
      <x:c r="O161" s="161"/>
      <x:c r="P161" s="161"/>
      <x:c r="Q161" s="161"/>
      <x:c r="R161" s="161"/>
      <x:c r="S161" s="161"/>
      <x:c r="T161" s="161"/>
      <x:c r="U161" s="161"/>
      <x:c r="V161" s="161"/>
      <x:c r="W161" s="161"/>
      <x:c r="X161" s="161"/>
      <x:c r="Y161" s="161"/>
      <x:c r="Z161" s="161"/>
    </x:row>
    <x:row r="162">
      <x:c r="A162" s="161"/>
      <x:c r="B162" s="161"/>
      <x:c r="C162" s="161"/>
      <x:c r="D162" s="161"/>
      <x:c r="E162" s="161"/>
      <x:c r="F162" s="161"/>
      <x:c r="G162" s="161"/>
      <x:c r="H162" s="161"/>
      <x:c r="I162" s="161"/>
      <x:c r="J162" s="161"/>
      <x:c r="K162" s="161"/>
      <x:c r="L162" s="161"/>
      <x:c r="M162" s="161"/>
      <x:c r="N162" s="161"/>
      <x:c r="O162" s="161"/>
      <x:c r="P162" s="161"/>
      <x:c r="Q162" s="161"/>
      <x:c r="R162" s="161"/>
      <x:c r="S162" s="161"/>
      <x:c r="T162" s="161"/>
      <x:c r="U162" s="161"/>
      <x:c r="V162" s="161"/>
      <x:c r="W162" s="161"/>
      <x:c r="X162" s="161"/>
      <x:c r="Y162" s="161"/>
      <x:c r="Z162" s="161"/>
    </x:row>
    <x:row r="163">
      <x:c r="A163" s="161"/>
      <x:c r="B163" s="161"/>
      <x:c r="C163" s="161"/>
      <x:c r="D163" s="161"/>
      <x:c r="E163" s="161"/>
      <x:c r="F163" s="161"/>
      <x:c r="G163" s="161"/>
      <x:c r="H163" s="161"/>
      <x:c r="I163" s="161"/>
      <x:c r="J163" s="161"/>
      <x:c r="K163" s="161"/>
      <x:c r="L163" s="161"/>
      <x:c r="M163" s="161"/>
      <x:c r="N163" s="161"/>
      <x:c r="O163" s="161"/>
      <x:c r="P163" s="161"/>
      <x:c r="Q163" s="161"/>
      <x:c r="R163" s="161"/>
      <x:c r="S163" s="161"/>
      <x:c r="T163" s="161"/>
      <x:c r="U163" s="161"/>
      <x:c r="V163" s="161"/>
      <x:c r="W163" s="161"/>
      <x:c r="X163" s="161"/>
      <x:c r="Y163" s="161"/>
      <x:c r="Z163" s="161"/>
    </x:row>
    <x:row r="164">
      <x:c r="A164" s="161"/>
      <x:c r="B164" s="161"/>
      <x:c r="C164" s="161"/>
      <x:c r="D164" s="161"/>
      <x:c r="E164" s="161"/>
      <x:c r="F164" s="161"/>
      <x:c r="G164" s="161"/>
      <x:c r="H164" s="161"/>
      <x:c r="I164" s="161"/>
      <x:c r="J164" s="161"/>
      <x:c r="K164" s="161"/>
      <x:c r="L164" s="161"/>
      <x:c r="M164" s="161"/>
      <x:c r="N164" s="161"/>
      <x:c r="O164" s="161"/>
      <x:c r="P164" s="161"/>
      <x:c r="Q164" s="161"/>
      <x:c r="R164" s="161"/>
      <x:c r="S164" s="161"/>
      <x:c r="T164" s="161"/>
      <x:c r="U164" s="161"/>
      <x:c r="V164" s="161"/>
      <x:c r="W164" s="161"/>
      <x:c r="X164" s="161"/>
      <x:c r="Y164" s="161"/>
      <x:c r="Z164" s="161"/>
    </x:row>
    <x:row r="165">
      <x:c r="A165" s="161"/>
      <x:c r="B165" s="161"/>
      <x:c r="C165" s="161"/>
      <x:c r="D165" s="161"/>
      <x:c r="E165" s="161"/>
      <x:c r="F165" s="161"/>
      <x:c r="G165" s="161"/>
      <x:c r="H165" s="161"/>
      <x:c r="I165" s="161"/>
      <x:c r="J165" s="161"/>
      <x:c r="K165" s="161"/>
      <x:c r="L165" s="161"/>
      <x:c r="M165" s="161"/>
      <x:c r="N165" s="161"/>
      <x:c r="O165" s="161"/>
      <x:c r="P165" s="161"/>
      <x:c r="Q165" s="161"/>
      <x:c r="R165" s="161"/>
      <x:c r="S165" s="161"/>
      <x:c r="T165" s="161"/>
      <x:c r="U165" s="161"/>
      <x:c r="V165" s="161"/>
      <x:c r="W165" s="161"/>
      <x:c r="X165" s="161"/>
      <x:c r="Y165" s="161"/>
      <x:c r="Z165" s="161"/>
    </x:row>
    <x:row r="166">
      <x:c r="A166" s="161"/>
      <x:c r="B166" s="161"/>
      <x:c r="C166" s="161"/>
      <x:c r="D166" s="161"/>
      <x:c r="E166" s="161"/>
      <x:c r="F166" s="161"/>
      <x:c r="G166" s="161"/>
      <x:c r="H166" s="161"/>
      <x:c r="I166" s="161"/>
      <x:c r="J166" s="161"/>
      <x:c r="K166" s="161"/>
      <x:c r="L166" s="161"/>
      <x:c r="M166" s="161"/>
      <x:c r="N166" s="161"/>
      <x:c r="O166" s="161"/>
      <x:c r="P166" s="161"/>
      <x:c r="Q166" s="161"/>
      <x:c r="R166" s="161"/>
      <x:c r="S166" s="161"/>
      <x:c r="T166" s="161"/>
      <x:c r="U166" s="161"/>
      <x:c r="V166" s="161"/>
      <x:c r="W166" s="161"/>
      <x:c r="X166" s="161"/>
      <x:c r="Y166" s="161"/>
      <x:c r="Z166" s="161"/>
    </x:row>
    <x:row r="167">
      <x:c r="A167" s="161"/>
      <x:c r="B167" s="161"/>
      <x:c r="C167" s="161"/>
      <x:c r="D167" s="161"/>
      <x:c r="E167" s="161"/>
      <x:c r="F167" s="161"/>
      <x:c r="G167" s="161"/>
      <x:c r="H167" s="161"/>
      <x:c r="I167" s="161"/>
      <x:c r="J167" s="161"/>
      <x:c r="K167" s="161"/>
      <x:c r="L167" s="161"/>
      <x:c r="M167" s="161"/>
      <x:c r="N167" s="161"/>
      <x:c r="O167" s="161"/>
      <x:c r="P167" s="161"/>
      <x:c r="Q167" s="161"/>
      <x:c r="R167" s="161"/>
      <x:c r="S167" s="161"/>
      <x:c r="T167" s="161"/>
      <x:c r="U167" s="161"/>
      <x:c r="V167" s="161"/>
      <x:c r="W167" s="161"/>
      <x:c r="X167" s="161"/>
      <x:c r="Y167" s="161"/>
      <x:c r="Z167" s="161"/>
    </x:row>
    <x:row r="168">
      <x:c r="A168" s="161"/>
      <x:c r="B168" s="161"/>
      <x:c r="C168" s="161"/>
      <x:c r="D168" s="161"/>
      <x:c r="E168" s="161"/>
      <x:c r="F168" s="161"/>
      <x:c r="G168" s="161"/>
      <x:c r="H168" s="161"/>
      <x:c r="I168" s="161"/>
      <x:c r="J168" s="161"/>
      <x:c r="K168" s="161"/>
      <x:c r="L168" s="161"/>
      <x:c r="M168" s="161"/>
      <x:c r="N168" s="161"/>
      <x:c r="O168" s="161"/>
      <x:c r="P168" s="161"/>
      <x:c r="Q168" s="161"/>
      <x:c r="R168" s="161"/>
      <x:c r="S168" s="161"/>
      <x:c r="T168" s="161"/>
      <x:c r="U168" s="161"/>
      <x:c r="V168" s="161"/>
      <x:c r="W168" s="161"/>
      <x:c r="X168" s="161"/>
      <x:c r="Y168" s="161"/>
      <x:c r="Z168" s="161"/>
    </x:row>
    <x:row r="169">
      <x:c r="A169" s="161"/>
      <x:c r="B169" s="161"/>
      <x:c r="C169" s="161"/>
      <x:c r="D169" s="161"/>
      <x:c r="E169" s="161"/>
      <x:c r="F169" s="161"/>
      <x:c r="G169" s="161"/>
      <x:c r="H169" s="161"/>
      <x:c r="I169" s="161"/>
      <x:c r="J169" s="161"/>
      <x:c r="K169" s="161"/>
      <x:c r="L169" s="161"/>
      <x:c r="M169" s="161"/>
      <x:c r="N169" s="161"/>
      <x:c r="O169" s="161"/>
      <x:c r="P169" s="161"/>
      <x:c r="Q169" s="161"/>
      <x:c r="R169" s="161"/>
      <x:c r="S169" s="161"/>
      <x:c r="T169" s="161"/>
      <x:c r="U169" s="161"/>
      <x:c r="V169" s="161"/>
      <x:c r="W169" s="161"/>
      <x:c r="X169" s="161"/>
      <x:c r="Y169" s="161"/>
      <x:c r="Z169" s="161"/>
    </x:row>
    <x:row r="170">
      <x:c r="A170" s="161"/>
      <x:c r="B170" s="161"/>
      <x:c r="C170" s="161"/>
      <x:c r="D170" s="161"/>
      <x:c r="E170" s="161"/>
      <x:c r="F170" s="161"/>
      <x:c r="G170" s="161"/>
      <x:c r="H170" s="161"/>
      <x:c r="I170" s="161"/>
      <x:c r="J170" s="161"/>
      <x:c r="K170" s="161"/>
      <x:c r="L170" s="161"/>
      <x:c r="M170" s="161"/>
      <x:c r="N170" s="161"/>
      <x:c r="O170" s="161"/>
      <x:c r="P170" s="161"/>
      <x:c r="Q170" s="161"/>
      <x:c r="R170" s="161"/>
      <x:c r="S170" s="161"/>
      <x:c r="T170" s="161"/>
      <x:c r="U170" s="161"/>
      <x:c r="V170" s="161"/>
      <x:c r="W170" s="161"/>
      <x:c r="X170" s="161"/>
      <x:c r="Y170" s="161"/>
      <x:c r="Z170" s="161"/>
    </x:row>
    <x:row r="171">
      <x:c r="A171" s="161"/>
      <x:c r="B171" s="161"/>
      <x:c r="C171" s="161"/>
      <x:c r="D171" s="161"/>
      <x:c r="E171" s="161"/>
      <x:c r="F171" s="161"/>
      <x:c r="G171" s="161"/>
      <x:c r="H171" s="161"/>
      <x:c r="I171" s="161"/>
      <x:c r="J171" s="161"/>
      <x:c r="K171" s="161"/>
      <x:c r="L171" s="161"/>
      <x:c r="M171" s="161"/>
      <x:c r="N171" s="161"/>
      <x:c r="O171" s="161"/>
      <x:c r="P171" s="161"/>
      <x:c r="Q171" s="161"/>
      <x:c r="R171" s="161"/>
      <x:c r="S171" s="161"/>
      <x:c r="T171" s="161"/>
      <x:c r="U171" s="161"/>
      <x:c r="V171" s="161"/>
      <x:c r="W171" s="161"/>
      <x:c r="X171" s="161"/>
      <x:c r="Y171" s="161"/>
      <x:c r="Z171" s="161"/>
    </x:row>
    <x:row r="172">
      <x:c r="A172" s="161"/>
      <x:c r="B172" s="161"/>
      <x:c r="C172" s="161"/>
      <x:c r="D172" s="161"/>
      <x:c r="E172" s="161"/>
      <x:c r="F172" s="161"/>
      <x:c r="G172" s="161"/>
      <x:c r="H172" s="161"/>
      <x:c r="I172" s="161"/>
      <x:c r="J172" s="161"/>
      <x:c r="K172" s="161"/>
      <x:c r="L172" s="161"/>
      <x:c r="M172" s="161"/>
      <x:c r="N172" s="161"/>
      <x:c r="O172" s="161"/>
      <x:c r="P172" s="161"/>
      <x:c r="Q172" s="161"/>
      <x:c r="R172" s="161"/>
      <x:c r="S172" s="161"/>
      <x:c r="T172" s="161"/>
      <x:c r="U172" s="161"/>
      <x:c r="V172" s="161"/>
      <x:c r="W172" s="161"/>
      <x:c r="X172" s="161"/>
      <x:c r="Y172" s="161"/>
      <x:c r="Z172" s="161"/>
    </x:row>
    <x:row r="173">
      <x:c r="A173" s="161"/>
      <x:c r="B173" s="161"/>
      <x:c r="C173" s="161"/>
      <x:c r="D173" s="161"/>
      <x:c r="E173" s="161"/>
      <x:c r="F173" s="161"/>
      <x:c r="G173" s="161"/>
      <x:c r="H173" s="161"/>
      <x:c r="I173" s="161"/>
      <x:c r="J173" s="161"/>
      <x:c r="K173" s="161"/>
      <x:c r="L173" s="161"/>
      <x:c r="M173" s="161"/>
      <x:c r="N173" s="161"/>
      <x:c r="O173" s="161"/>
      <x:c r="P173" s="161"/>
      <x:c r="Q173" s="161"/>
      <x:c r="R173" s="161"/>
      <x:c r="S173" s="161"/>
      <x:c r="T173" s="161"/>
      <x:c r="U173" s="161"/>
      <x:c r="V173" s="161"/>
      <x:c r="W173" s="161"/>
      <x:c r="X173" s="161"/>
      <x:c r="Y173" s="161"/>
      <x:c r="Z173" s="161"/>
    </x:row>
    <x:row r="174">
      <x:c r="A174" s="161"/>
      <x:c r="B174" s="161"/>
      <x:c r="C174" s="161"/>
      <x:c r="D174" s="161"/>
      <x:c r="E174" s="161"/>
      <x:c r="F174" s="161"/>
      <x:c r="G174" s="161"/>
      <x:c r="H174" s="161"/>
      <x:c r="I174" s="161"/>
      <x:c r="J174" s="161"/>
      <x:c r="K174" s="161"/>
      <x:c r="L174" s="161"/>
      <x:c r="M174" s="161"/>
      <x:c r="N174" s="161"/>
      <x:c r="O174" s="161"/>
      <x:c r="P174" s="161"/>
      <x:c r="Q174" s="161"/>
      <x:c r="R174" s="161"/>
      <x:c r="S174" s="161"/>
      <x:c r="T174" s="161"/>
      <x:c r="U174" s="161"/>
      <x:c r="V174" s="161"/>
      <x:c r="W174" s="161"/>
      <x:c r="X174" s="161"/>
      <x:c r="Y174" s="161"/>
      <x:c r="Z174" s="161"/>
    </x:row>
    <x:row r="175">
      <x:c r="A175" s="161"/>
      <x:c r="B175" s="161"/>
      <x:c r="C175" s="161"/>
      <x:c r="D175" s="161"/>
      <x:c r="E175" s="161"/>
      <x:c r="F175" s="161"/>
      <x:c r="G175" s="161"/>
      <x:c r="H175" s="161"/>
      <x:c r="I175" s="161"/>
      <x:c r="J175" s="161"/>
      <x:c r="K175" s="161"/>
      <x:c r="L175" s="161"/>
      <x:c r="M175" s="161"/>
      <x:c r="N175" s="161"/>
      <x:c r="O175" s="161"/>
      <x:c r="P175" s="161"/>
      <x:c r="Q175" s="161"/>
      <x:c r="R175" s="161"/>
      <x:c r="S175" s="161"/>
      <x:c r="T175" s="161"/>
      <x:c r="U175" s="161"/>
      <x:c r="V175" s="161"/>
      <x:c r="W175" s="161"/>
      <x:c r="X175" s="161"/>
      <x:c r="Y175" s="161"/>
      <x:c r="Z175" s="161"/>
    </x:row>
    <x:row r="176">
      <x:c r="A176" s="161"/>
      <x:c r="B176" s="161"/>
      <x:c r="C176" s="161"/>
      <x:c r="D176" s="161"/>
      <x:c r="E176" s="161"/>
      <x:c r="F176" s="161"/>
      <x:c r="G176" s="161"/>
      <x:c r="H176" s="161"/>
      <x:c r="I176" s="161"/>
      <x:c r="J176" s="161"/>
      <x:c r="K176" s="161"/>
      <x:c r="L176" s="161"/>
      <x:c r="M176" s="161"/>
      <x:c r="N176" s="161"/>
      <x:c r="O176" s="161"/>
      <x:c r="P176" s="161"/>
      <x:c r="Q176" s="161"/>
      <x:c r="R176" s="161"/>
      <x:c r="S176" s="161"/>
      <x:c r="T176" s="161"/>
      <x:c r="U176" s="161"/>
      <x:c r="V176" s="161"/>
      <x:c r="W176" s="161"/>
      <x:c r="X176" s="161"/>
      <x:c r="Y176" s="161"/>
      <x:c r="Z176" s="161"/>
    </x:row>
    <x:row r="177">
      <x:c r="A177" s="161"/>
      <x:c r="B177" s="161"/>
      <x:c r="C177" s="161"/>
      <x:c r="D177" s="161"/>
      <x:c r="E177" s="161"/>
      <x:c r="F177" s="161"/>
      <x:c r="G177" s="161"/>
      <x:c r="H177" s="161"/>
      <x:c r="I177" s="161"/>
      <x:c r="J177" s="161"/>
      <x:c r="K177" s="161"/>
      <x:c r="L177" s="161"/>
      <x:c r="M177" s="161"/>
      <x:c r="N177" s="161"/>
      <x:c r="O177" s="161"/>
      <x:c r="P177" s="161"/>
      <x:c r="Q177" s="161"/>
      <x:c r="R177" s="161"/>
      <x:c r="S177" s="161"/>
      <x:c r="T177" s="161"/>
      <x:c r="U177" s="161"/>
      <x:c r="V177" s="161"/>
      <x:c r="W177" s="161"/>
      <x:c r="X177" s="161"/>
      <x:c r="Y177" s="161"/>
      <x:c r="Z177" s="161"/>
    </x:row>
    <x:row r="178">
      <x:c r="A178" s="161"/>
      <x:c r="B178" s="161"/>
      <x:c r="C178" s="161"/>
      <x:c r="D178" s="161"/>
      <x:c r="E178" s="161"/>
      <x:c r="F178" s="161"/>
      <x:c r="G178" s="161"/>
      <x:c r="H178" s="161"/>
      <x:c r="I178" s="161"/>
      <x:c r="J178" s="161"/>
      <x:c r="K178" s="161"/>
      <x:c r="L178" s="161"/>
      <x:c r="M178" s="161"/>
      <x:c r="N178" s="161"/>
      <x:c r="O178" s="161"/>
      <x:c r="P178" s="161"/>
      <x:c r="Q178" s="161"/>
      <x:c r="R178" s="161"/>
      <x:c r="S178" s="161"/>
      <x:c r="T178" s="161"/>
      <x:c r="U178" s="161"/>
      <x:c r="V178" s="161"/>
      <x:c r="W178" s="161"/>
      <x:c r="X178" s="161"/>
      <x:c r="Y178" s="161"/>
      <x:c r="Z178" s="161"/>
    </x:row>
    <x:row r="179">
      <x:c r="A179" s="161"/>
      <x:c r="B179" s="161"/>
      <x:c r="C179" s="161"/>
      <x:c r="D179" s="161"/>
      <x:c r="E179" s="161"/>
      <x:c r="F179" s="161"/>
      <x:c r="G179" s="161"/>
      <x:c r="H179" s="161"/>
      <x:c r="I179" s="161"/>
      <x:c r="J179" s="161"/>
      <x:c r="K179" s="161"/>
      <x:c r="L179" s="161"/>
      <x:c r="M179" s="161"/>
      <x:c r="N179" s="161"/>
      <x:c r="O179" s="161"/>
      <x:c r="P179" s="161"/>
      <x:c r="Q179" s="161"/>
      <x:c r="R179" s="161"/>
      <x:c r="S179" s="161"/>
      <x:c r="T179" s="161"/>
      <x:c r="U179" s="161"/>
      <x:c r="V179" s="161"/>
      <x:c r="W179" s="161"/>
      <x:c r="X179" s="161"/>
      <x:c r="Y179" s="161"/>
      <x:c r="Z179" s="161"/>
    </x:row>
    <x:row r="180">
      <x:c r="A180" s="161"/>
      <x:c r="B180" s="161"/>
      <x:c r="C180" s="161"/>
      <x:c r="D180" s="161"/>
      <x:c r="E180" s="161"/>
      <x:c r="F180" s="161"/>
      <x:c r="G180" s="161"/>
      <x:c r="H180" s="161"/>
      <x:c r="I180" s="161"/>
      <x:c r="J180" s="161"/>
      <x:c r="K180" s="161"/>
      <x:c r="L180" s="161"/>
      <x:c r="M180" s="161"/>
      <x:c r="N180" s="161"/>
      <x:c r="O180" s="161"/>
      <x:c r="P180" s="161"/>
      <x:c r="Q180" s="161"/>
      <x:c r="R180" s="161"/>
      <x:c r="S180" s="161"/>
      <x:c r="T180" s="161"/>
      <x:c r="U180" s="161"/>
      <x:c r="V180" s="161"/>
      <x:c r="W180" s="161"/>
      <x:c r="X180" s="161"/>
      <x:c r="Y180" s="161"/>
      <x:c r="Z180" s="161"/>
    </x:row>
    <x:row r="181">
      <x:c r="A181" s="161"/>
      <x:c r="B181" s="161"/>
      <x:c r="C181" s="161"/>
      <x:c r="D181" s="161"/>
      <x:c r="E181" s="161"/>
      <x:c r="F181" s="161"/>
      <x:c r="G181" s="161"/>
      <x:c r="H181" s="161"/>
      <x:c r="I181" s="161"/>
      <x:c r="J181" s="161"/>
      <x:c r="K181" s="161"/>
      <x:c r="L181" s="161"/>
      <x:c r="M181" s="161"/>
      <x:c r="N181" s="161"/>
      <x:c r="O181" s="161"/>
      <x:c r="P181" s="161"/>
      <x:c r="Q181" s="161"/>
      <x:c r="R181" s="161"/>
      <x:c r="S181" s="161"/>
      <x:c r="T181" s="161"/>
      <x:c r="U181" s="161"/>
      <x:c r="V181" s="161"/>
      <x:c r="W181" s="161"/>
      <x:c r="X181" s="161"/>
      <x:c r="Y181" s="161"/>
      <x:c r="Z181" s="161"/>
    </x:row>
    <x:row r="182">
      <x:c r="A182" s="161"/>
      <x:c r="B182" s="161"/>
      <x:c r="C182" s="161"/>
      <x:c r="D182" s="161"/>
      <x:c r="E182" s="161"/>
      <x:c r="F182" s="161"/>
      <x:c r="G182" s="161"/>
      <x:c r="H182" s="161"/>
      <x:c r="I182" s="161"/>
      <x:c r="J182" s="161"/>
      <x:c r="K182" s="161"/>
      <x:c r="L182" s="161"/>
      <x:c r="M182" s="161"/>
      <x:c r="N182" s="161"/>
      <x:c r="O182" s="161"/>
      <x:c r="P182" s="161"/>
      <x:c r="Q182" s="161"/>
      <x:c r="R182" s="161"/>
      <x:c r="S182" s="161"/>
      <x:c r="T182" s="161"/>
      <x:c r="U182" s="161"/>
      <x:c r="V182" s="161"/>
      <x:c r="W182" s="161"/>
      <x:c r="X182" s="161"/>
      <x:c r="Y182" s="161"/>
      <x:c r="Z182" s="161"/>
    </x:row>
    <x:row r="183">
      <x:c r="A183" s="161"/>
      <x:c r="B183" s="161"/>
      <x:c r="C183" s="161"/>
      <x:c r="D183" s="161"/>
      <x:c r="E183" s="161"/>
      <x:c r="F183" s="161"/>
      <x:c r="G183" s="161"/>
      <x:c r="H183" s="161"/>
      <x:c r="I183" s="161"/>
      <x:c r="J183" s="161"/>
      <x:c r="K183" s="161"/>
      <x:c r="L183" s="161"/>
      <x:c r="M183" s="161"/>
      <x:c r="N183" s="161"/>
      <x:c r="O183" s="161"/>
      <x:c r="P183" s="161"/>
      <x:c r="Q183" s="161"/>
      <x:c r="R183" s="161"/>
      <x:c r="S183" s="161"/>
      <x:c r="T183" s="161"/>
      <x:c r="U183" s="161"/>
      <x:c r="V183" s="161"/>
      <x:c r="W183" s="161"/>
      <x:c r="X183" s="161"/>
      <x:c r="Y183" s="161"/>
      <x:c r="Z183" s="161"/>
    </x:row>
    <x:row r="184">
      <x:c r="A184" s="161"/>
      <x:c r="B184" s="161"/>
      <x:c r="C184" s="161"/>
      <x:c r="D184" s="161"/>
      <x:c r="E184" s="161"/>
      <x:c r="F184" s="161"/>
      <x:c r="G184" s="161"/>
      <x:c r="H184" s="161"/>
      <x:c r="I184" s="161"/>
      <x:c r="J184" s="161"/>
      <x:c r="K184" s="161"/>
      <x:c r="L184" s="161"/>
      <x:c r="M184" s="161"/>
      <x:c r="N184" s="161"/>
      <x:c r="O184" s="161"/>
      <x:c r="P184" s="161"/>
      <x:c r="Q184" s="161"/>
      <x:c r="R184" s="161"/>
      <x:c r="S184" s="161"/>
      <x:c r="T184" s="161"/>
      <x:c r="U184" s="161"/>
      <x:c r="V184" s="161"/>
      <x:c r="W184" s="161"/>
      <x:c r="X184" s="161"/>
      <x:c r="Y184" s="161"/>
      <x:c r="Z184" s="161"/>
    </x:row>
    <x:row r="185">
      <x:c r="A185" s="161"/>
      <x:c r="B185" s="161"/>
      <x:c r="C185" s="161"/>
      <x:c r="D185" s="161"/>
      <x:c r="E185" s="161"/>
      <x:c r="F185" s="161"/>
      <x:c r="G185" s="161"/>
      <x:c r="H185" s="161"/>
      <x:c r="I185" s="161"/>
      <x:c r="J185" s="161"/>
      <x:c r="K185" s="161"/>
      <x:c r="L185" s="161"/>
      <x:c r="M185" s="161"/>
      <x:c r="N185" s="161"/>
      <x:c r="O185" s="161"/>
      <x:c r="P185" s="161"/>
      <x:c r="Q185" s="161"/>
      <x:c r="R185" s="161"/>
      <x:c r="S185" s="161"/>
      <x:c r="T185" s="161"/>
      <x:c r="U185" s="161"/>
      <x:c r="V185" s="161"/>
      <x:c r="W185" s="161"/>
      <x:c r="X185" s="161"/>
      <x:c r="Y185" s="161"/>
      <x:c r="Z185" s="161"/>
    </x:row>
    <x:row r="186">
      <x:c r="A186" s="161"/>
      <x:c r="B186" s="161"/>
      <x:c r="C186" s="161"/>
      <x:c r="D186" s="161"/>
      <x:c r="E186" s="161"/>
      <x:c r="F186" s="161"/>
      <x:c r="G186" s="161"/>
      <x:c r="H186" s="161"/>
      <x:c r="I186" s="161"/>
      <x:c r="J186" s="161"/>
      <x:c r="K186" s="161"/>
      <x:c r="L186" s="161"/>
      <x:c r="M186" s="161"/>
      <x:c r="N186" s="161"/>
      <x:c r="O186" s="161"/>
      <x:c r="P186" s="161"/>
      <x:c r="Q186" s="161"/>
      <x:c r="R186" s="161"/>
      <x:c r="S186" s="161"/>
      <x:c r="T186" s="161"/>
      <x:c r="U186" s="161"/>
      <x:c r="V186" s="161"/>
      <x:c r="W186" s="161"/>
      <x:c r="X186" s="161"/>
      <x:c r="Y186" s="161"/>
      <x:c r="Z186" s="161"/>
    </x:row>
    <x:row r="187">
      <x:c r="A187" s="161"/>
      <x:c r="B187" s="161"/>
      <x:c r="C187" s="161"/>
      <x:c r="D187" s="161"/>
      <x:c r="E187" s="161"/>
      <x:c r="F187" s="161"/>
      <x:c r="G187" s="161"/>
      <x:c r="H187" s="161"/>
      <x:c r="I187" s="161"/>
      <x:c r="J187" s="161"/>
      <x:c r="K187" s="161"/>
      <x:c r="L187" s="161"/>
      <x:c r="M187" s="161"/>
      <x:c r="N187" s="161"/>
      <x:c r="O187" s="161"/>
      <x:c r="P187" s="161"/>
      <x:c r="Q187" s="161"/>
      <x:c r="R187" s="161"/>
      <x:c r="S187" s="161"/>
      <x:c r="T187" s="161"/>
      <x:c r="U187" s="161"/>
      <x:c r="V187" s="161"/>
      <x:c r="W187" s="161"/>
      <x:c r="X187" s="161"/>
      <x:c r="Y187" s="161"/>
      <x:c r="Z187" s="161"/>
    </x:row>
    <x:row r="188">
      <x:c r="A188" s="161"/>
      <x:c r="B188" s="161"/>
      <x:c r="C188" s="161"/>
      <x:c r="D188" s="161"/>
      <x:c r="E188" s="161"/>
      <x:c r="F188" s="161"/>
      <x:c r="G188" s="161"/>
      <x:c r="H188" s="161"/>
      <x:c r="I188" s="161"/>
      <x:c r="J188" s="161"/>
      <x:c r="K188" s="161"/>
      <x:c r="L188" s="161"/>
      <x:c r="M188" s="161"/>
      <x:c r="N188" s="161"/>
      <x:c r="O188" s="161"/>
      <x:c r="P188" s="161"/>
      <x:c r="Q188" s="161"/>
      <x:c r="R188" s="161"/>
      <x:c r="S188" s="161"/>
      <x:c r="T188" s="161"/>
      <x:c r="U188" s="161"/>
      <x:c r="V188" s="161"/>
      <x:c r="W188" s="161"/>
      <x:c r="X188" s="161"/>
      <x:c r="Y188" s="161"/>
      <x:c r="Z188" s="161"/>
    </x:row>
    <x:row r="189">
      <x:c r="A189" s="161"/>
      <x:c r="B189" s="161"/>
      <x:c r="C189" s="161"/>
      <x:c r="D189" s="161"/>
      <x:c r="E189" s="161"/>
      <x:c r="F189" s="161"/>
      <x:c r="G189" s="161"/>
      <x:c r="H189" s="161"/>
      <x:c r="I189" s="161"/>
      <x:c r="J189" s="161"/>
      <x:c r="K189" s="161"/>
      <x:c r="L189" s="161"/>
      <x:c r="M189" s="161"/>
      <x:c r="N189" s="161"/>
      <x:c r="O189" s="161"/>
      <x:c r="P189" s="161"/>
      <x:c r="Q189" s="161"/>
      <x:c r="R189" s="161"/>
      <x:c r="S189" s="161"/>
      <x:c r="T189" s="161"/>
      <x:c r="U189" s="161"/>
      <x:c r="V189" s="161"/>
      <x:c r="W189" s="161"/>
      <x:c r="X189" s="161"/>
      <x:c r="Y189" s="161"/>
      <x:c r="Z189" s="161"/>
    </x:row>
    <x:row r="190">
      <x:c r="A190" s="161"/>
      <x:c r="B190" s="161"/>
      <x:c r="C190" s="161"/>
      <x:c r="D190" s="161"/>
      <x:c r="E190" s="161"/>
      <x:c r="F190" s="161"/>
      <x:c r="G190" s="161"/>
      <x:c r="H190" s="161"/>
      <x:c r="I190" s="161"/>
      <x:c r="J190" s="161"/>
      <x:c r="K190" s="161"/>
      <x:c r="L190" s="161"/>
      <x:c r="M190" s="161"/>
      <x:c r="N190" s="161"/>
      <x:c r="O190" s="161"/>
      <x:c r="P190" s="161"/>
      <x:c r="Q190" s="161"/>
      <x:c r="R190" s="161"/>
      <x:c r="S190" s="161"/>
      <x:c r="T190" s="161"/>
      <x:c r="U190" s="161"/>
      <x:c r="V190" s="161"/>
      <x:c r="W190" s="161"/>
      <x:c r="X190" s="161"/>
      <x:c r="Y190" s="161"/>
      <x:c r="Z190" s="161"/>
    </x:row>
    <x:row r="191">
      <x:c r="A191" s="161"/>
      <x:c r="B191" s="161"/>
      <x:c r="C191" s="161"/>
      <x:c r="D191" s="161"/>
      <x:c r="E191" s="161"/>
      <x:c r="F191" s="161"/>
      <x:c r="G191" s="161"/>
      <x:c r="H191" s="161"/>
      <x:c r="I191" s="161"/>
      <x:c r="J191" s="161"/>
      <x:c r="K191" s="161"/>
      <x:c r="L191" s="161"/>
      <x:c r="M191" s="161"/>
      <x:c r="N191" s="161"/>
      <x:c r="O191" s="161"/>
      <x:c r="P191" s="161"/>
      <x:c r="Q191" s="161"/>
      <x:c r="R191" s="161"/>
      <x:c r="S191" s="161"/>
      <x:c r="T191" s="161"/>
      <x:c r="U191" s="161"/>
      <x:c r="V191" s="161"/>
      <x:c r="W191" s="161"/>
      <x:c r="X191" s="161"/>
      <x:c r="Y191" s="161"/>
      <x:c r="Z191" s="161"/>
    </x:row>
    <x:row r="192">
      <x:c r="A192" s="161"/>
      <x:c r="B192" s="161"/>
      <x:c r="C192" s="161"/>
      <x:c r="D192" s="161"/>
      <x:c r="E192" s="161"/>
      <x:c r="F192" s="161"/>
      <x:c r="G192" s="161"/>
      <x:c r="H192" s="161"/>
      <x:c r="I192" s="161"/>
      <x:c r="J192" s="161"/>
      <x:c r="K192" s="161"/>
      <x:c r="L192" s="161"/>
      <x:c r="M192" s="161"/>
      <x:c r="N192" s="161"/>
      <x:c r="O192" s="161"/>
      <x:c r="P192" s="161"/>
      <x:c r="Q192" s="161"/>
      <x:c r="R192" s="161"/>
      <x:c r="S192" s="161"/>
      <x:c r="T192" s="161"/>
      <x:c r="U192" s="161"/>
      <x:c r="V192" s="161"/>
      <x:c r="W192" s="161"/>
      <x:c r="X192" s="161"/>
      <x:c r="Y192" s="161"/>
      <x:c r="Z192" s="161"/>
    </x:row>
    <x:row r="193">
      <x:c r="A193" s="161"/>
      <x:c r="B193" s="161"/>
      <x:c r="C193" s="161"/>
      <x:c r="D193" s="161"/>
      <x:c r="E193" s="161"/>
      <x:c r="F193" s="161"/>
      <x:c r="G193" s="161"/>
      <x:c r="H193" s="161"/>
      <x:c r="I193" s="161"/>
      <x:c r="J193" s="161"/>
      <x:c r="K193" s="161"/>
      <x:c r="L193" s="161"/>
      <x:c r="M193" s="161"/>
      <x:c r="N193" s="161"/>
      <x:c r="O193" s="161"/>
      <x:c r="P193" s="161"/>
      <x:c r="Q193" s="161"/>
      <x:c r="R193" s="161"/>
      <x:c r="S193" s="161"/>
      <x:c r="T193" s="161"/>
      <x:c r="U193" s="161"/>
      <x:c r="V193" s="161"/>
      <x:c r="W193" s="161"/>
      <x:c r="X193" s="161"/>
      <x:c r="Y193" s="161"/>
      <x:c r="Z193" s="161"/>
    </x:row>
    <x:row r="194">
      <x:c r="A194" s="161"/>
      <x:c r="B194" s="161"/>
      <x:c r="C194" s="161"/>
      <x:c r="D194" s="161"/>
      <x:c r="E194" s="161"/>
      <x:c r="F194" s="161"/>
      <x:c r="G194" s="161"/>
      <x:c r="H194" s="161"/>
      <x:c r="I194" s="161"/>
      <x:c r="J194" s="161"/>
      <x:c r="K194" s="161"/>
      <x:c r="L194" s="161"/>
      <x:c r="M194" s="161"/>
      <x:c r="N194" s="161"/>
      <x:c r="O194" s="161"/>
      <x:c r="P194" s="161"/>
      <x:c r="Q194" s="161"/>
      <x:c r="R194" s="161"/>
      <x:c r="S194" s="161"/>
      <x:c r="T194" s="161"/>
      <x:c r="U194" s="161"/>
      <x:c r="V194" s="161"/>
      <x:c r="W194" s="161"/>
      <x:c r="X194" s="161"/>
      <x:c r="Y194" s="161"/>
      <x:c r="Z194" s="161"/>
    </x:row>
    <x:row r="195">
      <x:c r="A195" s="161"/>
      <x:c r="B195" s="161"/>
      <x:c r="C195" s="161"/>
      <x:c r="D195" s="161"/>
      <x:c r="E195" s="161"/>
      <x:c r="F195" s="161"/>
      <x:c r="G195" s="161"/>
      <x:c r="H195" s="161"/>
      <x:c r="I195" s="161"/>
      <x:c r="J195" s="161"/>
      <x:c r="K195" s="161"/>
      <x:c r="L195" s="161"/>
      <x:c r="M195" s="161"/>
      <x:c r="N195" s="161"/>
      <x:c r="O195" s="161"/>
      <x:c r="P195" s="161"/>
      <x:c r="Q195" s="161"/>
      <x:c r="R195" s="161"/>
      <x:c r="S195" s="161"/>
      <x:c r="T195" s="161"/>
      <x:c r="U195" s="161"/>
      <x:c r="V195" s="161"/>
      <x:c r="W195" s="161"/>
      <x:c r="X195" s="161"/>
      <x:c r="Y195" s="161"/>
      <x:c r="Z195" s="161"/>
    </x:row>
    <x:row r="196">
      <x:c r="A196" s="161"/>
      <x:c r="B196" s="161"/>
      <x:c r="C196" s="161"/>
      <x:c r="D196" s="161"/>
      <x:c r="E196" s="161"/>
      <x:c r="F196" s="161"/>
      <x:c r="G196" s="161"/>
      <x:c r="H196" s="161"/>
      <x:c r="I196" s="161"/>
      <x:c r="J196" s="161"/>
      <x:c r="K196" s="161"/>
      <x:c r="L196" s="161"/>
      <x:c r="M196" s="161"/>
      <x:c r="N196" s="161"/>
      <x:c r="O196" s="161"/>
      <x:c r="P196" s="161"/>
      <x:c r="Q196" s="161"/>
      <x:c r="R196" s="161"/>
      <x:c r="S196" s="161"/>
      <x:c r="T196" s="161"/>
      <x:c r="U196" s="161"/>
      <x:c r="V196" s="161"/>
      <x:c r="W196" s="161"/>
      <x:c r="X196" s="161"/>
      <x:c r="Y196" s="161"/>
      <x:c r="Z196" s="161"/>
    </x:row>
    <x:row r="197">
      <x:c r="A197" s="161"/>
      <x:c r="B197" s="161"/>
      <x:c r="C197" s="161"/>
      <x:c r="D197" s="161"/>
      <x:c r="E197" s="161"/>
      <x:c r="F197" s="161"/>
      <x:c r="G197" s="161"/>
      <x:c r="H197" s="161"/>
      <x:c r="I197" s="161"/>
      <x:c r="J197" s="161"/>
      <x:c r="K197" s="161"/>
      <x:c r="L197" s="161"/>
      <x:c r="M197" s="161"/>
      <x:c r="N197" s="161"/>
      <x:c r="O197" s="161"/>
      <x:c r="P197" s="161"/>
      <x:c r="Q197" s="161"/>
      <x:c r="R197" s="161"/>
      <x:c r="S197" s="161"/>
      <x:c r="T197" s="161"/>
      <x:c r="U197" s="161"/>
      <x:c r="V197" s="161"/>
      <x:c r="W197" s="161"/>
      <x:c r="X197" s="161"/>
      <x:c r="Y197" s="161"/>
      <x:c r="Z197" s="161"/>
    </x:row>
    <x:row r="198">
      <x:c r="A198" s="161"/>
      <x:c r="B198" s="161"/>
      <x:c r="C198" s="161"/>
      <x:c r="D198" s="161"/>
      <x:c r="E198" s="161"/>
      <x:c r="F198" s="161"/>
      <x:c r="G198" s="161"/>
      <x:c r="H198" s="161"/>
      <x:c r="I198" s="161"/>
      <x:c r="J198" s="161"/>
      <x:c r="K198" s="161"/>
      <x:c r="L198" s="161"/>
      <x:c r="M198" s="161"/>
      <x:c r="N198" s="161"/>
      <x:c r="O198" s="161"/>
      <x:c r="P198" s="161"/>
      <x:c r="Q198" s="161"/>
      <x:c r="R198" s="161"/>
      <x:c r="S198" s="161"/>
      <x:c r="T198" s="161"/>
      <x:c r="U198" s="161"/>
      <x:c r="V198" s="161"/>
      <x:c r="W198" s="161"/>
      <x:c r="X198" s="161"/>
      <x:c r="Y198" s="161"/>
      <x:c r="Z198" s="161"/>
    </x:row>
    <x:row r="199">
      <x:c r="A199" s="161"/>
      <x:c r="B199" s="161"/>
      <x:c r="C199" s="161"/>
      <x:c r="D199" s="161"/>
      <x:c r="E199" s="161"/>
      <x:c r="F199" s="161"/>
      <x:c r="G199" s="161"/>
      <x:c r="H199" s="161"/>
      <x:c r="I199" s="161"/>
      <x:c r="J199" s="161"/>
      <x:c r="K199" s="161"/>
      <x:c r="L199" s="161"/>
      <x:c r="M199" s="161"/>
      <x:c r="N199" s="161"/>
      <x:c r="O199" s="161"/>
      <x:c r="P199" s="161"/>
      <x:c r="Q199" s="161"/>
      <x:c r="R199" s="161"/>
      <x:c r="S199" s="161"/>
      <x:c r="T199" s="161"/>
      <x:c r="U199" s="161"/>
      <x:c r="V199" s="161"/>
      <x:c r="W199" s="161"/>
      <x:c r="X199" s="161"/>
      <x:c r="Y199" s="161"/>
      <x:c r="Z199" s="161"/>
    </x:row>
    <x:row r="200">
      <x:c r="A200" s="161"/>
      <x:c r="B200" s="161"/>
      <x:c r="C200" s="161"/>
      <x:c r="D200" s="161"/>
      <x:c r="E200" s="161"/>
      <x:c r="F200" s="161"/>
      <x:c r="G200" s="161"/>
      <x:c r="H200" s="161"/>
      <x:c r="I200" s="161"/>
      <x:c r="J200" s="161"/>
      <x:c r="K200" s="161"/>
      <x:c r="L200" s="161"/>
      <x:c r="M200" s="161"/>
      <x:c r="N200" s="161"/>
      <x:c r="O200" s="161"/>
      <x:c r="P200" s="161"/>
      <x:c r="Q200" s="161"/>
      <x:c r="R200" s="161"/>
      <x:c r="S200" s="161"/>
      <x:c r="T200" s="161"/>
      <x:c r="U200" s="161"/>
      <x:c r="V200" s="161"/>
      <x:c r="W200" s="161"/>
      <x:c r="X200" s="161"/>
      <x:c r="Y200" s="161"/>
      <x:c r="Z200" s="161"/>
    </x:row>
    <x:row r="201">
      <x:c r="A201" s="161"/>
      <x:c r="B201" s="161"/>
      <x:c r="C201" s="161"/>
      <x:c r="D201" s="161"/>
      <x:c r="E201" s="161"/>
      <x:c r="F201" s="161"/>
      <x:c r="G201" s="161"/>
      <x:c r="H201" s="161"/>
      <x:c r="I201" s="161"/>
      <x:c r="J201" s="161"/>
      <x:c r="K201" s="161"/>
      <x:c r="L201" s="161"/>
      <x:c r="M201" s="161"/>
      <x:c r="N201" s="161"/>
      <x:c r="O201" s="161"/>
      <x:c r="P201" s="161"/>
      <x:c r="Q201" s="161"/>
      <x:c r="R201" s="161"/>
      <x:c r="S201" s="161"/>
      <x:c r="T201" s="161"/>
      <x:c r="U201" s="161"/>
      <x:c r="V201" s="161"/>
      <x:c r="W201" s="161"/>
      <x:c r="X201" s="161"/>
      <x:c r="Y201" s="161"/>
      <x:c r="Z201" s="161"/>
    </x:row>
    <x:row r="202">
      <x:c r="A202" s="161"/>
      <x:c r="B202" s="161"/>
      <x:c r="C202" s="161"/>
      <x:c r="D202" s="161"/>
      <x:c r="E202" s="161"/>
      <x:c r="F202" s="161"/>
      <x:c r="G202" s="161"/>
      <x:c r="H202" s="161"/>
      <x:c r="I202" s="161"/>
      <x:c r="J202" s="161"/>
      <x:c r="K202" s="161"/>
      <x:c r="L202" s="161"/>
      <x:c r="M202" s="161"/>
      <x:c r="N202" s="161"/>
      <x:c r="O202" s="161"/>
      <x:c r="P202" s="161"/>
      <x:c r="Q202" s="161"/>
      <x:c r="R202" s="161"/>
      <x:c r="S202" s="161"/>
      <x:c r="T202" s="161"/>
      <x:c r="U202" s="161"/>
      <x:c r="V202" s="161"/>
      <x:c r="W202" s="161"/>
      <x:c r="X202" s="161"/>
      <x:c r="Y202" s="161"/>
      <x:c r="Z202" s="161"/>
    </x:row>
    <x:row r="203">
      <x:c r="A203" s="161"/>
      <x:c r="B203" s="161"/>
      <x:c r="C203" s="161"/>
      <x:c r="D203" s="161"/>
      <x:c r="E203" s="161"/>
      <x:c r="F203" s="161"/>
      <x:c r="G203" s="161"/>
      <x:c r="H203" s="161"/>
      <x:c r="I203" s="161"/>
      <x:c r="J203" s="161"/>
      <x:c r="K203" s="161"/>
      <x:c r="L203" s="161"/>
      <x:c r="M203" s="161"/>
      <x:c r="N203" s="161"/>
      <x:c r="O203" s="161"/>
      <x:c r="P203" s="161"/>
      <x:c r="Q203" s="161"/>
      <x:c r="R203" s="161"/>
      <x:c r="S203" s="161"/>
      <x:c r="T203" s="161"/>
      <x:c r="U203" s="161"/>
      <x:c r="V203" s="161"/>
      <x:c r="W203" s="161"/>
      <x:c r="X203" s="161"/>
      <x:c r="Y203" s="161"/>
      <x:c r="Z203" s="161"/>
    </x:row>
    <x:row r="204">
      <x:c r="A204" s="161"/>
      <x:c r="B204" s="161"/>
      <x:c r="C204" s="161"/>
      <x:c r="D204" s="161"/>
      <x:c r="E204" s="161"/>
      <x:c r="F204" s="161"/>
      <x:c r="G204" s="161"/>
      <x:c r="H204" s="161"/>
      <x:c r="I204" s="161"/>
      <x:c r="J204" s="161"/>
      <x:c r="K204" s="161"/>
      <x:c r="L204" s="161"/>
      <x:c r="M204" s="161"/>
      <x:c r="N204" s="161"/>
      <x:c r="O204" s="161"/>
      <x:c r="P204" s="161"/>
      <x:c r="Q204" s="161"/>
      <x:c r="R204" s="161"/>
      <x:c r="S204" s="161"/>
      <x:c r="T204" s="161"/>
      <x:c r="U204" s="161"/>
      <x:c r="V204" s="161"/>
      <x:c r="W204" s="161"/>
      <x:c r="X204" s="161"/>
      <x:c r="Y204" s="161"/>
      <x:c r="Z204" s="161"/>
    </x:row>
    <x:row r="205">
      <x:c r="A205" s="161"/>
      <x:c r="B205" s="161"/>
      <x:c r="C205" s="161"/>
      <x:c r="D205" s="161"/>
      <x:c r="E205" s="161"/>
      <x:c r="F205" s="161"/>
      <x:c r="G205" s="161"/>
      <x:c r="H205" s="161"/>
      <x:c r="I205" s="161"/>
      <x:c r="J205" s="161"/>
      <x:c r="K205" s="161"/>
      <x:c r="L205" s="161"/>
      <x:c r="M205" s="161"/>
      <x:c r="N205" s="161"/>
      <x:c r="O205" s="161"/>
      <x:c r="P205" s="161"/>
      <x:c r="Q205" s="161"/>
      <x:c r="R205" s="161"/>
      <x:c r="S205" s="161"/>
      <x:c r="T205" s="161"/>
      <x:c r="U205" s="161"/>
      <x:c r="V205" s="161"/>
      <x:c r="W205" s="161"/>
      <x:c r="X205" s="161"/>
      <x:c r="Y205" s="161"/>
      <x:c r="Z205" s="161"/>
    </x:row>
    <x:row r="206">
      <x:c r="A206" s="161"/>
      <x:c r="B206" s="161"/>
      <x:c r="C206" s="161"/>
      <x:c r="D206" s="161"/>
      <x:c r="E206" s="161"/>
      <x:c r="F206" s="161"/>
      <x:c r="G206" s="161"/>
      <x:c r="H206" s="161"/>
      <x:c r="I206" s="161"/>
      <x:c r="J206" s="161"/>
      <x:c r="K206" s="161"/>
      <x:c r="L206" s="161"/>
      <x:c r="M206" s="161"/>
      <x:c r="N206" s="161"/>
      <x:c r="O206" s="161"/>
      <x:c r="P206" s="161"/>
      <x:c r="Q206" s="161"/>
      <x:c r="R206" s="161"/>
      <x:c r="S206" s="161"/>
      <x:c r="T206" s="161"/>
      <x:c r="U206" s="161"/>
      <x:c r="V206" s="161"/>
      <x:c r="W206" s="161"/>
      <x:c r="X206" s="161"/>
      <x:c r="Y206" s="161"/>
      <x:c r="Z206" s="161"/>
    </x:row>
    <x:row r="207">
      <x:c r="A207" s="161"/>
      <x:c r="B207" s="161"/>
      <x:c r="C207" s="161"/>
      <x:c r="D207" s="161"/>
      <x:c r="E207" s="161"/>
      <x:c r="F207" s="161"/>
      <x:c r="G207" s="161"/>
      <x:c r="H207" s="161"/>
      <x:c r="I207" s="161"/>
      <x:c r="J207" s="161"/>
      <x:c r="K207" s="161"/>
      <x:c r="L207" s="161"/>
      <x:c r="M207" s="161"/>
      <x:c r="N207" s="161"/>
      <x:c r="O207" s="161"/>
      <x:c r="P207" s="161"/>
      <x:c r="Q207" s="161"/>
      <x:c r="R207" s="161"/>
      <x:c r="S207" s="161"/>
      <x:c r="T207" s="161"/>
      <x:c r="U207" s="161"/>
      <x:c r="V207" s="161"/>
      <x:c r="W207" s="161"/>
      <x:c r="X207" s="161"/>
      <x:c r="Y207" s="161"/>
      <x:c r="Z207" s="161"/>
    </x:row>
    <x:row r="208">
      <x:c r="A208" s="161"/>
      <x:c r="B208" s="161"/>
      <x:c r="C208" s="161"/>
      <x:c r="D208" s="161"/>
      <x:c r="E208" s="161"/>
      <x:c r="F208" s="161"/>
      <x:c r="G208" s="161"/>
      <x:c r="H208" s="161"/>
      <x:c r="I208" s="161"/>
      <x:c r="J208" s="161"/>
      <x:c r="K208" s="161"/>
      <x:c r="L208" s="161"/>
      <x:c r="M208" s="161"/>
      <x:c r="N208" s="161"/>
      <x:c r="O208" s="161"/>
      <x:c r="P208" s="161"/>
      <x:c r="Q208" s="161"/>
      <x:c r="R208" s="161"/>
      <x:c r="S208" s="161"/>
      <x:c r="T208" s="161"/>
      <x:c r="U208" s="161"/>
      <x:c r="V208" s="161"/>
      <x:c r="W208" s="161"/>
      <x:c r="X208" s="161"/>
      <x:c r="Y208" s="161"/>
      <x:c r="Z208" s="161"/>
    </x:row>
    <x:row r="209">
      <x:c r="A209" s="161"/>
      <x:c r="B209" s="161"/>
      <x:c r="C209" s="161"/>
      <x:c r="D209" s="161"/>
      <x:c r="E209" s="161"/>
      <x:c r="F209" s="161"/>
      <x:c r="G209" s="161"/>
      <x:c r="H209" s="161"/>
      <x:c r="I209" s="161"/>
      <x:c r="J209" s="161"/>
      <x:c r="K209" s="161"/>
      <x:c r="L209" s="161"/>
      <x:c r="M209" s="161"/>
      <x:c r="N209" s="161"/>
      <x:c r="O209" s="161"/>
      <x:c r="P209" s="161"/>
      <x:c r="Q209" s="161"/>
      <x:c r="R209" s="161"/>
      <x:c r="S209" s="161"/>
      <x:c r="T209" s="161"/>
      <x:c r="U209" s="161"/>
      <x:c r="V209" s="161"/>
      <x:c r="W209" s="161"/>
      <x:c r="X209" s="161"/>
      <x:c r="Y209" s="161"/>
      <x:c r="Z209" s="161"/>
    </x:row>
    <x:row r="210">
      <x:c r="A210" s="161"/>
      <x:c r="B210" s="161"/>
      <x:c r="C210" s="161"/>
      <x:c r="D210" s="161"/>
      <x:c r="E210" s="161"/>
      <x:c r="F210" s="161"/>
      <x:c r="G210" s="161"/>
      <x:c r="H210" s="161"/>
      <x:c r="I210" s="161"/>
      <x:c r="J210" s="161"/>
      <x:c r="K210" s="161"/>
      <x:c r="L210" s="161"/>
      <x:c r="M210" s="161"/>
      <x:c r="N210" s="161"/>
      <x:c r="O210" s="161"/>
      <x:c r="P210" s="161"/>
      <x:c r="Q210" s="161"/>
      <x:c r="R210" s="161"/>
      <x:c r="S210" s="161"/>
      <x:c r="T210" s="161"/>
      <x:c r="U210" s="161"/>
      <x:c r="V210" s="161"/>
      <x:c r="W210" s="161"/>
      <x:c r="X210" s="161"/>
      <x:c r="Y210" s="161"/>
      <x:c r="Z210" s="161"/>
    </x:row>
    <x:row r="211">
      <x:c r="A211" s="161"/>
      <x:c r="B211" s="161"/>
      <x:c r="C211" s="161"/>
      <x:c r="D211" s="161"/>
      <x:c r="E211" s="161"/>
      <x:c r="F211" s="161"/>
      <x:c r="G211" s="161"/>
      <x:c r="H211" s="161"/>
      <x:c r="I211" s="161"/>
      <x:c r="J211" s="161"/>
      <x:c r="K211" s="161"/>
      <x:c r="L211" s="161"/>
      <x:c r="M211" s="161"/>
      <x:c r="N211" s="161"/>
      <x:c r="O211" s="161"/>
      <x:c r="P211" s="161"/>
      <x:c r="Q211" s="161"/>
      <x:c r="R211" s="161"/>
      <x:c r="S211" s="161"/>
      <x:c r="T211" s="161"/>
      <x:c r="U211" s="161"/>
      <x:c r="V211" s="161"/>
      <x:c r="W211" s="161"/>
      <x:c r="X211" s="161"/>
      <x:c r="Y211" s="161"/>
      <x:c r="Z211" s="161"/>
    </x:row>
    <x:row r="212">
      <x:c r="A212" s="161"/>
      <x:c r="B212" s="161"/>
      <x:c r="C212" s="161"/>
      <x:c r="D212" s="161"/>
      <x:c r="E212" s="161"/>
      <x:c r="F212" s="161"/>
      <x:c r="G212" s="161"/>
      <x:c r="H212" s="161"/>
      <x:c r="I212" s="161"/>
      <x:c r="J212" s="161"/>
      <x:c r="K212" s="161"/>
      <x:c r="L212" s="161"/>
      <x:c r="M212" s="161"/>
      <x:c r="N212" s="161"/>
      <x:c r="O212" s="161"/>
      <x:c r="P212" s="161"/>
      <x:c r="Q212" s="161"/>
      <x:c r="R212" s="161"/>
      <x:c r="S212" s="161"/>
      <x:c r="T212" s="161"/>
      <x:c r="U212" s="161"/>
      <x:c r="V212" s="161"/>
      <x:c r="W212" s="161"/>
      <x:c r="X212" s="161"/>
      <x:c r="Y212" s="161"/>
      <x:c r="Z212" s="161"/>
    </x:row>
    <x:row r="213">
      <x:c r="A213" s="161"/>
      <x:c r="B213" s="161"/>
      <x:c r="C213" s="161"/>
      <x:c r="D213" s="161"/>
      <x:c r="E213" s="161"/>
      <x:c r="F213" s="161"/>
      <x:c r="G213" s="161"/>
      <x:c r="H213" s="161"/>
      <x:c r="I213" s="161"/>
      <x:c r="J213" s="161"/>
      <x:c r="K213" s="161"/>
      <x:c r="L213" s="161"/>
      <x:c r="M213" s="161"/>
      <x:c r="N213" s="161"/>
      <x:c r="O213" s="161"/>
      <x:c r="P213" s="161"/>
      <x:c r="Q213" s="161"/>
      <x:c r="R213" s="161"/>
      <x:c r="S213" s="161"/>
      <x:c r="T213" s="161"/>
      <x:c r="U213" s="161"/>
      <x:c r="V213" s="161"/>
      <x:c r="W213" s="161"/>
      <x:c r="X213" s="161"/>
      <x:c r="Y213" s="161"/>
      <x:c r="Z213" s="161"/>
    </x:row>
    <x:row r="214">
      <x:c r="A214" s="161"/>
      <x:c r="B214" s="161"/>
      <x:c r="C214" s="161"/>
      <x:c r="D214" s="161"/>
      <x:c r="E214" s="161"/>
      <x:c r="F214" s="161"/>
      <x:c r="G214" s="161"/>
      <x:c r="H214" s="161"/>
      <x:c r="I214" s="161"/>
      <x:c r="J214" s="161"/>
      <x:c r="K214" s="161"/>
      <x:c r="L214" s="161"/>
      <x:c r="M214" s="161"/>
      <x:c r="N214" s="161"/>
      <x:c r="O214" s="161"/>
      <x:c r="P214" s="161"/>
      <x:c r="Q214" s="161"/>
      <x:c r="R214" s="161"/>
      <x:c r="S214" s="161"/>
      <x:c r="T214" s="161"/>
      <x:c r="U214" s="161"/>
      <x:c r="V214" s="161"/>
      <x:c r="W214" s="161"/>
      <x:c r="X214" s="161"/>
      <x:c r="Y214" s="161"/>
      <x:c r="Z214" s="161"/>
    </x:row>
    <x:row r="215">
      <x:c r="A215" s="161"/>
      <x:c r="B215" s="161"/>
      <x:c r="C215" s="161"/>
      <x:c r="D215" s="161"/>
      <x:c r="E215" s="161"/>
      <x:c r="F215" s="161"/>
      <x:c r="G215" s="161"/>
      <x:c r="H215" s="161"/>
      <x:c r="I215" s="161"/>
      <x:c r="J215" s="161"/>
      <x:c r="K215" s="161"/>
      <x:c r="L215" s="161"/>
      <x:c r="M215" s="161"/>
      <x:c r="N215" s="161"/>
      <x:c r="O215" s="161"/>
      <x:c r="P215" s="161"/>
      <x:c r="Q215" s="161"/>
      <x:c r="R215" s="161"/>
      <x:c r="S215" s="161"/>
      <x:c r="T215" s="161"/>
      <x:c r="U215" s="161"/>
      <x:c r="V215" s="161"/>
      <x:c r="W215" s="161"/>
      <x:c r="X215" s="161"/>
      <x:c r="Y215" s="161"/>
      <x:c r="Z215" s="161"/>
    </x:row>
    <x:row r="216">
      <x:c r="A216" s="161"/>
      <x:c r="B216" s="161"/>
      <x:c r="C216" s="161"/>
      <x:c r="D216" s="161"/>
      <x:c r="E216" s="161"/>
      <x:c r="F216" s="161"/>
      <x:c r="G216" s="161"/>
      <x:c r="H216" s="161"/>
      <x:c r="I216" s="161"/>
      <x:c r="J216" s="161"/>
      <x:c r="K216" s="161"/>
      <x:c r="L216" s="161"/>
      <x:c r="M216" s="161"/>
      <x:c r="N216" s="161"/>
      <x:c r="O216" s="161"/>
      <x:c r="P216" s="161"/>
      <x:c r="Q216" s="161"/>
      <x:c r="R216" s="161"/>
      <x:c r="S216" s="161"/>
      <x:c r="T216" s="161"/>
      <x:c r="U216" s="161"/>
      <x:c r="V216" s="161"/>
      <x:c r="W216" s="161"/>
      <x:c r="X216" s="161"/>
      <x:c r="Y216" s="161"/>
      <x:c r="Z216" s="161"/>
    </x:row>
    <x:row r="217">
      <x:c r="A217" s="161"/>
      <x:c r="B217" s="161"/>
      <x:c r="C217" s="161"/>
      <x:c r="D217" s="161"/>
      <x:c r="E217" s="161"/>
      <x:c r="F217" s="161"/>
      <x:c r="G217" s="161"/>
      <x:c r="H217" s="161"/>
      <x:c r="I217" s="161"/>
      <x:c r="J217" s="161"/>
      <x:c r="K217" s="161"/>
      <x:c r="L217" s="161"/>
      <x:c r="M217" s="161"/>
      <x:c r="N217" s="161"/>
      <x:c r="O217" s="161"/>
      <x:c r="P217" s="161"/>
      <x:c r="Q217" s="161"/>
      <x:c r="R217" s="161"/>
      <x:c r="S217" s="161"/>
      <x:c r="T217" s="161"/>
      <x:c r="U217" s="161"/>
      <x:c r="V217" s="161"/>
      <x:c r="W217" s="161"/>
      <x:c r="X217" s="161"/>
      <x:c r="Y217" s="161"/>
      <x:c r="Z217" s="161"/>
    </x:row>
    <x:row r="218">
      <x:c r="A218" s="161"/>
      <x:c r="B218" s="161"/>
      <x:c r="C218" s="161"/>
      <x:c r="D218" s="161"/>
      <x:c r="E218" s="161"/>
      <x:c r="F218" s="161"/>
      <x:c r="G218" s="161"/>
      <x:c r="H218" s="161"/>
      <x:c r="I218" s="161"/>
      <x:c r="J218" s="161"/>
      <x:c r="K218" s="161"/>
      <x:c r="L218" s="161"/>
      <x:c r="M218" s="161"/>
      <x:c r="N218" s="161"/>
      <x:c r="O218" s="161"/>
      <x:c r="P218" s="161"/>
      <x:c r="Q218" s="161"/>
      <x:c r="R218" s="161"/>
      <x:c r="S218" s="161"/>
      <x:c r="T218" s="161"/>
      <x:c r="U218" s="161"/>
      <x:c r="V218" s="161"/>
      <x:c r="W218" s="161"/>
      <x:c r="X218" s="161"/>
      <x:c r="Y218" s="161"/>
      <x:c r="Z218" s="161"/>
    </x:row>
    <x:row r="219">
      <x:c r="A219" s="161"/>
      <x:c r="B219" s="161"/>
      <x:c r="C219" s="161"/>
      <x:c r="D219" s="161"/>
      <x:c r="E219" s="161"/>
      <x:c r="F219" s="161"/>
      <x:c r="G219" s="161"/>
      <x:c r="H219" s="161"/>
      <x:c r="I219" s="161"/>
      <x:c r="J219" s="161"/>
      <x:c r="K219" s="161"/>
      <x:c r="L219" s="161"/>
      <x:c r="M219" s="161"/>
      <x:c r="N219" s="161"/>
      <x:c r="O219" s="161"/>
      <x:c r="P219" s="161"/>
      <x:c r="Q219" s="161"/>
      <x:c r="R219" s="161"/>
      <x:c r="S219" s="161"/>
      <x:c r="T219" s="161"/>
      <x:c r="U219" s="161"/>
      <x:c r="V219" s="161"/>
      <x:c r="W219" s="161"/>
      <x:c r="X219" s="161"/>
      <x:c r="Y219" s="161"/>
      <x:c r="Z219" s="161"/>
    </x:row>
    <x:row r="220">
      <x:c r="A220" s="161"/>
      <x:c r="B220" s="161"/>
      <x:c r="C220" s="161"/>
      <x:c r="D220" s="161"/>
      <x:c r="E220" s="161"/>
      <x:c r="F220" s="161"/>
      <x:c r="G220" s="161"/>
      <x:c r="H220" s="161"/>
      <x:c r="I220" s="161"/>
      <x:c r="J220" s="161"/>
      <x:c r="K220" s="161"/>
      <x:c r="L220" s="161"/>
      <x:c r="M220" s="161"/>
      <x:c r="N220" s="161"/>
      <x:c r="O220" s="161"/>
      <x:c r="P220" s="161"/>
      <x:c r="Q220" s="161"/>
      <x:c r="R220" s="161"/>
      <x:c r="S220" s="161"/>
      <x:c r="T220" s="161"/>
      <x:c r="U220" s="161"/>
      <x:c r="V220" s="161"/>
      <x:c r="W220" s="161"/>
      <x:c r="X220" s="161"/>
      <x:c r="Y220" s="161"/>
      <x:c r="Z220" s="161"/>
    </x:row>
    <x:row r="221">
      <x:c r="A221" s="161"/>
      <x:c r="B221" s="161"/>
      <x:c r="C221" s="161"/>
      <x:c r="D221" s="161"/>
      <x:c r="E221" s="161"/>
      <x:c r="F221" s="161"/>
      <x:c r="G221" s="161"/>
      <x:c r="H221" s="161"/>
      <x:c r="I221" s="161"/>
      <x:c r="J221" s="161"/>
      <x:c r="K221" s="161"/>
      <x:c r="L221" s="161"/>
      <x:c r="M221" s="161"/>
      <x:c r="N221" s="161"/>
      <x:c r="O221" s="161"/>
      <x:c r="P221" s="161"/>
      <x:c r="Q221" s="161"/>
      <x:c r="R221" s="161"/>
      <x:c r="S221" s="161"/>
      <x:c r="T221" s="161"/>
      <x:c r="U221" s="161"/>
      <x:c r="V221" s="161"/>
      <x:c r="W221" s="161"/>
      <x:c r="X221" s="161"/>
      <x:c r="Y221" s="161"/>
      <x:c r="Z221" s="161"/>
    </x:row>
    <x:row r="222">
      <x:c r="A222" s="161"/>
      <x:c r="B222" s="161"/>
      <x:c r="C222" s="161"/>
      <x:c r="D222" s="161"/>
      <x:c r="E222" s="161"/>
      <x:c r="F222" s="161"/>
      <x:c r="G222" s="161"/>
      <x:c r="H222" s="161"/>
      <x:c r="I222" s="161"/>
      <x:c r="J222" s="161"/>
      <x:c r="K222" s="161"/>
      <x:c r="L222" s="161"/>
      <x:c r="M222" s="161"/>
      <x:c r="N222" s="161"/>
      <x:c r="O222" s="161"/>
      <x:c r="P222" s="161"/>
      <x:c r="Q222" s="161"/>
      <x:c r="R222" s="161"/>
      <x:c r="S222" s="161"/>
      <x:c r="T222" s="161"/>
      <x:c r="U222" s="161"/>
      <x:c r="V222" s="161"/>
      <x:c r="W222" s="161"/>
      <x:c r="X222" s="161"/>
      <x:c r="Y222" s="161"/>
      <x:c r="Z222" s="161"/>
    </x:row>
    <x:row r="223">
      <x:c r="A223" s="161"/>
      <x:c r="B223" s="161"/>
      <x:c r="C223" s="161"/>
      <x:c r="D223" s="161"/>
      <x:c r="E223" s="161"/>
      <x:c r="F223" s="161"/>
      <x:c r="G223" s="161"/>
      <x:c r="H223" s="161"/>
      <x:c r="I223" s="161"/>
      <x:c r="J223" s="161"/>
      <x:c r="K223" s="161"/>
      <x:c r="L223" s="161"/>
      <x:c r="M223" s="161"/>
      <x:c r="N223" s="161"/>
      <x:c r="O223" s="161"/>
      <x:c r="P223" s="161"/>
      <x:c r="Q223" s="161"/>
      <x:c r="R223" s="161"/>
      <x:c r="S223" s="161"/>
      <x:c r="T223" s="161"/>
      <x:c r="U223" s="161"/>
      <x:c r="V223" s="161"/>
      <x:c r="W223" s="161"/>
      <x:c r="X223" s="161"/>
      <x:c r="Y223" s="161"/>
      <x:c r="Z223" s="161"/>
    </x:row>
    <x:row r="224">
      <x:c r="A224" s="161"/>
      <x:c r="B224" s="161"/>
      <x:c r="C224" s="161"/>
      <x:c r="D224" s="161"/>
      <x:c r="E224" s="161"/>
      <x:c r="F224" s="161"/>
      <x:c r="G224" s="161"/>
      <x:c r="H224" s="161"/>
      <x:c r="I224" s="161"/>
      <x:c r="J224" s="161"/>
      <x:c r="K224" s="161"/>
      <x:c r="L224" s="161"/>
      <x:c r="M224" s="161"/>
      <x:c r="N224" s="161"/>
      <x:c r="O224" s="161"/>
      <x:c r="P224" s="161"/>
      <x:c r="Q224" s="161"/>
      <x:c r="R224" s="161"/>
      <x:c r="S224" s="161"/>
      <x:c r="T224" s="161"/>
      <x:c r="U224" s="161"/>
      <x:c r="V224" s="161"/>
      <x:c r="W224" s="161"/>
      <x:c r="X224" s="161"/>
      <x:c r="Y224" s="161"/>
      <x:c r="Z224" s="161"/>
    </x:row>
    <x:row r="225">
      <x:c r="A225" s="161"/>
      <x:c r="B225" s="161"/>
      <x:c r="C225" s="161"/>
      <x:c r="D225" s="161"/>
      <x:c r="E225" s="161"/>
      <x:c r="F225" s="161"/>
      <x:c r="G225" s="161"/>
      <x:c r="H225" s="161"/>
      <x:c r="I225" s="161"/>
      <x:c r="J225" s="161"/>
      <x:c r="K225" s="161"/>
      <x:c r="L225" s="161"/>
      <x:c r="M225" s="161"/>
      <x:c r="N225" s="161"/>
      <x:c r="O225" s="161"/>
      <x:c r="P225" s="161"/>
      <x:c r="Q225" s="161"/>
      <x:c r="R225" s="161"/>
      <x:c r="S225" s="161"/>
      <x:c r="T225" s="161"/>
      <x:c r="U225" s="161"/>
      <x:c r="V225" s="161"/>
      <x:c r="W225" s="161"/>
      <x:c r="X225" s="161"/>
      <x:c r="Y225" s="161"/>
      <x:c r="Z225" s="161"/>
    </x:row>
    <x:row r="226">
      <x:c r="A226" s="161"/>
      <x:c r="B226" s="161"/>
      <x:c r="C226" s="161"/>
      <x:c r="D226" s="161"/>
      <x:c r="E226" s="161"/>
      <x:c r="F226" s="161"/>
      <x:c r="G226" s="161"/>
      <x:c r="H226" s="161"/>
      <x:c r="I226" s="161"/>
      <x:c r="J226" s="161"/>
      <x:c r="K226" s="161"/>
      <x:c r="L226" s="161"/>
      <x:c r="M226" s="161"/>
      <x:c r="N226" s="161"/>
      <x:c r="O226" s="161"/>
      <x:c r="P226" s="161"/>
      <x:c r="Q226" s="161"/>
      <x:c r="R226" s="161"/>
      <x:c r="S226" s="161"/>
      <x:c r="T226" s="161"/>
      <x:c r="U226" s="161"/>
      <x:c r="V226" s="161"/>
      <x:c r="W226" s="161"/>
      <x:c r="X226" s="161"/>
      <x:c r="Y226" s="161"/>
      <x:c r="Z226" s="161"/>
    </x:row>
    <x:row r="227">
      <x:c r="A227" s="161"/>
      <x:c r="B227" s="161"/>
      <x:c r="C227" s="161"/>
      <x:c r="D227" s="161"/>
      <x:c r="E227" s="161"/>
      <x:c r="F227" s="161"/>
      <x:c r="G227" s="161"/>
      <x:c r="H227" s="161"/>
      <x:c r="I227" s="161"/>
      <x:c r="J227" s="161"/>
      <x:c r="K227" s="161"/>
      <x:c r="L227" s="161"/>
      <x:c r="M227" s="161"/>
      <x:c r="N227" s="161"/>
      <x:c r="O227" s="161"/>
      <x:c r="P227" s="161"/>
      <x:c r="Q227" s="161"/>
      <x:c r="R227" s="161"/>
      <x:c r="S227" s="161"/>
      <x:c r="T227" s="161"/>
      <x:c r="U227" s="161"/>
      <x:c r="V227" s="161"/>
      <x:c r="W227" s="161"/>
      <x:c r="X227" s="161"/>
      <x:c r="Y227" s="161"/>
      <x:c r="Z227" s="161"/>
    </x:row>
    <x:row r="228">
      <x:c r="A228" s="161"/>
      <x:c r="B228" s="161"/>
      <x:c r="C228" s="161"/>
      <x:c r="D228" s="161"/>
      <x:c r="E228" s="161"/>
      <x:c r="F228" s="161"/>
      <x:c r="G228" s="161"/>
      <x:c r="H228" s="161"/>
      <x:c r="I228" s="161"/>
      <x:c r="J228" s="161"/>
      <x:c r="K228" s="161"/>
      <x:c r="L228" s="161"/>
      <x:c r="M228" s="161"/>
      <x:c r="N228" s="161"/>
      <x:c r="O228" s="161"/>
      <x:c r="P228" s="161"/>
      <x:c r="Q228" s="161"/>
      <x:c r="R228" s="161"/>
      <x:c r="S228" s="161"/>
      <x:c r="T228" s="161"/>
      <x:c r="U228" s="161"/>
      <x:c r="V228" s="161"/>
      <x:c r="W228" s="161"/>
      <x:c r="X228" s="161"/>
      <x:c r="Y228" s="161"/>
      <x:c r="Z228" s="161"/>
    </x:row>
    <x:row r="229">
      <x:c r="A229" s="161"/>
      <x:c r="B229" s="161"/>
      <x:c r="C229" s="161"/>
      <x:c r="D229" s="161"/>
      <x:c r="E229" s="161"/>
      <x:c r="F229" s="161"/>
      <x:c r="G229" s="161"/>
      <x:c r="H229" s="161"/>
      <x:c r="I229" s="161"/>
      <x:c r="J229" s="161"/>
      <x:c r="K229" s="161"/>
      <x:c r="L229" s="161"/>
      <x:c r="M229" s="161"/>
      <x:c r="N229" s="161"/>
      <x:c r="O229" s="161"/>
      <x:c r="P229" s="161"/>
      <x:c r="Q229" s="161"/>
      <x:c r="R229" s="161"/>
      <x:c r="S229" s="161"/>
      <x:c r="T229" s="161"/>
      <x:c r="U229" s="161"/>
      <x:c r="V229" s="161"/>
      <x:c r="W229" s="161"/>
      <x:c r="X229" s="161"/>
      <x:c r="Y229" s="161"/>
      <x:c r="Z229" s="161"/>
    </x:row>
    <x:row r="230">
      <x:c r="A230" s="161"/>
      <x:c r="B230" s="161"/>
      <x:c r="C230" s="161"/>
      <x:c r="D230" s="161"/>
      <x:c r="E230" s="161"/>
      <x:c r="F230" s="161"/>
      <x:c r="G230" s="161"/>
      <x:c r="H230" s="161"/>
      <x:c r="I230" s="161"/>
      <x:c r="J230" s="161"/>
      <x:c r="K230" s="161"/>
      <x:c r="L230" s="161"/>
      <x:c r="M230" s="161"/>
      <x:c r="N230" s="161"/>
      <x:c r="O230" s="161"/>
      <x:c r="P230" s="161"/>
      <x:c r="Q230" s="161"/>
      <x:c r="R230" s="161"/>
      <x:c r="S230" s="161"/>
      <x:c r="T230" s="161"/>
      <x:c r="U230" s="161"/>
      <x:c r="V230" s="161"/>
      <x:c r="W230" s="161"/>
      <x:c r="X230" s="161"/>
      <x:c r="Y230" s="161"/>
      <x:c r="Z230" s="161"/>
    </x:row>
    <x:row r="231">
      <x:c r="A231" s="161"/>
      <x:c r="B231" s="161"/>
      <x:c r="C231" s="161"/>
      <x:c r="D231" s="161"/>
      <x:c r="E231" s="161"/>
      <x:c r="F231" s="161"/>
      <x:c r="G231" s="161"/>
      <x:c r="H231" s="161"/>
      <x:c r="I231" s="161"/>
      <x:c r="J231" s="161"/>
      <x:c r="K231" s="161"/>
      <x:c r="L231" s="161"/>
      <x:c r="M231" s="161"/>
      <x:c r="N231" s="161"/>
      <x:c r="O231" s="161"/>
      <x:c r="P231" s="161"/>
      <x:c r="Q231" s="161"/>
      <x:c r="R231" s="161"/>
      <x:c r="S231" s="161"/>
      <x:c r="T231" s="161"/>
      <x:c r="U231" s="161"/>
      <x:c r="V231" s="161"/>
      <x:c r="W231" s="161"/>
      <x:c r="X231" s="161"/>
      <x:c r="Y231" s="161"/>
      <x:c r="Z231" s="161"/>
    </x:row>
    <x:row r="232">
      <x:c r="A232" s="161"/>
      <x:c r="B232" s="161"/>
      <x:c r="C232" s="161"/>
      <x:c r="D232" s="161"/>
      <x:c r="E232" s="161"/>
      <x:c r="F232" s="161"/>
      <x:c r="G232" s="161"/>
      <x:c r="H232" s="161"/>
      <x:c r="I232" s="161"/>
      <x:c r="J232" s="161"/>
      <x:c r="K232" s="161"/>
      <x:c r="L232" s="161"/>
      <x:c r="M232" s="161"/>
      <x:c r="N232" s="161"/>
      <x:c r="O232" s="161"/>
      <x:c r="P232" s="161"/>
      <x:c r="Q232" s="161"/>
      <x:c r="R232" s="161"/>
      <x:c r="S232" s="161"/>
      <x:c r="T232" s="161"/>
      <x:c r="U232" s="161"/>
      <x:c r="V232" s="161"/>
      <x:c r="W232" s="161"/>
      <x:c r="X232" s="161"/>
      <x:c r="Y232" s="161"/>
      <x:c r="Z232" s="161"/>
    </x:row>
    <x:row r="233">
      <x:c r="A233" s="161"/>
      <x:c r="B233" s="161"/>
      <x:c r="C233" s="161"/>
      <x:c r="D233" s="161"/>
      <x:c r="E233" s="161"/>
      <x:c r="F233" s="161"/>
      <x:c r="G233" s="161"/>
      <x:c r="H233" s="161"/>
      <x:c r="I233" s="161"/>
      <x:c r="J233" s="161"/>
      <x:c r="K233" s="161"/>
      <x:c r="L233" s="161"/>
      <x:c r="M233" s="161"/>
      <x:c r="N233" s="161"/>
      <x:c r="O233" s="161"/>
      <x:c r="P233" s="161"/>
      <x:c r="Q233" s="161"/>
      <x:c r="R233" s="161"/>
      <x:c r="S233" s="161"/>
      <x:c r="T233" s="161"/>
      <x:c r="U233" s="161"/>
      <x:c r="V233" s="161"/>
      <x:c r="W233" s="161"/>
      <x:c r="X233" s="161"/>
      <x:c r="Y233" s="161"/>
      <x:c r="Z233" s="161"/>
    </x:row>
    <x:row r="234">
      <x:c r="A234" s="161"/>
      <x:c r="B234" s="161"/>
      <x:c r="C234" s="161"/>
      <x:c r="D234" s="161"/>
      <x:c r="E234" s="161"/>
      <x:c r="F234" s="161"/>
      <x:c r="G234" s="161"/>
      <x:c r="H234" s="161"/>
      <x:c r="I234" s="161"/>
      <x:c r="J234" s="161"/>
      <x:c r="K234" s="161"/>
      <x:c r="L234" s="161"/>
      <x:c r="M234" s="161"/>
      <x:c r="N234" s="161"/>
      <x:c r="O234" s="161"/>
      <x:c r="P234" s="161"/>
      <x:c r="Q234" s="161"/>
      <x:c r="R234" s="161"/>
      <x:c r="S234" s="161"/>
      <x:c r="T234" s="161"/>
      <x:c r="U234" s="161"/>
      <x:c r="V234" s="161"/>
      <x:c r="W234" s="161"/>
      <x:c r="X234" s="161"/>
      <x:c r="Y234" s="161"/>
      <x:c r="Z234" s="161"/>
    </x:row>
    <x:row r="235">
      <x:c r="A235" s="161"/>
      <x:c r="B235" s="161"/>
      <x:c r="C235" s="161"/>
      <x:c r="D235" s="161"/>
      <x:c r="E235" s="161"/>
      <x:c r="F235" s="161"/>
      <x:c r="G235" s="161"/>
      <x:c r="H235" s="161"/>
      <x:c r="I235" s="161"/>
      <x:c r="J235" s="161"/>
      <x:c r="K235" s="161"/>
      <x:c r="L235" s="161"/>
      <x:c r="M235" s="161"/>
      <x:c r="N235" s="161"/>
      <x:c r="O235" s="161"/>
      <x:c r="P235" s="161"/>
      <x:c r="Q235" s="161"/>
      <x:c r="R235" s="161"/>
      <x:c r="S235" s="161"/>
      <x:c r="T235" s="161"/>
      <x:c r="U235" s="161"/>
      <x:c r="V235" s="161"/>
      <x:c r="W235" s="161"/>
      <x:c r="X235" s="161"/>
      <x:c r="Y235" s="161"/>
      <x:c r="Z235" s="161"/>
    </x:row>
    <x:row r="236">
      <x:c r="A236" s="161"/>
      <x:c r="B236" s="161"/>
      <x:c r="C236" s="161"/>
      <x:c r="D236" s="161"/>
      <x:c r="E236" s="161"/>
      <x:c r="F236" s="161"/>
      <x:c r="G236" s="161"/>
      <x:c r="H236" s="161"/>
      <x:c r="I236" s="161"/>
      <x:c r="J236" s="161"/>
      <x:c r="K236" s="161"/>
      <x:c r="L236" s="161"/>
      <x:c r="M236" s="161"/>
      <x:c r="N236" s="161"/>
      <x:c r="O236" s="161"/>
      <x:c r="P236" s="161"/>
      <x:c r="Q236" s="161"/>
      <x:c r="R236" s="161"/>
      <x:c r="S236" s="161"/>
      <x:c r="T236" s="161"/>
      <x:c r="U236" s="161"/>
      <x:c r="V236" s="161"/>
      <x:c r="W236" s="161"/>
      <x:c r="X236" s="161"/>
      <x:c r="Y236" s="161"/>
      <x:c r="Z236" s="161"/>
    </x:row>
    <x:row r="237">
      <x:c r="A237" s="161"/>
      <x:c r="B237" s="161"/>
      <x:c r="C237" s="161"/>
      <x:c r="D237" s="161"/>
      <x:c r="E237" s="161"/>
      <x:c r="F237" s="161"/>
      <x:c r="G237" s="161"/>
      <x:c r="H237" s="161"/>
      <x:c r="I237" s="161"/>
      <x:c r="J237" s="161"/>
      <x:c r="K237" s="161"/>
      <x:c r="L237" s="161"/>
      <x:c r="M237" s="161"/>
      <x:c r="N237" s="161"/>
      <x:c r="O237" s="161"/>
      <x:c r="P237" s="161"/>
      <x:c r="Q237" s="161"/>
      <x:c r="R237" s="161"/>
      <x:c r="S237" s="161"/>
      <x:c r="T237" s="161"/>
      <x:c r="U237" s="161"/>
      <x:c r="V237" s="161"/>
      <x:c r="W237" s="161"/>
      <x:c r="X237" s="161"/>
      <x:c r="Y237" s="161"/>
      <x:c r="Z237" s="161"/>
    </x:row>
    <x:row r="238">
      <x:c r="A238" s="161"/>
      <x:c r="B238" s="161"/>
      <x:c r="C238" s="161"/>
      <x:c r="D238" s="161"/>
      <x:c r="E238" s="161"/>
      <x:c r="F238" s="161"/>
      <x:c r="G238" s="161"/>
      <x:c r="H238" s="161"/>
      <x:c r="I238" s="161"/>
      <x:c r="J238" s="161"/>
      <x:c r="K238" s="161"/>
      <x:c r="L238" s="161"/>
      <x:c r="M238" s="161"/>
      <x:c r="N238" s="161"/>
      <x:c r="O238" s="161"/>
      <x:c r="P238" s="161"/>
      <x:c r="Q238" s="161"/>
      <x:c r="R238" s="161"/>
      <x:c r="S238" s="161"/>
      <x:c r="T238" s="161"/>
      <x:c r="U238" s="161"/>
      <x:c r="V238" s="161"/>
      <x:c r="W238" s="161"/>
      <x:c r="X238" s="161"/>
      <x:c r="Y238" s="161"/>
      <x:c r="Z238" s="161"/>
    </x:row>
    <x:row r="239">
      <x:c r="A239" s="161"/>
      <x:c r="B239" s="161"/>
      <x:c r="C239" s="161"/>
      <x:c r="D239" s="161"/>
      <x:c r="E239" s="161"/>
      <x:c r="F239" s="161"/>
      <x:c r="G239" s="161"/>
      <x:c r="H239" s="161"/>
      <x:c r="I239" s="161"/>
      <x:c r="J239" s="161"/>
      <x:c r="K239" s="161"/>
      <x:c r="L239" s="161"/>
      <x:c r="M239" s="161"/>
      <x:c r="N239" s="161"/>
      <x:c r="O239" s="161"/>
      <x:c r="P239" s="161"/>
      <x:c r="Q239" s="161"/>
      <x:c r="R239" s="161"/>
      <x:c r="S239" s="161"/>
      <x:c r="T239" s="161"/>
      <x:c r="U239" s="161"/>
      <x:c r="V239" s="161"/>
      <x:c r="W239" s="161"/>
      <x:c r="X239" s="161"/>
      <x:c r="Y239" s="161"/>
      <x:c r="Z239" s="161"/>
    </x:row>
    <x:row r="240">
      <x:c r="A240" s="161"/>
      <x:c r="B240" s="161"/>
      <x:c r="C240" s="161"/>
      <x:c r="D240" s="161"/>
      <x:c r="E240" s="161"/>
      <x:c r="F240" s="161"/>
      <x:c r="G240" s="161"/>
      <x:c r="H240" s="161"/>
      <x:c r="I240" s="161"/>
      <x:c r="J240" s="161"/>
      <x:c r="K240" s="161"/>
      <x:c r="L240" s="161"/>
      <x:c r="M240" s="161"/>
      <x:c r="N240" s="161"/>
      <x:c r="O240" s="161"/>
      <x:c r="P240" s="161"/>
      <x:c r="Q240" s="161"/>
      <x:c r="R240" s="161"/>
      <x:c r="S240" s="161"/>
      <x:c r="T240" s="161"/>
      <x:c r="U240" s="161"/>
      <x:c r="V240" s="161"/>
      <x:c r="W240" s="161"/>
      <x:c r="X240" s="161"/>
      <x:c r="Y240" s="161"/>
      <x:c r="Z240" s="161"/>
    </x:row>
    <x:row r="241">
      <x:c r="A241" s="161"/>
      <x:c r="B241" s="161"/>
      <x:c r="C241" s="161"/>
      <x:c r="D241" s="161"/>
      <x:c r="E241" s="161"/>
      <x:c r="F241" s="161"/>
      <x:c r="G241" s="161"/>
      <x:c r="H241" s="161"/>
      <x:c r="I241" s="161"/>
      <x:c r="J241" s="161"/>
      <x:c r="K241" s="161"/>
      <x:c r="L241" s="161"/>
      <x:c r="M241" s="161"/>
      <x:c r="N241" s="161"/>
      <x:c r="O241" s="161"/>
      <x:c r="P241" s="161"/>
      <x:c r="Q241" s="161"/>
      <x:c r="R241" s="161"/>
      <x:c r="S241" s="161"/>
      <x:c r="T241" s="161"/>
      <x:c r="U241" s="161"/>
      <x:c r="V241" s="161"/>
      <x:c r="W241" s="161"/>
      <x:c r="X241" s="161"/>
      <x:c r="Y241" s="161"/>
      <x:c r="Z241" s="161"/>
    </x:row>
    <x:row r="242">
      <x:c r="A242" s="161"/>
      <x:c r="B242" s="161"/>
      <x:c r="C242" s="161"/>
      <x:c r="D242" s="161"/>
      <x:c r="E242" s="161"/>
      <x:c r="F242" s="161"/>
      <x:c r="G242" s="161"/>
      <x:c r="H242" s="161"/>
      <x:c r="I242" s="161"/>
      <x:c r="J242" s="161"/>
      <x:c r="K242" s="161"/>
      <x:c r="L242" s="161"/>
      <x:c r="M242" s="161"/>
      <x:c r="N242" s="161"/>
      <x:c r="O242" s="161"/>
      <x:c r="P242" s="161"/>
      <x:c r="Q242" s="161"/>
      <x:c r="R242" s="161"/>
      <x:c r="S242" s="161"/>
      <x:c r="T242" s="161"/>
      <x:c r="U242" s="161"/>
      <x:c r="V242" s="161"/>
      <x:c r="W242" s="161"/>
      <x:c r="X242" s="161"/>
      <x:c r="Y242" s="161"/>
      <x:c r="Z242" s="161"/>
    </x:row>
    <x:row r="243">
      <x:c r="A243" s="161"/>
      <x:c r="B243" s="161"/>
      <x:c r="C243" s="161"/>
      <x:c r="D243" s="161"/>
      <x:c r="E243" s="161"/>
      <x:c r="F243" s="161"/>
      <x:c r="G243" s="161"/>
      <x:c r="H243" s="161"/>
      <x:c r="I243" s="161"/>
      <x:c r="J243" s="161"/>
      <x:c r="K243" s="161"/>
      <x:c r="L243" s="161"/>
      <x:c r="M243" s="161"/>
      <x:c r="N243" s="161"/>
      <x:c r="O243" s="161"/>
      <x:c r="P243" s="161"/>
      <x:c r="Q243" s="161"/>
      <x:c r="R243" s="161"/>
      <x:c r="S243" s="161"/>
      <x:c r="T243" s="161"/>
      <x:c r="U243" s="161"/>
      <x:c r="V243" s="161"/>
      <x:c r="W243" s="161"/>
      <x:c r="X243" s="161"/>
      <x:c r="Y243" s="161"/>
      <x:c r="Z243" s="161"/>
    </x:row>
    <x:row r="244">
      <x:c r="A244" s="161"/>
      <x:c r="B244" s="161"/>
      <x:c r="C244" s="161"/>
      <x:c r="D244" s="161"/>
      <x:c r="E244" s="161"/>
      <x:c r="F244" s="161"/>
      <x:c r="G244" s="161"/>
      <x:c r="H244" s="161"/>
      <x:c r="I244" s="161"/>
      <x:c r="J244" s="161"/>
      <x:c r="K244" s="161"/>
      <x:c r="L244" s="161"/>
      <x:c r="M244" s="161"/>
      <x:c r="N244" s="161"/>
      <x:c r="O244" s="161"/>
      <x:c r="P244" s="161"/>
      <x:c r="Q244" s="161"/>
      <x:c r="R244" s="161"/>
      <x:c r="S244" s="161"/>
      <x:c r="T244" s="161"/>
      <x:c r="U244" s="161"/>
      <x:c r="V244" s="161"/>
      <x:c r="W244" s="161"/>
      <x:c r="X244" s="161"/>
      <x:c r="Y244" s="161"/>
      <x:c r="Z244" s="161"/>
    </x:row>
    <x:row r="245">
      <x:c r="A245" s="161"/>
      <x:c r="B245" s="161"/>
      <x:c r="C245" s="161"/>
      <x:c r="D245" s="161"/>
      <x:c r="E245" s="161"/>
      <x:c r="F245" s="161"/>
      <x:c r="G245" s="161"/>
      <x:c r="H245" s="161"/>
      <x:c r="I245" s="161"/>
      <x:c r="J245" s="161"/>
      <x:c r="K245" s="161"/>
      <x:c r="L245" s="161"/>
      <x:c r="M245" s="161"/>
      <x:c r="N245" s="161"/>
      <x:c r="O245" s="161"/>
      <x:c r="P245" s="161"/>
      <x:c r="Q245" s="161"/>
      <x:c r="R245" s="161"/>
      <x:c r="S245" s="161"/>
      <x:c r="T245" s="161"/>
      <x:c r="U245" s="161"/>
      <x:c r="V245" s="161"/>
      <x:c r="W245" s="161"/>
      <x:c r="X245" s="161"/>
      <x:c r="Y245" s="161"/>
      <x:c r="Z245" s="161"/>
    </x:row>
    <x:row r="246">
      <x:c r="A246" s="161"/>
      <x:c r="B246" s="161"/>
      <x:c r="C246" s="161"/>
      <x:c r="D246" s="161"/>
      <x:c r="E246" s="161"/>
      <x:c r="F246" s="161"/>
      <x:c r="G246" s="161"/>
      <x:c r="H246" s="161"/>
      <x:c r="I246" s="161"/>
      <x:c r="J246" s="161"/>
      <x:c r="K246" s="161"/>
      <x:c r="L246" s="161"/>
      <x:c r="M246" s="161"/>
      <x:c r="N246" s="161"/>
      <x:c r="O246" s="161"/>
      <x:c r="P246" s="161"/>
      <x:c r="Q246" s="161"/>
      <x:c r="R246" s="161"/>
      <x:c r="S246" s="161"/>
      <x:c r="T246" s="161"/>
      <x:c r="U246" s="161"/>
      <x:c r="V246" s="161"/>
      <x:c r="W246" s="161"/>
      <x:c r="X246" s="161"/>
      <x:c r="Y246" s="161"/>
      <x:c r="Z246" s="161"/>
    </x:row>
    <x:row r="247">
      <x:c r="A247" s="161"/>
      <x:c r="B247" s="161"/>
      <x:c r="C247" s="161"/>
      <x:c r="D247" s="161"/>
      <x:c r="E247" s="161"/>
      <x:c r="F247" s="161"/>
      <x:c r="G247" s="161"/>
      <x:c r="H247" s="161"/>
      <x:c r="I247" s="161"/>
      <x:c r="J247" s="161"/>
      <x:c r="K247" s="161"/>
      <x:c r="L247" s="161"/>
      <x:c r="M247" s="161"/>
      <x:c r="N247" s="161"/>
      <x:c r="O247" s="161"/>
      <x:c r="P247" s="161"/>
      <x:c r="Q247" s="161"/>
      <x:c r="R247" s="161"/>
      <x:c r="S247" s="161"/>
      <x:c r="T247" s="161"/>
      <x:c r="U247" s="161"/>
      <x:c r="V247" s="161"/>
      <x:c r="W247" s="161"/>
      <x:c r="X247" s="161"/>
      <x:c r="Y247" s="161"/>
      <x:c r="Z247" s="161"/>
    </x:row>
    <x:row r="248">
      <x:c r="A248" s="161"/>
      <x:c r="B248" s="161"/>
      <x:c r="C248" s="161"/>
      <x:c r="D248" s="161"/>
      <x:c r="E248" s="161"/>
      <x:c r="F248" s="161"/>
      <x:c r="G248" s="161"/>
      <x:c r="H248" s="161"/>
      <x:c r="I248" s="161"/>
      <x:c r="J248" s="161"/>
      <x:c r="K248" s="161"/>
      <x:c r="L248" s="161"/>
      <x:c r="M248" s="161"/>
      <x:c r="N248" s="161"/>
      <x:c r="O248" s="161"/>
      <x:c r="P248" s="161"/>
      <x:c r="Q248" s="161"/>
      <x:c r="R248" s="161"/>
      <x:c r="S248" s="161"/>
      <x:c r="T248" s="161"/>
      <x:c r="U248" s="161"/>
      <x:c r="V248" s="161"/>
      <x:c r="W248" s="161"/>
      <x:c r="X248" s="161"/>
      <x:c r="Y248" s="161"/>
      <x:c r="Z248" s="161"/>
    </x:row>
    <x:row r="249">
      <x:c r="A249" s="161"/>
      <x:c r="B249" s="161"/>
      <x:c r="C249" s="161"/>
      <x:c r="D249" s="161"/>
      <x:c r="E249" s="161"/>
      <x:c r="F249" s="161"/>
      <x:c r="G249" s="161"/>
      <x:c r="H249" s="161"/>
      <x:c r="I249" s="161"/>
      <x:c r="J249" s="161"/>
      <x:c r="K249" s="161"/>
      <x:c r="L249" s="161"/>
      <x:c r="M249" s="161"/>
      <x:c r="N249" s="161"/>
      <x:c r="O249" s="161"/>
      <x:c r="P249" s="161"/>
      <x:c r="Q249" s="161"/>
      <x:c r="R249" s="161"/>
      <x:c r="S249" s="161"/>
      <x:c r="T249" s="161"/>
      <x:c r="U249" s="161"/>
      <x:c r="V249" s="161"/>
      <x:c r="W249" s="161"/>
      <x:c r="X249" s="161"/>
      <x:c r="Y249" s="161"/>
      <x:c r="Z249" s="161"/>
    </x:row>
    <x:row r="250">
      <x:c r="A250" s="161"/>
      <x:c r="B250" s="161"/>
      <x:c r="C250" s="161"/>
      <x:c r="D250" s="161"/>
      <x:c r="E250" s="161"/>
      <x:c r="F250" s="161"/>
      <x:c r="G250" s="161"/>
      <x:c r="H250" s="161"/>
      <x:c r="I250" s="161"/>
      <x:c r="J250" s="161"/>
      <x:c r="K250" s="161"/>
      <x:c r="L250" s="161"/>
      <x:c r="M250" s="161"/>
      <x:c r="N250" s="161"/>
      <x:c r="O250" s="161"/>
      <x:c r="P250" s="161"/>
      <x:c r="Q250" s="161"/>
      <x:c r="R250" s="161"/>
      <x:c r="S250" s="161"/>
      <x:c r="T250" s="161"/>
      <x:c r="U250" s="161"/>
      <x:c r="V250" s="161"/>
      <x:c r="W250" s="161"/>
      <x:c r="X250" s="161"/>
      <x:c r="Y250" s="161"/>
      <x:c r="Z250" s="161"/>
    </x:row>
  </x:sheetData>
  <x:mergeCells>
    <x:mergeCell ref="A1:H1"/>
    <x:mergeCell ref="A2:H3"/>
    <x:mergeCell ref="I1:J1"/>
  </x:mergeCells>
  <x:pageMargins left="0.7" right="0.7" top="0.75" bottom="0.75" header="0.3" footer="0.3"/>
  <x:tableParts count="1">
    <x:tablePart xmlns:r="http://schemas.openxmlformats.org/officeDocument/2006/relationships" r:id="R9c566d6d4b2f463b"/>
  </x:tableParts>
</x:worksheet>
</file>