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1c078a783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Portada" sheetId="1" r:id="R765cfcb44b6949f0"/>
    <x:sheet xmlns:r="http://schemas.openxmlformats.org/officeDocument/2006/relationships" name="01 Guía de Uso" sheetId="2" r:id="R03fefb0d98844a5e"/>
    <x:sheet xmlns:r="http://schemas.openxmlformats.org/officeDocument/2006/relationships" name="02 Configuración" sheetId="3" r:id="Ra7fbdc892fff475f"/>
    <x:sheet xmlns:r="http://schemas.openxmlformats.org/officeDocument/2006/relationships" name="03 Presupuesto" sheetId="4" r:id="R9a4a96e0c4d44b6d"/>
    <x:sheet xmlns:r="http://schemas.openxmlformats.org/officeDocument/2006/relationships" name="04 Real" sheetId="5" r:id="R1d97821fa4164848"/>
    <x:sheet xmlns:r="http://schemas.openxmlformats.org/officeDocument/2006/relationships" name="05 Comparativo" sheetId="6" r:id="R91b16a3a18cc4d51"/>
    <x:sheet xmlns:r="http://schemas.openxmlformats.org/officeDocument/2006/relationships" name="06 Dashboard" sheetId="7" r:id="Rdd0035393beb4c7d"/>
    <x:sheet xmlns:r="http://schemas.openxmlformats.org/officeDocument/2006/relationships" name="07 Variaciones" sheetId="8" r:id="R50dbc983fcb1468d"/>
    <x:sheet xmlns:r="http://schemas.openxmlformats.org/officeDocument/2006/relationships" name="08 Catálogos" sheetId="9" r:id="R1de5be2595e247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%"/>
    <x:numFmt numFmtId="202" formatCode="$#,##0;[Red]-$#,##0"/>
    <x:numFmt numFmtId="203" formatCode="0.0%;[Red]-0.0%"/>
    <x:numFmt numFmtId="204" formatCode="0.0%"/>
  </x:numFmts>
  <x:fonts count="13">
    <x:font>
      <x:sz val="11"/>
      <x:name val="Carlito"/>
    </x:font>
    <x:font>
      <x:b/>
      <x:sz val="24"/>
      <x:color rgb="FFFFFF"/>
      <x:name val="Carlito"/>
    </x:font>
    <x:font>
      <x:i/>
      <x:sz val="12"/>
      <x:color rgb="64748B"/>
      <x:name val="Carlito"/>
    </x:font>
    <x:font>
      <x:b/>
      <x:sz val="12"/>
      <x:color rgb="0B1F3A"/>
      <x:name val="Carlito"/>
    </x:font>
    <x:font>
      <x:sz val="10"/>
      <x:color rgb="1F2937"/>
      <x:name val="Carlito"/>
    </x:font>
    <x:font>
      <x:b/>
      <x:sz val="10"/>
      <x:color rgb="FFFFFF"/>
      <x:name val="Carlito"/>
    </x:font>
    <x:font>
      <x:b/>
      <x:sz val="18"/>
      <x:color rgb="FFFFFF"/>
      <x:name val="Carlito"/>
    </x:font>
    <x:font>
      <x:i/>
      <x:sz val="10"/>
      <x:color rgb="64748B"/>
      <x:name val="Carlito"/>
    </x:font>
    <x:font>
      <x:b/>
      <x:sz val="10"/>
      <x:color rgb="0B1F3A"/>
      <x:name val="Carlito"/>
    </x:font>
    <x:font>
      <x:b/>
      <x:sz val="10"/>
      <x:color rgb="166534"/>
      <x:name val="Carlito"/>
    </x:font>
    <x:font>
      <x:b/>
      <x:sz val="10"/>
      <x:color rgb="991B1B"/>
      <x:name val="Carlito"/>
    </x:font>
    <x:font>
      <x:b/>
      <x:sz val="10"/>
      <x:color rgb="1F2937"/>
      <x:name val="Carlito"/>
    </x:font>
    <x:font>
      <x:b/>
      <x:sz val="14"/>
      <x:color rgb="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EAF2FF"/>
      </x:patternFill>
    </x:fill>
    <x:fill>
      <x:patternFill patternType="solid">
        <x:fgColor rgb="FFF2CC"/>
      </x:patternFill>
    </x:fill>
    <x:fill>
      <x:patternFill patternType="solid">
        <x:fgColor rgb="FFFFFF"/>
      </x:patternFill>
    </x:fill>
    <x:fill>
      <x:patternFill patternType="solid">
        <x:fgColor rgb="E5E7EB"/>
      </x:patternFill>
    </x:fill>
    <x:fill>
      <x:patternFill patternType="solid">
        <x:fgColor rgb="DCFCE7"/>
      </x:patternFill>
    </x:fill>
    <x:fill>
      <x:patternFill patternType="solid">
        <x:fgColor rgb="FEE2E2"/>
      </x:patternFill>
    </x:fill>
  </x:fills>
  <x:borders count="2">
    <x:border/>
    <x:border/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center"/>
    </x:xf>
    <x:xf numFmtId="0" fontId="7" fillId="3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10" fillId="8" borderId="0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 applyAlignment="1">
      <x:alignment vertical="center" wrapText="1"/>
    </x:xf>
    <x:xf numFmtId="0" fontId="11" fillId="3" borderId="1" xfId="0" applyNumberFormat="1" applyFont="1" applyFill="1" applyBorder="1" applyAlignment="1">
      <x:alignment vertical="center" wrapText="1"/>
    </x:xf>
    <x:xf numFmtId="200" fontId="11" fillId="3" borderId="0" xfId="0" applyNumberFormat="1" applyFont="1" applyFill="1" applyBorder="1" applyAlignment="1">
      <x:alignment vertical="center" wrapText="1"/>
    </x:xf>
    <x:xf numFmtId="200" fontId="11" fillId="3" borderId="1" xfId="0" applyNumberFormat="1" applyFont="1" applyFill="1" applyBorder="1" applyAlignment="1">
      <x:alignment vertical="center" wrapText="1"/>
    </x:xf>
    <x:xf numFmtId="201" fontId="11" fillId="3" borderId="0" xfId="0" applyNumberFormat="1" applyFont="1" applyFill="1" applyBorder="1" applyAlignment="1">
      <x:alignment vertical="center" wrapText="1"/>
    </x:xf>
    <x:xf numFmtId="201" fontId="11" fillId="3" borderId="1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vertical="center" wrapText="1"/>
    </x:xf>
    <x:xf numFmtId="202" fontId="4" fillId="5" borderId="0" xfId="0" applyNumberFormat="1" applyFont="1" applyFill="1" applyBorder="1" applyAlignment="1">
      <x:alignment horizontal="right" vertical="center" wrapText="1"/>
    </x:xf>
    <x:xf numFmtId="202" fontId="4" fillId="5" borderId="1" xfId="0" applyNumberFormat="1" applyFont="1" applyFill="1" applyBorder="1" applyAlignment="1">
      <x:alignment vertical="center" wrapText="1"/>
    </x:xf>
    <x:xf numFmtId="202" fontId="4" fillId="5" borderId="1" xfId="0" applyNumberFormat="1" applyFont="1" applyFill="1" applyBorder="1" applyAlignment="1">
      <x:alignment horizontal="right" vertical="center" wrapText="1"/>
    </x:xf>
    <x:xf numFmtId="202" fontId="4" fillId="6" borderId="0" xfId="0" applyNumberFormat="1" applyFont="1" applyFill="1" applyBorder="1" applyAlignment="1">
      <x:alignment horizontal="right" vertical="center" wrapText="1"/>
    </x:xf>
    <x:xf numFmtId="202" fontId="11" fillId="6" borderId="0" xfId="0" applyNumberFormat="1" applyFont="1" applyFill="1" applyBorder="1" applyAlignment="1">
      <x:alignment horizontal="right" vertical="center" wrapText="1"/>
    </x:xf>
    <x:xf numFmtId="202" fontId="4" fillId="6" borderId="1" xfId="0" applyNumberFormat="1" applyFont="1" applyFill="1" applyBorder="1" applyAlignment="1">
      <x:alignment horizontal="right" vertical="center" wrapText="1"/>
    </x:xf>
    <x:xf numFmtId="202" fontId="11" fillId="6" borderId="1" xfId="0" applyNumberFormat="1" applyFont="1" applyFill="1" applyBorder="1" applyAlignment="1">
      <x:alignment horizontal="right" vertical="center" wrapText="1"/>
    </x:xf>
    <x:xf numFmtId="203" fontId="4" fillId="5" borderId="0" xfId="0" applyNumberFormat="1" applyFont="1" applyFill="1" applyBorder="1" applyAlignment="1">
      <x:alignment vertical="center" wrapText="1"/>
    </x:xf>
    <x:xf numFmtId="203" fontId="4" fillId="5" borderId="1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top"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8" fillId="2" borderId="1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8" fillId="5" borderId="0" xfId="0" applyNumberFormat="1" applyFont="1" applyFill="1" applyBorder="1" applyAlignment="1">
      <x:alignment horizontal="center" vertical="top" wrapText="1"/>
    </x:xf>
    <x:xf numFmtId="0" fontId="12" fillId="5" borderId="0" xfId="0" applyNumberFormat="1" applyFont="1" applyFill="1" applyBorder="1" applyAlignment="1">
      <x:alignment horizontal="center" vertical="top" wrapText="1"/>
    </x:xf>
    <x:xf numFmtId="0" fontId="12" fillId="5" borderId="0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center" vertical="top" wrapText="1"/>
    </x:xf>
    <x:xf numFmtId="0" fontId="12" fillId="5" borderId="1" xfId="0" applyNumberFormat="1" applyFont="1" applyFill="1" applyBorder="1" applyAlignment="1">
      <x:alignment horizontal="center" vertical="top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202" fontId="12" fillId="5" borderId="0" xfId="0" applyNumberFormat="1" applyFont="1" applyFill="1" applyBorder="1" applyAlignment="1">
      <x:alignment horizontal="center" vertical="center" wrapText="1"/>
    </x:xf>
    <x:xf numFmtId="202" fontId="12" fillId="5" borderId="1" xfId="0" applyNumberFormat="1" applyFont="1" applyFill="1" applyBorder="1" applyAlignment="1">
      <x:alignment horizontal="center" vertical="center" wrapText="1"/>
    </x:xf>
    <x:xf numFmtId="204" fontId="12" fillId="5" borderId="0" xfId="0" applyNumberFormat="1" applyFont="1" applyFill="1" applyBorder="1" applyAlignment="1">
      <x:alignment horizontal="center" vertical="center" wrapText="1"/>
    </x:xf>
    <x:xf numFmtId="204" fontId="12" fillId="5" borderId="1" xfId="0" applyNumberFormat="1" applyFont="1" applyFill="1" applyBorder="1" applyAlignment="1">
      <x:alignment horizontal="center" vertical="center" wrapText="1"/>
    </x:xf>
    <x:xf numFmtId="204" fontId="4" fillId="5" borderId="0" xfId="0" applyNumberFormat="1" applyFont="1" applyFill="1" applyBorder="1" applyAlignment="1">
      <x:alignment vertical="center" wrapText="1"/>
    </x:xf>
    <x:xf numFmtId="204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64748B"/>
      </x:font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27f544c1424f1e" /><Relationship Type="http://schemas.openxmlformats.org/officeDocument/2006/relationships/theme" Target="/xl/theme/theme1.xml" Id="R158f3c48cc8a471f" /><Relationship Type="http://schemas.openxmlformats.org/officeDocument/2006/relationships/sharedStrings" Target="/xl/sharedStrings.xml" Id="Rdcdf2ec7a2d24dce" /><Relationship Type="http://schemas.openxmlformats.org/officeDocument/2006/relationships/worksheet" Target="/xl/worksheets/sheet1.xml" Id="R765cfcb44b6949f0" /><Relationship Type="http://schemas.openxmlformats.org/officeDocument/2006/relationships/worksheet" Target="/xl/worksheets/sheet2.xml" Id="R03fefb0d98844a5e" /><Relationship Type="http://schemas.openxmlformats.org/officeDocument/2006/relationships/worksheet" Target="/xl/worksheets/sheet3.xml" Id="Ra7fbdc892fff475f" /><Relationship Type="http://schemas.openxmlformats.org/officeDocument/2006/relationships/worksheet" Target="/xl/worksheets/sheet4.xml" Id="R9a4a96e0c4d44b6d" /><Relationship Type="http://schemas.openxmlformats.org/officeDocument/2006/relationships/worksheet" Target="/xl/worksheets/sheet5.xml" Id="R1d97821fa4164848" /><Relationship Type="http://schemas.openxmlformats.org/officeDocument/2006/relationships/worksheet" Target="/xl/worksheets/sheet6.xml" Id="R91b16a3a18cc4d51" /><Relationship Type="http://schemas.openxmlformats.org/officeDocument/2006/relationships/worksheet" Target="/xl/worksheets/sheet7.xml" Id="Rdd0035393beb4c7d" /><Relationship Type="http://schemas.openxmlformats.org/officeDocument/2006/relationships/worksheet" Target="/xl/worksheets/sheet8.xml" Id="R50dbc983fcb1468d" /><Relationship Type="http://schemas.openxmlformats.org/officeDocument/2006/relationships/worksheet" Target="/xl/worksheets/sheet9.xml" Id="R1de5be2595e247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08761aa26348a7" /><Relationship Type="http://schemas.openxmlformats.org/officeDocument/2006/relationships/chart" Target="/xl/drawings/charts/chart2.xml" Id="R281416c189be4d8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Presupuesto vs Real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Ingreso ppto</c:v>
          </c:tx>
          <c:cat>
            <c:strRef>
              <c:f>'06 Dashboard'!$A$12:$A$23</c:f>
              <c:strCache>
                <c:ptCount val="0"/>
              </c:strCache>
            </c:strRef>
          </c:cat>
          <c:val>
            <c:numRef>
              <c:f>'06 Dashboard'!$B$12:$B$23</c:f>
              <c:numCache>
                <c:formatCode>$#,##0;[Red]-$#,##0</c:formatCode>
                <c:ptCount val="0"/>
              </c:numCache>
            </c:numRef>
          </c:val>
        </c:ser>
        <c:ser>
          <c:idx val="1"/>
          <c:order val="1"/>
          <c:tx>
            <c:v>Ingreso real</c:v>
          </c:tx>
          <c:cat>
            <c:strRef>
              <c:f>'06 Dashboard'!$A$12:$A$23</c:f>
              <c:strCache>
                <c:ptCount val="0"/>
              </c:strCache>
            </c:strRef>
          </c:cat>
          <c:val>
            <c:numRef>
              <c:f>'06 Dashboard'!$C$12:$C$23</c:f>
              <c:numCache>
                <c:formatCode>$#,##0;[Red]-$#,##0</c:formatCode>
                <c:ptCount val="0"/>
              </c:numCache>
            </c:numRef>
          </c:val>
        </c:ser>
        <c:ser>
          <c:idx val="2"/>
          <c:order val="2"/>
          <c:tx>
            <c:v>Gasto ppto</c:v>
          </c:tx>
          <c:cat>
            <c:strRef>
              <c:f>'06 Dashboard'!$A$12:$A$23</c:f>
              <c:strCache>
                <c:ptCount val="0"/>
              </c:strCache>
            </c:strRef>
          </c:cat>
          <c:val>
            <c:numRef>
              <c:f>'06 Dashboard'!$D$12:$D$23</c:f>
              <c:numCache>
                <c:formatCode>$#,##0;[Red]-$#,##0</c:formatCode>
                <c:ptCount val="0"/>
              </c:numCache>
            </c:numRef>
          </c:val>
        </c:ser>
        <c:ser>
          <c:idx val="3"/>
          <c:order val="3"/>
          <c:tx>
            <c:v>Gasto real</c:v>
          </c:tx>
          <c:cat>
            <c:strRef>
              <c:f>'06 Dashboard'!$A$12:$A$23</c:f>
              <c:strCache>
                <c:ptCount val="0"/>
              </c:strCache>
            </c:strRef>
          </c:cat>
          <c:val>
            <c:numRef>
              <c:f>'06 Dashboard'!$E$12:$E$23</c:f>
              <c:numCache>
                <c:formatCode>$#,##0;[Red]-$#,##0</c:formatCode>
                <c:ptCount val="0"/>
              </c:numCache>
            </c:numRef>
          </c:val>
        </c:ser>
        <c:ser>
          <c:idx val="4"/>
          <c:order val="4"/>
          <c:tx>
            <c:v>Utilidad ppto</c:v>
          </c:tx>
          <c:cat>
            <c:strRef>
              <c:f>'06 Dashboard'!$A$12:$A$23</c:f>
              <c:strCache>
                <c:ptCount val="0"/>
              </c:strCache>
            </c:strRef>
          </c:cat>
          <c:val>
            <c:numRef>
              <c:f>'06 Dashboard'!$F$12:$F$23</c:f>
              <c:numCache>
                <c:formatCode>$#,##0;[Red]-$#,##0</c:formatCode>
                <c:ptCount val="0"/>
              </c:numCache>
            </c:numRef>
          </c:val>
        </c:ser>
        <c:ser>
          <c:idx val="5"/>
          <c:order val="5"/>
          <c:tx>
            <c:v>Utilidad real</c:v>
          </c:tx>
          <c:cat>
            <c:strRef>
              <c:f>'06 Dashboard'!$A$12:$A$23</c:f>
              <c:strCache>
                <c:ptCount val="0"/>
              </c:strCache>
            </c:strRef>
          </c:cat>
          <c:val>
            <c:numRef>
              <c:f>'06 Dashboard'!$G$12:$G$23</c:f>
              <c:numCache>
                <c:formatCode>$#,##0;[Red]-$#,##0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Utilidad Mensual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08761aa26348a7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1416c189be4d8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Presupuesto" displayName="TablaPresupuesto" ref="A5:R80" headerRowCount="1">
  <x:tableColumns count="18">
    <x:tableColumn id="1" name="Tipo"/>
    <x:tableColumn id="2" name="Categoría"/>
    <x:tableColumn id="3" name="Concepto"/>
    <x:tableColumn id="4" name="Departamento"/>
    <x:tableColumn id="5" name="Enero"/>
    <x:tableColumn id="6" name="Febrero"/>
    <x:tableColumn id="7" name="Marzo"/>
    <x:tableColumn id="8" name="Abril"/>
    <x:tableColumn id="9" name="Mayo"/>
    <x:tableColumn id="10" name="Junio"/>
    <x:tableColumn id="11" name="Julio"/>
    <x:tableColumn id="12" name="Agosto"/>
    <x:tableColumn id="13" name="Septiembre"/>
    <x:tableColumn id="14" name="Octubre"/>
    <x:tableColumn id="15" name="Noviembre"/>
    <x:tableColumn id="16" name="Diciembre"/>
    <x:tableColumn id="17" name="Total anual"/>
    <x:tableColumn id="18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TablaReal" displayName="TablaReal" ref="A5:R80" headerRowCount="1">
  <x:tableColumns count="18">
    <x:tableColumn id="1" name="Tipo"/>
    <x:tableColumn id="2" name="Categoría"/>
    <x:tableColumn id="3" name="Concepto"/>
    <x:tableColumn id="4" name="Departamento"/>
    <x:tableColumn id="5" name="Enero"/>
    <x:tableColumn id="6" name="Febrero"/>
    <x:tableColumn id="7" name="Marzo"/>
    <x:tableColumn id="8" name="Abril"/>
    <x:tableColumn id="9" name="Mayo"/>
    <x:tableColumn id="10" name="Junio"/>
    <x:tableColumn id="11" name="Julio"/>
    <x:tableColumn id="12" name="Agosto"/>
    <x:tableColumn id="13" name="Septiembre"/>
    <x:tableColumn id="14" name="Octubre"/>
    <x:tableColumn id="15" name="Noviembre"/>
    <x:tableColumn id="16" name="Diciembre"/>
    <x:tableColumn id="17" name="Total anual"/>
    <x:tableColumn id="18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249e68f4fcd241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edbd95c773347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484c4eff99dc442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2" hidden="0" customWidth="1"/>
  </x:cols>
  <x:sheetData>
    <x:row r="1" ht="24" customHeight="1">
      <x:c r="A1" s="5" t="str">
        <x:v>PRESUPUESTO ANUAL PYME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5"/>
      <x:c r="B3" s="5"/>
      <x:c r="C3" s="5"/>
      <x:c r="D3" s="5"/>
      <x:c r="E3" s="5"/>
      <x:c r="F3" s="5"/>
      <x:c r="G3" s="5"/>
      <x:c r="H3" s="5"/>
    </x:row>
    <x:row r="4">
      <x:c r="A4" s="13" t="str">
        <x:v>Plantilla premium editable para planificar ingresos, gastos, utilidad y variaciones anuales.</x:v>
      </x:c>
      <x:c r="B4" s="13"/>
      <x:c r="C4" s="13"/>
      <x:c r="D4" s="13"/>
      <x:c r="E4" s="13"/>
      <x:c r="F4" s="13"/>
      <x:c r="G4" s="13"/>
      <x:c r="H4" s="13"/>
    </x:row>
    <x:row r="7">
      <x:c r="B7" s="20" t="str">
        <x:v>Objetivo</x:v>
      </x:c>
      <x:c r="C7" s="20"/>
      <x:c r="D7" s="20"/>
      <x:c r="E7" s="20"/>
      <x:c r="F7" s="20"/>
      <x:c r="G7" s="20"/>
    </x:row>
    <x:row r="8">
      <x:c r="B8" s="27" t="str">
        <x:v>Planificar ingresos y gastos por categoría, mes a mes, con datos claros para tomar decisiones.</x:v>
      </x:c>
      <x:c r="C8" s="27"/>
      <x:c r="D8" s="27"/>
      <x:c r="E8" s="27"/>
      <x:c r="F8" s="27"/>
      <x:c r="G8" s="27"/>
    </x:row>
    <x:row r="9">
      <x:c r="B9" s="27"/>
      <x:c r="C9" s="27"/>
      <x:c r="D9" s="27"/>
      <x:c r="E9" s="27"/>
      <x:c r="F9" s="27"/>
      <x:c r="G9" s="27"/>
    </x:row>
    <x:row r="11">
      <x:c r="B11" s="20" t="str">
        <x:v>Ideal para</x:v>
      </x:c>
      <x:c r="C11" s="20"/>
      <x:c r="D11" s="20"/>
      <x:c r="E11" s="20"/>
      <x:c r="F11" s="20"/>
      <x:c r="G11" s="20"/>
    </x:row>
    <x:row r="12">
      <x:c r="B12" s="27" t="str">
        <x:v>Dueños de PYME, emprendedores, administradores y equipos financieros que necesitan control anual.</x:v>
      </x:c>
      <x:c r="C12" s="27"/>
      <x:c r="D12" s="27"/>
      <x:c r="E12" s="27"/>
      <x:c r="F12" s="27"/>
      <x:c r="G12" s="27"/>
    </x:row>
    <x:row r="13">
      <x:c r="B13" s="27"/>
      <x:c r="C13" s="27"/>
      <x:c r="D13" s="27"/>
      <x:c r="E13" s="27"/>
      <x:c r="F13" s="27"/>
      <x:c r="G13" s="27"/>
    </x:row>
    <x:row r="15">
      <x:c r="B15" s="20" t="str">
        <x:v>Incluye</x:v>
      </x:c>
      <x:c r="C15" s="20"/>
      <x:c r="D15" s="20"/>
      <x:c r="E15" s="20"/>
      <x:c r="F15" s="20"/>
      <x:c r="G15" s="20"/>
    </x:row>
    <x:row r="16">
      <x:c r="B16" s="27" t="str">
        <x:v>Comparativa real vs presupuesto, gráficas automáticas, alertas y análisis de variaciones.</x:v>
      </x:c>
      <x:c r="C16" s="27"/>
      <x:c r="D16" s="27"/>
      <x:c r="E16" s="27"/>
      <x:c r="F16" s="27"/>
      <x:c r="G16" s="27"/>
    </x:row>
    <x:row r="17">
      <x:c r="B17" s="27"/>
      <x:c r="C17" s="27"/>
      <x:c r="D17" s="27"/>
      <x:c r="E17" s="27"/>
      <x:c r="F17" s="27"/>
      <x:c r="G17" s="27"/>
    </x:row>
    <x:row r="19">
      <x:c r="B19" s="20" t="str">
        <x:v>Cómo usar</x:v>
      </x:c>
      <x:c r="C19" s="20"/>
      <x:c r="D19" s="20"/>
      <x:c r="E19" s="20"/>
      <x:c r="F19" s="20"/>
      <x:c r="G19" s="20"/>
    </x:row>
    <x:row r="20">
      <x:c r="B20" s="27" t="str">
        <x:v>Configura la empresa, captura presupuesto, registra datos reales y revisa el dashboard.</x:v>
      </x:c>
      <x:c r="C20" s="27"/>
      <x:c r="D20" s="27"/>
      <x:c r="E20" s="27"/>
      <x:c r="F20" s="27"/>
      <x:c r="G20" s="27"/>
    </x:row>
    <x:row r="21">
      <x:c r="B21" s="27"/>
      <x:c r="C21" s="27"/>
      <x:c r="D21" s="27"/>
      <x:c r="E21" s="27"/>
      <x:c r="F21" s="27"/>
      <x:c r="G21" s="27"/>
    </x:row>
    <x:row r="25">
      <x:c r="A25" s="33" t="str">
        <x:v>ICADEM · Herramientas Premium para negocios</x:v>
      </x:c>
      <x:c r="B25" s="33"/>
      <x:c r="C25" s="33"/>
      <x:c r="D25" s="33"/>
      <x:c r="E25" s="33"/>
      <x:c r="F25" s="33"/>
      <x:c r="G25" s="33"/>
      <x:c r="H25" s="33"/>
    </x:row>
  </x:sheetData>
  <x:mergeCells>
    <x:mergeCell ref="A1:H3"/>
    <x:mergeCell ref="A4:H4"/>
    <x:mergeCell ref="B7:G7"/>
    <x:mergeCell ref="B8:G9"/>
    <x:mergeCell ref="B11:G11"/>
    <x:mergeCell ref="B12:G13"/>
    <x:mergeCell ref="B15:G15"/>
    <x:mergeCell ref="B16:G17"/>
    <x:mergeCell ref="B19:G19"/>
    <x:mergeCell ref="B20:G21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65" hidden="0" customWidth="1"/>
    <x:col min="4" max="4" width="36" hidden="0" customWidth="1"/>
  </x:cols>
  <x:sheetData>
    <x:row r="1" ht="24" customHeight="1">
      <x:c r="A1" s="38" t="str">
        <x:v>GUÍA DE USO</x:v>
      </x:c>
      <x:c r="B1" s="38"/>
      <x:c r="C1" s="38"/>
      <x:c r="D1" s="38"/>
      <x:c r="E1" s="38"/>
      <x:c r="F1" s="38"/>
      <x:c r="G1" s="38"/>
      <x:c r="H1" s="38"/>
    </x:row>
    <x:row r="2" ht="24" customHeight="1">
      <x:c r="A2" s="44" t="str">
        <x:v>Sigue este orden para que el archivo funcione correctamente.</x:v>
      </x:c>
      <x:c r="B2" s="44"/>
      <x:c r="C2" s="44"/>
      <x:c r="D2" s="44"/>
      <x:c r="E2" s="44"/>
      <x:c r="F2" s="44"/>
      <x:c r="G2" s="44"/>
      <x:c r="H2" s="44"/>
    </x:row>
    <x:row r="4">
      <x:c r="A4" s="50" t="str">
        <x:v>Paso</x:v>
      </x:c>
      <x:c r="B4" s="50" t="str">
        <x:v>Sección</x:v>
      </x:c>
      <x:c r="C4" s="50" t="str">
        <x:v>Qué hacer</x:v>
      </x:c>
      <x:c r="D4" s="50" t="str">
        <x:v>Resultado esperado</x:v>
      </x:c>
    </x:row>
    <x:row r="5">
      <x:c r="A5" s="56" t="str">
        <x:v>1</x:v>
      </x:c>
      <x:c r="B5" s="27" t="str">
        <x:v>Configura tu empresa</x:v>
      </x:c>
      <x:c r="C5" s="27" t="str">
        <x:v>Ve a 02 Configuración y llena empresa, año, responsable, moneda y umbrales de alerta.</x:v>
      </x:c>
      <x:c r="D5" s="27"/>
    </x:row>
    <x:row r="6">
      <x:c r="A6" s="56" t="str">
        <x:v>2</x:v>
      </x:c>
      <x:c r="B6" s="27" t="str">
        <x:v>Captura tu presupuesto</x:v>
      </x:c>
      <x:c r="C6" s="27" t="str">
        <x:v>En 03 Presupuesto registra ingresos y gastos esperados por mes y categoría.</x:v>
      </x:c>
      <x:c r="D6" s="27"/>
    </x:row>
    <x:row r="7">
      <x:c r="A7" s="56" t="str">
        <x:v>3</x:v>
      </x:c>
      <x:c r="B7" s="27" t="str">
        <x:v>Registra datos reales</x:v>
      </x:c>
      <x:c r="C7" s="27" t="str">
        <x:v>En 04 Real captura los ingresos y gastos reales conforme avance cada mes.</x:v>
      </x:c>
      <x:c r="D7" s="27"/>
    </x:row>
    <x:row r="8">
      <x:c r="A8" s="56" t="str">
        <x:v>4</x:v>
      </x:c>
      <x:c r="B8" s="27" t="str">
        <x:v>Revisa la comparación</x:v>
      </x:c>
      <x:c r="C8" s="27" t="str">
        <x:v>En 05 Comparativo analiza presupuesto vs real, variación absoluta y variación porcentual.</x:v>
      </x:c>
      <x:c r="D8" s="27"/>
    </x:row>
    <x:row r="9">
      <x:c r="A9" s="56" t="str">
        <x:v>5</x:v>
      </x:c>
      <x:c r="B9" s="27" t="str">
        <x:v>Interpreta resultados</x:v>
      </x:c>
      <x:c r="C9" s="27" t="str">
        <x:v>En 06 Dashboard revisa KPIs, gráficas y meses críticos.</x:v>
      </x:c>
      <x:c r="D9" s="27"/>
    </x:row>
    <x:row r="10">
      <x:c r="A10" s="56" t="str">
        <x:v>6</x:v>
      </x:c>
      <x:c r="B10" s="27" t="str">
        <x:v>Toma decisiones</x:v>
      </x:c>
      <x:c r="C10" s="27" t="str">
        <x:v>En 07 Variaciones identifica qué categorías se desviaron y ajusta tu plan.</x:v>
      </x:c>
      <x:c r="D10" s="27"/>
    </x:row>
    <x:row r="13">
      <x:c r="A13" s="63" t="str">
        <x:v>Código de color para el usuario</x:v>
      </x:c>
      <x:c r="B13" s="63"/>
      <x:c r="C13" s="63"/>
      <x:c r="D13" s="63"/>
    </x:row>
    <x:row r="14">
      <x:c r="A14" s="69" t="str">
        <x:v>Color azul claro</x:v>
      </x:c>
      <x:c r="B14" s="27" t="str">
        <x:v>Campos editables o de captura del usuario.</x:v>
      </x:c>
    </x:row>
    <x:row r="15">
      <x:c r="A15" s="73" t="str">
        <x:v>Color gris claro</x:v>
      </x:c>
      <x:c r="B15" s="27" t="str">
        <x:v>Campos con fórmula automática. No modificar.</x:v>
      </x:c>
    </x:row>
    <x:row r="16">
      <x:c r="A16" s="77" t="str">
        <x:v>Color verde</x:v>
      </x:c>
      <x:c r="B16" s="27" t="str">
        <x:v>Resultado positivo o dentro del rango esperado.</x:v>
      </x:c>
    </x:row>
    <x:row r="17">
      <x:c r="A17" s="81" t="str">
        <x:v>Color rojo</x:v>
      </x:c>
      <x:c r="B17" s="27" t="str">
        <x:v>Alerta, mes crítico o variación que requiere revisión.</x:v>
      </x:c>
    </x:row>
  </x:sheetData>
  <x:mergeCells>
    <x:mergeCell ref="A1:H1"/>
    <x:mergeCell ref="A2:H2"/>
    <x:mergeCell ref="A13:D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60" hidden="0" customWidth="1"/>
  </x:cols>
  <x:sheetData>
    <x:row r="1" ht="24" customHeight="1">
      <x:c r="A1" s="38" t="str">
        <x:v>CONFIGURACIÓN</x:v>
      </x:c>
      <x:c r="B1" s="38"/>
      <x:c r="C1" s="38"/>
      <x:c r="D1" s="38"/>
      <x:c r="E1" s="38"/>
      <x:c r="F1" s="38"/>
      <x:c r="G1" s="38"/>
      <x:c r="H1" s="38"/>
    </x:row>
    <x:row r="2" ht="24" customHeight="1">
      <x:c r="A2" s="44" t="str">
        <x:v>Llena estos datos antes de usar la plantilla.</x:v>
      </x:c>
      <x:c r="B2" s="44"/>
      <x:c r="C2" s="44"/>
      <x:c r="D2" s="44"/>
      <x:c r="E2" s="44"/>
      <x:c r="F2" s="44"/>
      <x:c r="G2" s="44"/>
      <x:c r="H2" s="44"/>
    </x:row>
    <x:row r="4">
      <x:c r="A4" s="50" t="str">
        <x:v>Campo</x:v>
      </x:c>
      <x:c r="B4" s="50" t="str">
        <x:v>Valor</x:v>
      </x:c>
      <x:c r="C4" s="50" t="str">
        <x:v>Descripción</x:v>
      </x:c>
    </x:row>
    <x:row r="5">
      <x:c r="A5" s="27" t="str">
        <x:v>Empresa</x:v>
      </x:c>
      <x:c r="B5" s="84" t="str">
        <x:v>Mi Empresa S.A. de C.V.</x:v>
      </x:c>
      <x:c r="C5" s="27" t="str">
        <x:v>Nombre de la empresa o negocio.</x:v>
      </x:c>
    </x:row>
    <x:row r="6">
      <x:c r="A6" s="27" t="str">
        <x:v>Año de presupuesto</x:v>
      </x:c>
      <x:c r="B6" s="86" t="n">
        <x:v>2026</x:v>
      </x:c>
      <x:c r="C6" s="27" t="str">
        <x:v>Año que se analizará.</x:v>
      </x:c>
    </x:row>
    <x:row r="7">
      <x:c r="A7" s="27" t="str">
        <x:v>Responsable</x:v>
      </x:c>
      <x:c r="B7" s="84" t="str">
        <x:v>Administración / Finanzas</x:v>
      </x:c>
      <x:c r="C7" s="27" t="str">
        <x:v>Persona o área responsable del control.</x:v>
      </x:c>
    </x:row>
    <x:row r="8">
      <x:c r="A8" s="27" t="str">
        <x:v>Moneda</x:v>
      </x:c>
      <x:c r="B8" s="84" t="str">
        <x:v>MXN</x:v>
      </x:c>
      <x:c r="C8" s="27" t="str">
        <x:v>Moneda de captura.</x:v>
      </x:c>
    </x:row>
    <x:row r="9">
      <x:c r="A9" s="27" t="str">
        <x:v>Umbral alerta variación</x:v>
      </x:c>
      <x:c r="B9" s="88" t="n">
        <x:v>0.1</x:v>
      </x:c>
      <x:c r="C9" s="27" t="str">
        <x:v>Variación % a partir de la cual se marca revisión.</x:v>
      </x:c>
    </x:row>
    <x:row r="10">
      <x:c r="A10" s="27" t="str">
        <x:v>Meta margen neto</x:v>
      </x:c>
      <x:c r="B10" s="88" t="n">
        <x:v>0.15</x:v>
      </x:c>
      <x:c r="C10" s="27" t="str">
        <x:v>Meta de utilidad neta sobre ingresos.</x:v>
      </x:c>
    </x:row>
    <x:row r="11">
      <x:c r="A11" s="27" t="str">
        <x:v>Notas</x:v>
      </x:c>
      <x:c r="B11" s="84" t="str">
        <x:v>Actualizar mensualmente</x:v>
      </x:c>
      <x:c r="C11" s="27" t="str">
        <x:v>Comentarios internos.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4" hidden="0" customWidth="1"/>
    <x:col min="18" max="18" width="28" hidden="0" customWidth="1"/>
  </x:cols>
  <x:sheetData>
    <x:row r="1" ht="34" customHeight="1">
      <x:c r="A1" s="38" t="str">
        <x:v>PRESUPUESTO ANUAL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</x:row>
    <x:row r="2" ht="24" customHeight="1">
      <x:c r="A2" s="44" t="str">
        <x:v>Captura lo que planeas ingresar y gastar por mes. Las columnas de total se calculan automáticamente.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</x:row>
    <x:row r="5">
      <x:c r="A5" s="50" t="str">
        <x:v>Tipo</x:v>
      </x:c>
      <x:c r="B5" s="50" t="str">
        <x:v>Categoría</x:v>
      </x:c>
      <x:c r="C5" s="50" t="str">
        <x:v>Concepto</x:v>
      </x:c>
      <x:c r="D5" s="50" t="str">
        <x:v>Departamento</x:v>
      </x:c>
      <x:c r="E5" s="50" t="str">
        <x:v>Enero</x:v>
      </x:c>
      <x:c r="F5" s="50" t="str">
        <x:v>Febrero</x:v>
      </x:c>
      <x:c r="G5" s="50" t="str">
        <x:v>Marzo</x:v>
      </x:c>
      <x:c r="H5" s="50" t="str">
        <x:v>Abril</x:v>
      </x:c>
      <x:c r="I5" s="50" t="str">
        <x:v>Mayo</x:v>
      </x:c>
      <x:c r="J5" s="50" t="str">
        <x:v>Junio</x:v>
      </x:c>
      <x:c r="K5" s="50" t="str">
        <x:v>Julio</x:v>
      </x:c>
      <x:c r="L5" s="50" t="str">
        <x:v>Agosto</x:v>
      </x:c>
      <x:c r="M5" s="50" t="str">
        <x:v>Septiembre</x:v>
      </x:c>
      <x:c r="N5" s="50" t="str">
        <x:v>Octubre</x:v>
      </x:c>
      <x:c r="O5" s="50" t="str">
        <x:v>Noviembre</x:v>
      </x:c>
      <x:c r="P5" s="50" t="str">
        <x:v>Diciembre</x:v>
      </x:c>
      <x:c r="Q5" s="50" t="str">
        <x:v>Total anual</x:v>
      </x:c>
      <x:c r="R5" s="50" t="str">
        <x:v>Notas</x:v>
      </x:c>
    </x:row>
    <x:row r="6">
      <x:c r="A6" s="68" t="str">
        <x:v>Ingreso</x:v>
      </x:c>
      <x:c r="B6" s="68" t="str">
        <x:v>Ventas de productos</x:v>
      </x:c>
      <x:c r="C6" s="68" t="str">
        <x:v>Ventas mensuales línea principal</x:v>
      </x:c>
      <x:c r="D6" s="68" t="str">
        <x:v>Ventas</x:v>
      </x:c>
      <x:c r="E6" s="91" t="n">
        <x:v>120000</x:v>
      </x:c>
      <x:c r="F6" s="91" t="n">
        <x:v>125000</x:v>
      </x:c>
      <x:c r="G6" s="91" t="n">
        <x:v>130000</x:v>
      </x:c>
      <x:c r="H6" s="91" t="n">
        <x:v>135000</x:v>
      </x:c>
      <x:c r="I6" s="91" t="n">
        <x:v>140000</x:v>
      </x:c>
      <x:c r="J6" s="91" t="n">
        <x:v>145000</x:v>
      </x:c>
      <x:c r="K6" s="91" t="n">
        <x:v>150000</x:v>
      </x:c>
      <x:c r="L6" s="91" t="n">
        <x:v>155000</x:v>
      </x:c>
      <x:c r="M6" s="91" t="n">
        <x:v>160000</x:v>
      </x:c>
      <x:c r="N6" s="91" t="n">
        <x:v>170000</x:v>
      </x:c>
      <x:c r="O6" s="91" t="n">
        <x:v>180000</x:v>
      </x:c>
      <x:c r="P6" s="91" t="n">
        <x:v>195000</x:v>
      </x:c>
      <x:c r="Q6" s="95" t="n">
        <x:f>SUM(E6:P6)</x:f>
        <x:v>1805000</x:v>
      </x:c>
      <x:c r="R6" s="68"/>
    </x:row>
    <x:row r="7">
      <x:c r="A7" s="68" t="str">
        <x:v>Ingreso</x:v>
      </x:c>
      <x:c r="B7" s="68" t="str">
        <x:v>Servicios</x:v>
      </x:c>
      <x:c r="C7" s="68" t="str">
        <x:v>Servicios recurrentes</x:v>
      </x:c>
      <x:c r="D7" s="68" t="str">
        <x:v>Ventas</x:v>
      </x:c>
      <x:c r="E7" s="91" t="n">
        <x:v>45000</x:v>
      </x:c>
      <x:c r="F7" s="91" t="n">
        <x:v>45000</x:v>
      </x:c>
      <x:c r="G7" s="91" t="n">
        <x:v>47000</x:v>
      </x:c>
      <x:c r="H7" s="91" t="n">
        <x:v>47000</x:v>
      </x:c>
      <x:c r="I7" s="91" t="n">
        <x:v>50000</x:v>
      </x:c>
      <x:c r="J7" s="91" t="n">
        <x:v>50000</x:v>
      </x:c>
      <x:c r="K7" s="91" t="n">
        <x:v>52000</x:v>
      </x:c>
      <x:c r="L7" s="91" t="n">
        <x:v>52000</x:v>
      </x:c>
      <x:c r="M7" s="91" t="n">
        <x:v>55000</x:v>
      </x:c>
      <x:c r="N7" s="91" t="n">
        <x:v>55000</x:v>
      </x:c>
      <x:c r="O7" s="91" t="n">
        <x:v>60000</x:v>
      </x:c>
      <x:c r="P7" s="91" t="n">
        <x:v>60000</x:v>
      </x:c>
      <x:c r="Q7" s="95" t="n">
        <x:f>SUM(E7:P7)</x:f>
        <x:v>618000</x:v>
      </x:c>
      <x:c r="R7" s="68"/>
    </x:row>
    <x:row r="8">
      <x:c r="A8" s="68" t="str">
        <x:v>Gasto</x:v>
      </x:c>
      <x:c r="B8" s="68" t="str">
        <x:v>Nómina</x:v>
      </x:c>
      <x:c r="C8" s="68" t="str">
        <x:v>Sueldos y prestaciones</x:v>
      </x:c>
      <x:c r="D8" s="68" t="str">
        <x:v>RH</x:v>
      </x:c>
      <x:c r="E8" s="91" t="n">
        <x:v>60000</x:v>
      </x:c>
      <x:c r="F8" s="91" t="n">
        <x:v>60000</x:v>
      </x:c>
      <x:c r="G8" s="91" t="n">
        <x:v>60000</x:v>
      </x:c>
      <x:c r="H8" s="91" t="n">
        <x:v>62000</x:v>
      </x:c>
      <x:c r="I8" s="91" t="n">
        <x:v>62000</x:v>
      </x:c>
      <x:c r="J8" s="91" t="n">
        <x:v>62000</x:v>
      </x:c>
      <x:c r="K8" s="91" t="n">
        <x:v>65000</x:v>
      </x:c>
      <x:c r="L8" s="91" t="n">
        <x:v>65000</x:v>
      </x:c>
      <x:c r="M8" s="91" t="n">
        <x:v>65000</x:v>
      </x:c>
      <x:c r="N8" s="91" t="n">
        <x:v>68000</x:v>
      </x:c>
      <x:c r="O8" s="91" t="n">
        <x:v>68000</x:v>
      </x:c>
      <x:c r="P8" s="91" t="n">
        <x:v>68000</x:v>
      </x:c>
      <x:c r="Q8" s="95" t="n">
        <x:f>SUM(E8:P8)</x:f>
        <x:v>765000</x:v>
      </x:c>
      <x:c r="R8" s="68"/>
    </x:row>
    <x:row r="9">
      <x:c r="A9" s="68" t="str">
        <x:v>Gasto</x:v>
      </x:c>
      <x:c r="B9" s="68" t="str">
        <x:v>Renta</x:v>
      </x:c>
      <x:c r="C9" s="68" t="str">
        <x:v>Oficina / local</x:v>
      </x:c>
      <x:c r="D9" s="68" t="str">
        <x:v>Administración</x:v>
      </x:c>
      <x:c r="E9" s="91" t="n">
        <x:v>18000</x:v>
      </x:c>
      <x:c r="F9" s="91" t="n">
        <x:v>18000</x:v>
      </x:c>
      <x:c r="G9" s="91" t="n">
        <x:v>18000</x:v>
      </x:c>
      <x:c r="H9" s="91" t="n">
        <x:v>18000</x:v>
      </x:c>
      <x:c r="I9" s="91" t="n">
        <x:v>18000</x:v>
      </x:c>
      <x:c r="J9" s="91" t="n">
        <x:v>18000</x:v>
      </x:c>
      <x:c r="K9" s="91" t="n">
        <x:v>18000</x:v>
      </x:c>
      <x:c r="L9" s="91" t="n">
        <x:v>18000</x:v>
      </x:c>
      <x:c r="M9" s="91" t="n">
        <x:v>18000</x:v>
      </x:c>
      <x:c r="N9" s="91" t="n">
        <x:v>18000</x:v>
      </x:c>
      <x:c r="O9" s="91" t="n">
        <x:v>18000</x:v>
      </x:c>
      <x:c r="P9" s="91" t="n">
        <x:v>18000</x:v>
      </x:c>
      <x:c r="Q9" s="95" t="n">
        <x:f>SUM(E9:P9)</x:f>
        <x:v>216000</x:v>
      </x:c>
      <x:c r="R9" s="68"/>
    </x:row>
    <x:row r="10">
      <x:c r="A10" s="68" t="str">
        <x:v>Gasto</x:v>
      </x:c>
      <x:c r="B10" s="68" t="str">
        <x:v>Marketing</x:v>
      </x:c>
      <x:c r="C10" s="68" t="str">
        <x:v>Campañas digitales</x:v>
      </x:c>
      <x:c r="D10" s="68" t="str">
        <x:v>Marketing</x:v>
      </x:c>
      <x:c r="E10" s="91" t="n">
        <x:v>15000</x:v>
      </x:c>
      <x:c r="F10" s="91" t="n">
        <x:v>18000</x:v>
      </x:c>
      <x:c r="G10" s="91" t="n">
        <x:v>20000</x:v>
      </x:c>
      <x:c r="H10" s="91" t="n">
        <x:v>20000</x:v>
      </x:c>
      <x:c r="I10" s="91" t="n">
        <x:v>22000</x:v>
      </x:c>
      <x:c r="J10" s="91" t="n">
        <x:v>22000</x:v>
      </x:c>
      <x:c r="K10" s="91" t="n">
        <x:v>25000</x:v>
      </x:c>
      <x:c r="L10" s="91" t="n">
        <x:v>25000</x:v>
      </x:c>
      <x:c r="M10" s="91" t="n">
        <x:v>27000</x:v>
      </x:c>
      <x:c r="N10" s="91" t="n">
        <x:v>30000</x:v>
      </x:c>
      <x:c r="O10" s="91" t="n">
        <x:v>32000</x:v>
      </x:c>
      <x:c r="P10" s="91" t="n">
        <x:v>35000</x:v>
      </x:c>
      <x:c r="Q10" s="95" t="n">
        <x:f>SUM(E10:P10)</x:f>
        <x:v>291000</x:v>
      </x:c>
      <x:c r="R10" s="68"/>
    </x:row>
    <x:row r="11">
      <x:c r="A11" s="68" t="str">
        <x:v>Gasto</x:v>
      </x:c>
      <x:c r="B11" s="68" t="str">
        <x:v>Software</x:v>
      </x:c>
      <x:c r="C11" s="68" t="str">
        <x:v>Licencias y herramientas</x:v>
      </x:c>
      <x:c r="D11" s="68" t="str">
        <x:v>Operaciones</x:v>
      </x:c>
      <x:c r="E11" s="91" t="n">
        <x:v>8000</x:v>
      </x:c>
      <x:c r="F11" s="91" t="n">
        <x:v>8000</x:v>
      </x:c>
      <x:c r="G11" s="91" t="n">
        <x:v>8000</x:v>
      </x:c>
      <x:c r="H11" s="91" t="n">
        <x:v>9000</x:v>
      </x:c>
      <x:c r="I11" s="91" t="n">
        <x:v>9000</x:v>
      </x:c>
      <x:c r="J11" s="91" t="n">
        <x:v>9000</x:v>
      </x:c>
      <x:c r="K11" s="91" t="n">
        <x:v>9500</x:v>
      </x:c>
      <x:c r="L11" s="91" t="n">
        <x:v>9500</x:v>
      </x:c>
      <x:c r="M11" s="91" t="n">
        <x:v>9500</x:v>
      </x:c>
      <x:c r="N11" s="91" t="n">
        <x:v>10000</x:v>
      </x:c>
      <x:c r="O11" s="91" t="n">
        <x:v>10000</x:v>
      </x:c>
      <x:c r="P11" s="91" t="n">
        <x:v>10000</x:v>
      </x:c>
      <x:c r="Q11" s="95" t="n">
        <x:f>SUM(E11:P11)</x:f>
        <x:v>109500</x:v>
      </x:c>
      <x:c r="R11" s="68"/>
    </x:row>
    <x:row r="12">
      <x:c r="A12" s="68"/>
      <x:c r="B12" s="68"/>
      <x:c r="C12" s="68"/>
      <x:c r="D12" s="68"/>
      <x:c r="E12" s="91"/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5" t="n">
        <x:f>SUM(E12:P12)</x:f>
        <x:v>0</x:v>
      </x:c>
      <x:c r="R12" s="68"/>
    </x:row>
    <x:row r="13">
      <x:c r="A13" s="68"/>
      <x:c r="B13" s="68"/>
      <x:c r="C13" s="68"/>
      <x:c r="D13" s="68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5" t="n">
        <x:f>SUM(E13:P13)</x:f>
        <x:v>0</x:v>
      </x:c>
      <x:c r="R13" s="68"/>
    </x:row>
    <x:row r="14">
      <x:c r="A14" s="68"/>
      <x:c r="B14" s="68"/>
      <x:c r="C14" s="68"/>
      <x:c r="D14" s="68"/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5" t="n">
        <x:f>SUM(E14:P14)</x:f>
        <x:v>0</x:v>
      </x:c>
      <x:c r="R14" s="68"/>
    </x:row>
    <x:row r="15">
      <x:c r="A15" s="68"/>
      <x:c r="B15" s="68"/>
      <x:c r="C15" s="68"/>
      <x:c r="D15" s="68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5" t="n">
        <x:f>SUM(E15:P15)</x:f>
        <x:v>0</x:v>
      </x:c>
      <x:c r="R15" s="68"/>
    </x:row>
    <x:row r="16">
      <x:c r="A16" s="68"/>
      <x:c r="B16" s="68"/>
      <x:c r="C16" s="68"/>
      <x:c r="D16" s="68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5" t="n">
        <x:f>SUM(E16:P16)</x:f>
        <x:v>0</x:v>
      </x:c>
      <x:c r="R16" s="68"/>
    </x:row>
    <x:row r="17">
      <x:c r="A17" s="68"/>
      <x:c r="B17" s="68"/>
      <x:c r="C17" s="68"/>
      <x:c r="D17" s="68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5" t="n">
        <x:f>SUM(E17:P17)</x:f>
        <x:v>0</x:v>
      </x:c>
      <x:c r="R17" s="68"/>
    </x:row>
    <x:row r="18">
      <x:c r="A18" s="68"/>
      <x:c r="B18" s="68"/>
      <x:c r="C18" s="68"/>
      <x:c r="D18" s="68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5" t="n">
        <x:f>SUM(E18:P18)</x:f>
        <x:v>0</x:v>
      </x:c>
      <x:c r="R18" s="68"/>
    </x:row>
    <x:row r="19">
      <x:c r="A19" s="68"/>
      <x:c r="B19" s="68"/>
      <x:c r="C19" s="68"/>
      <x:c r="D19" s="68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5" t="n">
        <x:f>SUM(E19:P19)</x:f>
        <x:v>0</x:v>
      </x:c>
      <x:c r="R19" s="68"/>
    </x:row>
    <x:row r="20">
      <x:c r="A20" s="68"/>
      <x:c r="B20" s="68"/>
      <x:c r="C20" s="68"/>
      <x:c r="D20" s="68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5" t="n">
        <x:f>SUM(E20:P20)</x:f>
        <x:v>0</x:v>
      </x:c>
      <x:c r="R20" s="68"/>
    </x:row>
    <x:row r="21">
      <x:c r="A21" s="68"/>
      <x:c r="B21" s="68"/>
      <x:c r="C21" s="68"/>
      <x:c r="D21" s="68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5" t="n">
        <x:f>SUM(E21:P21)</x:f>
        <x:v>0</x:v>
      </x:c>
      <x:c r="R21" s="68"/>
    </x:row>
    <x:row r="22">
      <x:c r="A22" s="68"/>
      <x:c r="B22" s="68"/>
      <x:c r="C22" s="68"/>
      <x:c r="D22" s="68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5" t="n">
        <x:f>SUM(E22:P22)</x:f>
        <x:v>0</x:v>
      </x:c>
      <x:c r="R22" s="68"/>
    </x:row>
    <x:row r="23">
      <x:c r="A23" s="68"/>
      <x:c r="B23" s="68"/>
      <x:c r="C23" s="68"/>
      <x:c r="D23" s="68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5" t="n">
        <x:f>SUM(E23:P23)</x:f>
        <x:v>0</x:v>
      </x:c>
      <x:c r="R23" s="68"/>
    </x:row>
    <x:row r="24">
      <x:c r="A24" s="68"/>
      <x:c r="B24" s="68"/>
      <x:c r="C24" s="68"/>
      <x:c r="D24" s="68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5" t="n">
        <x:f>SUM(E24:P24)</x:f>
        <x:v>0</x:v>
      </x:c>
      <x:c r="R24" s="68"/>
    </x:row>
    <x:row r="25">
      <x:c r="A25" s="68"/>
      <x:c r="B25" s="68"/>
      <x:c r="C25" s="68"/>
      <x:c r="D25" s="68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5" t="n">
        <x:f>SUM(E25:P25)</x:f>
        <x:v>0</x:v>
      </x:c>
      <x:c r="R25" s="68"/>
    </x:row>
    <x:row r="26">
      <x:c r="A26" s="68"/>
      <x:c r="B26" s="68"/>
      <x:c r="C26" s="68"/>
      <x:c r="D26" s="68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5" t="n">
        <x:f>SUM(E26:P26)</x:f>
        <x:v>0</x:v>
      </x:c>
      <x:c r="R26" s="68"/>
    </x:row>
    <x:row r="27">
      <x:c r="A27" s="68"/>
      <x:c r="B27" s="68"/>
      <x:c r="C27" s="68"/>
      <x:c r="D27" s="68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5" t="n">
        <x:f>SUM(E27:P27)</x:f>
        <x:v>0</x:v>
      </x:c>
      <x:c r="R27" s="68"/>
    </x:row>
    <x:row r="28">
      <x:c r="A28" s="68"/>
      <x:c r="B28" s="68"/>
      <x:c r="C28" s="68"/>
      <x:c r="D28" s="68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5" t="n">
        <x:f>SUM(E28:P28)</x:f>
        <x:v>0</x:v>
      </x:c>
      <x:c r="R28" s="68"/>
    </x:row>
    <x:row r="29">
      <x:c r="A29" s="68"/>
      <x:c r="B29" s="68"/>
      <x:c r="C29" s="68"/>
      <x:c r="D29" s="68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5" t="n">
        <x:f>SUM(E29:P29)</x:f>
        <x:v>0</x:v>
      </x:c>
      <x:c r="R29" s="68"/>
    </x:row>
    <x:row r="30">
      <x:c r="A30" s="68"/>
      <x:c r="B30" s="68"/>
      <x:c r="C30" s="68"/>
      <x:c r="D30" s="68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5" t="n">
        <x:f>SUM(E30:P30)</x:f>
        <x:v>0</x:v>
      </x:c>
      <x:c r="R30" s="68"/>
    </x:row>
    <x:row r="31">
      <x:c r="A31" s="68"/>
      <x:c r="B31" s="68"/>
      <x:c r="C31" s="68"/>
      <x:c r="D31" s="68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5" t="n">
        <x:f>SUM(E31:P31)</x:f>
        <x:v>0</x:v>
      </x:c>
      <x:c r="R31" s="68"/>
    </x:row>
    <x:row r="32">
      <x:c r="A32" s="68"/>
      <x:c r="B32" s="68"/>
      <x:c r="C32" s="68"/>
      <x:c r="D32" s="68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5" t="n">
        <x:f>SUM(E32:P32)</x:f>
        <x:v>0</x:v>
      </x:c>
      <x:c r="R32" s="68"/>
    </x:row>
    <x:row r="33">
      <x:c r="A33" s="68"/>
      <x:c r="B33" s="68"/>
      <x:c r="C33" s="68"/>
      <x:c r="D33" s="68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5" t="n">
        <x:f>SUM(E33:P33)</x:f>
        <x:v>0</x:v>
      </x:c>
      <x:c r="R33" s="68"/>
    </x:row>
    <x:row r="34">
      <x:c r="A34" s="68"/>
      <x:c r="B34" s="68"/>
      <x:c r="C34" s="68"/>
      <x:c r="D34" s="68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5" t="n">
        <x:f>SUM(E34:P34)</x:f>
        <x:v>0</x:v>
      </x:c>
      <x:c r="R34" s="68"/>
    </x:row>
    <x:row r="35">
      <x:c r="A35" s="68"/>
      <x:c r="B35" s="68"/>
      <x:c r="C35" s="68"/>
      <x:c r="D35" s="68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5" t="n">
        <x:f>SUM(E35:P35)</x:f>
        <x:v>0</x:v>
      </x:c>
      <x:c r="R35" s="68"/>
    </x:row>
    <x:row r="36">
      <x:c r="A36" s="68"/>
      <x:c r="B36" s="68"/>
      <x:c r="C36" s="68"/>
      <x:c r="D36" s="68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5" t="n">
        <x:f>SUM(E36:P36)</x:f>
        <x:v>0</x:v>
      </x:c>
      <x:c r="R36" s="68"/>
    </x:row>
    <x:row r="37">
      <x:c r="A37" s="68"/>
      <x:c r="B37" s="68"/>
      <x:c r="C37" s="68"/>
      <x:c r="D37" s="68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5" t="n">
        <x:f>SUM(E37:P37)</x:f>
        <x:v>0</x:v>
      </x:c>
      <x:c r="R37" s="68"/>
    </x:row>
    <x:row r="38">
      <x:c r="A38" s="68"/>
      <x:c r="B38" s="68"/>
      <x:c r="C38" s="68"/>
      <x:c r="D38" s="68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5" t="n">
        <x:f>SUM(E38:P38)</x:f>
        <x:v>0</x:v>
      </x:c>
      <x:c r="R38" s="68"/>
    </x:row>
    <x:row r="39">
      <x:c r="A39" s="68"/>
      <x:c r="B39" s="68"/>
      <x:c r="C39" s="68"/>
      <x:c r="D39" s="68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5" t="n">
        <x:f>SUM(E39:P39)</x:f>
        <x:v>0</x:v>
      </x:c>
      <x:c r="R39" s="68"/>
    </x:row>
    <x:row r="40">
      <x:c r="A40" s="68"/>
      <x:c r="B40" s="68"/>
      <x:c r="C40" s="68"/>
      <x:c r="D40" s="68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5" t="n">
        <x:f>SUM(E40:P40)</x:f>
        <x:v>0</x:v>
      </x:c>
      <x:c r="R40" s="68"/>
    </x:row>
    <x:row r="41">
      <x:c r="A41" s="68"/>
      <x:c r="B41" s="68"/>
      <x:c r="C41" s="68"/>
      <x:c r="D41" s="68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5" t="n">
        <x:f>SUM(E41:P41)</x:f>
        <x:v>0</x:v>
      </x:c>
      <x:c r="R41" s="68"/>
    </x:row>
    <x:row r="42">
      <x:c r="A42" s="68"/>
      <x:c r="B42" s="68"/>
      <x:c r="C42" s="68"/>
      <x:c r="D42" s="68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5" t="n">
        <x:f>SUM(E42:P42)</x:f>
        <x:v>0</x:v>
      </x:c>
      <x:c r="R42" s="68"/>
    </x:row>
    <x:row r="43">
      <x:c r="A43" s="68"/>
      <x:c r="B43" s="68"/>
      <x:c r="C43" s="68"/>
      <x:c r="D43" s="68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5" t="n">
        <x:f>SUM(E43:P43)</x:f>
        <x:v>0</x:v>
      </x:c>
      <x:c r="R43" s="68"/>
    </x:row>
    <x:row r="44">
      <x:c r="A44" s="68"/>
      <x:c r="B44" s="68"/>
      <x:c r="C44" s="68"/>
      <x:c r="D44" s="68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5" t="n">
        <x:f>SUM(E44:P44)</x:f>
        <x:v>0</x:v>
      </x:c>
      <x:c r="R44" s="68"/>
    </x:row>
    <x:row r="45">
      <x:c r="A45" s="68"/>
      <x:c r="B45" s="68"/>
      <x:c r="C45" s="68"/>
      <x:c r="D45" s="68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5" t="n">
        <x:f>SUM(E45:P45)</x:f>
        <x:v>0</x:v>
      </x:c>
      <x:c r="R45" s="68"/>
    </x:row>
    <x:row r="46">
      <x:c r="A46" s="68"/>
      <x:c r="B46" s="68"/>
      <x:c r="C46" s="68"/>
      <x:c r="D46" s="68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5" t="n">
        <x:f>SUM(E46:P46)</x:f>
        <x:v>0</x:v>
      </x:c>
      <x:c r="R46" s="68"/>
    </x:row>
    <x:row r="47">
      <x:c r="A47" s="68"/>
      <x:c r="B47" s="68"/>
      <x:c r="C47" s="68"/>
      <x:c r="D47" s="68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5" t="n">
        <x:f>SUM(E47:P47)</x:f>
        <x:v>0</x:v>
      </x:c>
      <x:c r="R47" s="68"/>
    </x:row>
    <x:row r="48">
      <x:c r="A48" s="68"/>
      <x:c r="B48" s="68"/>
      <x:c r="C48" s="68"/>
      <x:c r="D48" s="68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5" t="n">
        <x:f>SUM(E48:P48)</x:f>
        <x:v>0</x:v>
      </x:c>
      <x:c r="R48" s="68"/>
    </x:row>
    <x:row r="49">
      <x:c r="A49" s="68"/>
      <x:c r="B49" s="68"/>
      <x:c r="C49" s="68"/>
      <x:c r="D49" s="68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5" t="n">
        <x:f>SUM(E49:P49)</x:f>
        <x:v>0</x:v>
      </x:c>
      <x:c r="R49" s="68"/>
    </x:row>
    <x:row r="50">
      <x:c r="A50" s="68"/>
      <x:c r="B50" s="68"/>
      <x:c r="C50" s="68"/>
      <x:c r="D50" s="68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5" t="n">
        <x:f>SUM(E50:P50)</x:f>
        <x:v>0</x:v>
      </x:c>
      <x:c r="R50" s="68"/>
    </x:row>
    <x:row r="51">
      <x:c r="A51" s="68"/>
      <x:c r="B51" s="68"/>
      <x:c r="C51" s="68"/>
      <x:c r="D51" s="68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5" t="n">
        <x:f>SUM(E51:P51)</x:f>
        <x:v>0</x:v>
      </x:c>
      <x:c r="R51" s="68"/>
    </x:row>
    <x:row r="52">
      <x:c r="A52" s="68"/>
      <x:c r="B52" s="68"/>
      <x:c r="C52" s="68"/>
      <x:c r="D52" s="68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5" t="n">
        <x:f>SUM(E52:P52)</x:f>
        <x:v>0</x:v>
      </x:c>
      <x:c r="R52" s="68"/>
    </x:row>
    <x:row r="53">
      <x:c r="A53" s="68"/>
      <x:c r="B53" s="68"/>
      <x:c r="C53" s="68"/>
      <x:c r="D53" s="68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5" t="n">
        <x:f>SUM(E53:P53)</x:f>
        <x:v>0</x:v>
      </x:c>
      <x:c r="R53" s="68"/>
    </x:row>
    <x:row r="54">
      <x:c r="A54" s="68"/>
      <x:c r="B54" s="68"/>
      <x:c r="C54" s="68"/>
      <x:c r="D54" s="68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5" t="n">
        <x:f>SUM(E54:P54)</x:f>
        <x:v>0</x:v>
      </x:c>
      <x:c r="R54" s="68"/>
    </x:row>
    <x:row r="55">
      <x:c r="A55" s="68"/>
      <x:c r="B55" s="68"/>
      <x:c r="C55" s="68"/>
      <x:c r="D55" s="68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5" t="n">
        <x:f>SUM(E55:P55)</x:f>
        <x:v>0</x:v>
      </x:c>
      <x:c r="R55" s="68"/>
    </x:row>
    <x:row r="56">
      <x:c r="A56" s="68"/>
      <x:c r="B56" s="68"/>
      <x:c r="C56" s="68"/>
      <x:c r="D56" s="68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5" t="n">
        <x:f>SUM(E56:P56)</x:f>
        <x:v>0</x:v>
      </x:c>
      <x:c r="R56" s="68"/>
    </x:row>
    <x:row r="57">
      <x:c r="A57" s="68"/>
      <x:c r="B57" s="68"/>
      <x:c r="C57" s="68"/>
      <x:c r="D57" s="68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5" t="n">
        <x:f>SUM(E57:P57)</x:f>
        <x:v>0</x:v>
      </x:c>
      <x:c r="R57" s="68"/>
    </x:row>
    <x:row r="58">
      <x:c r="A58" s="68"/>
      <x:c r="B58" s="68"/>
      <x:c r="C58" s="68"/>
      <x:c r="D58" s="68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5" t="n">
        <x:f>SUM(E58:P58)</x:f>
        <x:v>0</x:v>
      </x:c>
      <x:c r="R58" s="68"/>
    </x:row>
    <x:row r="59">
      <x:c r="A59" s="68"/>
      <x:c r="B59" s="68"/>
      <x:c r="C59" s="68"/>
      <x:c r="D59" s="68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5" t="n">
        <x:f>SUM(E59:P59)</x:f>
        <x:v>0</x:v>
      </x:c>
      <x:c r="R59" s="68"/>
    </x:row>
    <x:row r="60">
      <x:c r="A60" s="68"/>
      <x:c r="B60" s="68"/>
      <x:c r="C60" s="68"/>
      <x:c r="D60" s="68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5" t="n">
        <x:f>SUM(E60:P60)</x:f>
        <x:v>0</x:v>
      </x:c>
      <x:c r="R60" s="68"/>
    </x:row>
    <x:row r="61">
      <x:c r="A61" s="68"/>
      <x:c r="B61" s="68"/>
      <x:c r="C61" s="68"/>
      <x:c r="D61" s="68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5" t="n">
        <x:f>SUM(E61:P61)</x:f>
        <x:v>0</x:v>
      </x:c>
      <x:c r="R61" s="68"/>
    </x:row>
    <x:row r="62">
      <x:c r="A62" s="68"/>
      <x:c r="B62" s="68"/>
      <x:c r="C62" s="68"/>
      <x:c r="D62" s="68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5" t="n">
        <x:f>SUM(E62:P62)</x:f>
        <x:v>0</x:v>
      </x:c>
      <x:c r="R62" s="68"/>
    </x:row>
    <x:row r="63">
      <x:c r="A63" s="68"/>
      <x:c r="B63" s="68"/>
      <x:c r="C63" s="68"/>
      <x:c r="D63" s="68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5" t="n">
        <x:f>SUM(E63:P63)</x:f>
        <x:v>0</x:v>
      </x:c>
      <x:c r="R63" s="68"/>
    </x:row>
    <x:row r="64">
      <x:c r="A64" s="68"/>
      <x:c r="B64" s="68"/>
      <x:c r="C64" s="68"/>
      <x:c r="D64" s="68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5" t="n">
        <x:f>SUM(E64:P64)</x:f>
        <x:v>0</x:v>
      </x:c>
      <x:c r="R64" s="68"/>
    </x:row>
    <x:row r="65">
      <x:c r="A65" s="68"/>
      <x:c r="B65" s="68"/>
      <x:c r="C65" s="68"/>
      <x:c r="D65" s="68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5" t="n">
        <x:f>SUM(E65:P65)</x:f>
        <x:v>0</x:v>
      </x:c>
      <x:c r="R65" s="68"/>
    </x:row>
    <x:row r="66">
      <x:c r="A66" s="68"/>
      <x:c r="B66" s="68"/>
      <x:c r="C66" s="68"/>
      <x:c r="D66" s="68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5" t="n">
        <x:f>SUM(E66:P66)</x:f>
        <x:v>0</x:v>
      </x:c>
      <x:c r="R66" s="68"/>
    </x:row>
    <x:row r="67">
      <x:c r="A67" s="68"/>
      <x:c r="B67" s="68"/>
      <x:c r="C67" s="68"/>
      <x:c r="D67" s="68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5" t="n">
        <x:f>SUM(E67:P67)</x:f>
        <x:v>0</x:v>
      </x:c>
      <x:c r="R67" s="68"/>
    </x:row>
    <x:row r="68">
      <x:c r="A68" s="68"/>
      <x:c r="B68" s="68"/>
      <x:c r="C68" s="68"/>
      <x:c r="D68" s="68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5" t="n">
        <x:f>SUM(E68:P68)</x:f>
        <x:v>0</x:v>
      </x:c>
      <x:c r="R68" s="68"/>
    </x:row>
    <x:row r="69">
      <x:c r="A69" s="68"/>
      <x:c r="B69" s="68"/>
      <x:c r="C69" s="68"/>
      <x:c r="D69" s="68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5" t="n">
        <x:f>SUM(E69:P69)</x:f>
        <x:v>0</x:v>
      </x:c>
      <x:c r="R69" s="68"/>
    </x:row>
    <x:row r="70">
      <x:c r="A70" s="68"/>
      <x:c r="B70" s="68"/>
      <x:c r="C70" s="68"/>
      <x:c r="D70" s="68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5" t="n">
        <x:f>SUM(E70:P70)</x:f>
        <x:v>0</x:v>
      </x:c>
      <x:c r="R70" s="68"/>
    </x:row>
    <x:row r="71">
      <x:c r="A71" s="68"/>
      <x:c r="B71" s="68"/>
      <x:c r="C71" s="68"/>
      <x:c r="D71" s="68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5" t="n">
        <x:f>SUM(E71:P71)</x:f>
        <x:v>0</x:v>
      </x:c>
      <x:c r="R71" s="68"/>
    </x:row>
    <x:row r="72">
      <x:c r="A72" s="68"/>
      <x:c r="B72" s="68"/>
      <x:c r="C72" s="68"/>
      <x:c r="D72" s="68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5" t="n">
        <x:f>SUM(E72:P72)</x:f>
        <x:v>0</x:v>
      </x:c>
      <x:c r="R72" s="68"/>
    </x:row>
    <x:row r="73">
      <x:c r="A73" s="68"/>
      <x:c r="B73" s="68"/>
      <x:c r="C73" s="68"/>
      <x:c r="D73" s="68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5" t="n">
        <x:f>SUM(E73:P73)</x:f>
        <x:v>0</x:v>
      </x:c>
      <x:c r="R73" s="68"/>
    </x:row>
    <x:row r="74">
      <x:c r="A74" s="68"/>
      <x:c r="B74" s="68"/>
      <x:c r="C74" s="68"/>
      <x:c r="D74" s="68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5" t="n">
        <x:f>SUM(E74:P74)</x:f>
        <x:v>0</x:v>
      </x:c>
      <x:c r="R74" s="68"/>
    </x:row>
    <x:row r="75">
      <x:c r="A75" s="68"/>
      <x:c r="B75" s="68"/>
      <x:c r="C75" s="68"/>
      <x:c r="D75" s="68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5" t="n">
        <x:f>SUM(E75:P75)</x:f>
        <x:v>0</x:v>
      </x:c>
      <x:c r="R75" s="68"/>
    </x:row>
    <x:row r="76">
      <x:c r="A76" s="68"/>
      <x:c r="B76" s="68"/>
      <x:c r="C76" s="68"/>
      <x:c r="D76" s="68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5" t="n">
        <x:f>SUM(E76:P76)</x:f>
        <x:v>0</x:v>
      </x:c>
      <x:c r="R76" s="68"/>
    </x:row>
    <x:row r="77">
      <x:c r="A77" s="68"/>
      <x:c r="B77" s="68"/>
      <x:c r="C77" s="68"/>
      <x:c r="D77" s="68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5" t="n">
        <x:f>SUM(E77:P77)</x:f>
        <x:v>0</x:v>
      </x:c>
      <x:c r="R77" s="68"/>
    </x:row>
    <x:row r="78">
      <x:c r="A78" s="68"/>
      <x:c r="B78" s="68"/>
      <x:c r="C78" s="68"/>
      <x:c r="D78" s="68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5" t="n">
        <x:f>SUM(E78:P78)</x:f>
        <x:v>0</x:v>
      </x:c>
      <x:c r="R78" s="68"/>
    </x:row>
    <x:row r="79">
      <x:c r="A79" s="68"/>
      <x:c r="B79" s="68"/>
      <x:c r="C79" s="68"/>
      <x:c r="D79" s="68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5" t="n">
        <x:f>SUM(E79:P79)</x:f>
        <x:v>0</x:v>
      </x:c>
      <x:c r="R79" s="68"/>
    </x:row>
    <x:row r="80">
      <x:c r="A80" s="68"/>
      <x:c r="B80" s="68"/>
      <x:c r="C80" s="68"/>
      <x:c r="D80" s="68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5" t="n">
        <x:f>SUM(E80:P80)</x:f>
        <x:v>0</x:v>
      </x:c>
      <x:c r="R80" s="68"/>
    </x:row>
  </x:sheetData>
  <x:mergeCells>
    <x:mergeCell ref="A1:R1"/>
    <x:mergeCell ref="A2:R2"/>
  </x:mergeCells>
  <x:dataValidations count="3">
    <x:dataValidation type="list" sqref="A6:A80">
      <x:formula1>'08 Catálogos'!$A$5:$A$6</x:formula1>
    </x:dataValidation>
    <x:dataValidation type="list" sqref="B6:B80">
      <x:formula1>'08 Catálogos'!$K$5:$K$21</x:formula1>
    </x:dataValidation>
    <x:dataValidation type="list" sqref="D6:D80">
      <x:formula1>'08 Catálogos'!$G$5:$G$12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49e68f4fcd2418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30" hidden="0" customWidth="1"/>
    <x:col min="4" max="4" width="2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4" hidden="0" customWidth="1"/>
    <x:col min="18" max="18" width="28" hidden="0" customWidth="1"/>
  </x:cols>
  <x:sheetData>
    <x:row r="1" ht="34" customHeight="1">
      <x:c r="A1" s="38" t="str">
        <x:v>REAL EJECUTADO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  <x:c r="Q1" s="38"/>
      <x:c r="R1" s="38"/>
    </x:row>
    <x:row r="2" ht="24" customHeight="1">
      <x:c r="A2" s="44" t="str">
        <x:v>Registra los ingresos y gastos reales por mes. El comparativo y dashboard se actualizan automáticamente.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</x:row>
    <x:row r="5">
      <x:c r="A5" s="50" t="str">
        <x:v>Tipo</x:v>
      </x:c>
      <x:c r="B5" s="50" t="str">
        <x:v>Categoría</x:v>
      </x:c>
      <x:c r="C5" s="50" t="str">
        <x:v>Concepto</x:v>
      </x:c>
      <x:c r="D5" s="50" t="str">
        <x:v>Departamento</x:v>
      </x:c>
      <x:c r="E5" s="50" t="str">
        <x:v>Enero</x:v>
      </x:c>
      <x:c r="F5" s="50" t="str">
        <x:v>Febrero</x:v>
      </x:c>
      <x:c r="G5" s="50" t="str">
        <x:v>Marzo</x:v>
      </x:c>
      <x:c r="H5" s="50" t="str">
        <x:v>Abril</x:v>
      </x:c>
      <x:c r="I5" s="50" t="str">
        <x:v>Mayo</x:v>
      </x:c>
      <x:c r="J5" s="50" t="str">
        <x:v>Junio</x:v>
      </x:c>
      <x:c r="K5" s="50" t="str">
        <x:v>Julio</x:v>
      </x:c>
      <x:c r="L5" s="50" t="str">
        <x:v>Agosto</x:v>
      </x:c>
      <x:c r="M5" s="50" t="str">
        <x:v>Septiembre</x:v>
      </x:c>
      <x:c r="N5" s="50" t="str">
        <x:v>Octubre</x:v>
      </x:c>
      <x:c r="O5" s="50" t="str">
        <x:v>Noviembre</x:v>
      </x:c>
      <x:c r="P5" s="50" t="str">
        <x:v>Diciembre</x:v>
      </x:c>
      <x:c r="Q5" s="50" t="str">
        <x:v>Total anual</x:v>
      </x:c>
      <x:c r="R5" s="50" t="str">
        <x:v>Notas</x:v>
      </x:c>
    </x:row>
    <x:row r="6">
      <x:c r="A6" s="68" t="str">
        <x:v>Ingreso</x:v>
      </x:c>
      <x:c r="B6" s="68" t="str">
        <x:v>Ventas de productos</x:v>
      </x:c>
      <x:c r="C6" s="68" t="str">
        <x:v>Ventas mensuales línea principal</x:v>
      </x:c>
      <x:c r="D6" s="68" t="str">
        <x:v>Ventas</x:v>
      </x:c>
      <x:c r="E6" s="91" t="n">
        <x:v>118000</x:v>
      </x:c>
      <x:c r="F6" s="91" t="n">
        <x:v>128000</x:v>
      </x:c>
      <x:c r="G6" s="91" t="n">
        <x:v>132000</x:v>
      </x:c>
      <x:c r="H6" s="91" t="n">
        <x:v>129000</x:v>
      </x:c>
      <x:c r="I6" s="91" t="n">
        <x:v>0</x:v>
      </x:c>
      <x:c r="J6" s="91" t="n">
        <x:v>0</x:v>
      </x:c>
      <x:c r="K6" s="91" t="n">
        <x:v>0</x:v>
      </x:c>
      <x:c r="L6" s="91" t="n">
        <x:v>0</x:v>
      </x:c>
      <x:c r="M6" s="91" t="n">
        <x:v>0</x:v>
      </x:c>
      <x:c r="N6" s="91" t="n">
        <x:v>0</x:v>
      </x:c>
      <x:c r="O6" s="91" t="n">
        <x:v>0</x:v>
      </x:c>
      <x:c r="P6" s="91" t="n">
        <x:v>0</x:v>
      </x:c>
      <x:c r="Q6" s="95" t="n">
        <x:f>SUM(E6:P6)</x:f>
        <x:v>507000</x:v>
      </x:c>
      <x:c r="R6" s="68"/>
    </x:row>
    <x:row r="7">
      <x:c r="A7" s="68" t="str">
        <x:v>Ingreso</x:v>
      </x:c>
      <x:c r="B7" s="68" t="str">
        <x:v>Servicios</x:v>
      </x:c>
      <x:c r="C7" s="68" t="str">
        <x:v>Servicios recurrentes</x:v>
      </x:c>
      <x:c r="D7" s="68" t="str">
        <x:v>Ventas</x:v>
      </x:c>
      <x:c r="E7" s="91" t="n">
        <x:v>45000</x:v>
      </x:c>
      <x:c r="F7" s="91" t="n">
        <x:v>46000</x:v>
      </x:c>
      <x:c r="G7" s="91" t="n">
        <x:v>47500</x:v>
      </x:c>
      <x:c r="H7" s="91" t="n">
        <x:v>48000</x:v>
      </x:c>
      <x:c r="I7" s="91" t="n">
        <x:v>0</x:v>
      </x:c>
      <x:c r="J7" s="91" t="n">
        <x:v>0</x:v>
      </x:c>
      <x:c r="K7" s="91" t="n">
        <x:v>0</x:v>
      </x:c>
      <x:c r="L7" s="91" t="n">
        <x:v>0</x:v>
      </x:c>
      <x:c r="M7" s="91" t="n">
        <x:v>0</x:v>
      </x:c>
      <x:c r="N7" s="91" t="n">
        <x:v>0</x:v>
      </x:c>
      <x:c r="O7" s="91" t="n">
        <x:v>0</x:v>
      </x:c>
      <x:c r="P7" s="91" t="n">
        <x:v>0</x:v>
      </x:c>
      <x:c r="Q7" s="95" t="n">
        <x:f>SUM(E7:P7)</x:f>
        <x:v>186500</x:v>
      </x:c>
      <x:c r="R7" s="68"/>
    </x:row>
    <x:row r="8">
      <x:c r="A8" s="68" t="str">
        <x:v>Gasto</x:v>
      </x:c>
      <x:c r="B8" s="68" t="str">
        <x:v>Nómina</x:v>
      </x:c>
      <x:c r="C8" s="68" t="str">
        <x:v>Sueldos y prestaciones</x:v>
      </x:c>
      <x:c r="D8" s="68" t="str">
        <x:v>RH</x:v>
      </x:c>
      <x:c r="E8" s="91" t="n">
        <x:v>60000</x:v>
      </x:c>
      <x:c r="F8" s="91" t="n">
        <x:v>60000</x:v>
      </x:c>
      <x:c r="G8" s="91" t="n">
        <x:v>60000</x:v>
      </x:c>
      <x:c r="H8" s="91" t="n">
        <x:v>62000</x:v>
      </x:c>
      <x:c r="I8" s="91" t="n">
        <x:v>0</x:v>
      </x:c>
      <x:c r="J8" s="91" t="n">
        <x:v>0</x:v>
      </x:c>
      <x:c r="K8" s="91" t="n">
        <x:v>0</x:v>
      </x:c>
      <x:c r="L8" s="91" t="n">
        <x:v>0</x:v>
      </x:c>
      <x:c r="M8" s="91" t="n">
        <x:v>0</x:v>
      </x:c>
      <x:c r="N8" s="91" t="n">
        <x:v>0</x:v>
      </x:c>
      <x:c r="O8" s="91" t="n">
        <x:v>0</x:v>
      </x:c>
      <x:c r="P8" s="91" t="n">
        <x:v>0</x:v>
      </x:c>
      <x:c r="Q8" s="95" t="n">
        <x:f>SUM(E8:P8)</x:f>
        <x:v>242000</x:v>
      </x:c>
      <x:c r="R8" s="68"/>
    </x:row>
    <x:row r="9">
      <x:c r="A9" s="68" t="str">
        <x:v>Gasto</x:v>
      </x:c>
      <x:c r="B9" s="68" t="str">
        <x:v>Renta</x:v>
      </x:c>
      <x:c r="C9" s="68" t="str">
        <x:v>Oficina / local</x:v>
      </x:c>
      <x:c r="D9" s="68" t="str">
        <x:v>Administración</x:v>
      </x:c>
      <x:c r="E9" s="91" t="n">
        <x:v>18000</x:v>
      </x:c>
      <x:c r="F9" s="91" t="n">
        <x:v>18000</x:v>
      </x:c>
      <x:c r="G9" s="91" t="n">
        <x:v>18000</x:v>
      </x:c>
      <x:c r="H9" s="91" t="n">
        <x:v>18000</x:v>
      </x:c>
      <x:c r="I9" s="91" t="n">
        <x:v>0</x:v>
      </x:c>
      <x:c r="J9" s="91" t="n">
        <x:v>0</x:v>
      </x:c>
      <x:c r="K9" s="91" t="n">
        <x:v>0</x:v>
      </x:c>
      <x:c r="L9" s="91" t="n">
        <x:v>0</x:v>
      </x:c>
      <x:c r="M9" s="91" t="n">
        <x:v>0</x:v>
      </x:c>
      <x:c r="N9" s="91" t="n">
        <x:v>0</x:v>
      </x:c>
      <x:c r="O9" s="91" t="n">
        <x:v>0</x:v>
      </x:c>
      <x:c r="P9" s="91" t="n">
        <x:v>0</x:v>
      </x:c>
      <x:c r="Q9" s="95" t="n">
        <x:f>SUM(E9:P9)</x:f>
        <x:v>72000</x:v>
      </x:c>
      <x:c r="R9" s="68"/>
    </x:row>
    <x:row r="10">
      <x:c r="A10" s="68" t="str">
        <x:v>Gasto</x:v>
      </x:c>
      <x:c r="B10" s="68" t="str">
        <x:v>Marketing</x:v>
      </x:c>
      <x:c r="C10" s="68" t="str">
        <x:v>Campañas digitales</x:v>
      </x:c>
      <x:c r="D10" s="68" t="str">
        <x:v>Marketing</x:v>
      </x:c>
      <x:c r="E10" s="91" t="n">
        <x:v>16000</x:v>
      </x:c>
      <x:c r="F10" s="91" t="n">
        <x:v>17500</x:v>
      </x:c>
      <x:c r="G10" s="91" t="n">
        <x:v>22500</x:v>
      </x:c>
      <x:c r="H10" s="91" t="n">
        <x:v>21000</x:v>
      </x:c>
      <x:c r="I10" s="91" t="n">
        <x:v>0</x:v>
      </x:c>
      <x:c r="J10" s="91" t="n">
        <x:v>0</x:v>
      </x:c>
      <x:c r="K10" s="91" t="n">
        <x:v>0</x:v>
      </x:c>
      <x:c r="L10" s="91" t="n">
        <x:v>0</x:v>
      </x:c>
      <x:c r="M10" s="91" t="n">
        <x:v>0</x:v>
      </x:c>
      <x:c r="N10" s="91" t="n">
        <x:v>0</x:v>
      </x:c>
      <x:c r="O10" s="91" t="n">
        <x:v>0</x:v>
      </x:c>
      <x:c r="P10" s="91" t="n">
        <x:v>0</x:v>
      </x:c>
      <x:c r="Q10" s="95" t="n">
        <x:f>SUM(E10:P10)</x:f>
        <x:v>77000</x:v>
      </x:c>
      <x:c r="R10" s="68"/>
    </x:row>
    <x:row r="11">
      <x:c r="A11" s="68" t="str">
        <x:v>Gasto</x:v>
      </x:c>
      <x:c r="B11" s="68" t="str">
        <x:v>Software</x:v>
      </x:c>
      <x:c r="C11" s="68" t="str">
        <x:v>Licencias y herramientas</x:v>
      </x:c>
      <x:c r="D11" s="68" t="str">
        <x:v>Operaciones</x:v>
      </x:c>
      <x:c r="E11" s="91" t="n">
        <x:v>8200</x:v>
      </x:c>
      <x:c r="F11" s="91" t="n">
        <x:v>8000</x:v>
      </x:c>
      <x:c r="G11" s="91" t="n">
        <x:v>8300</x:v>
      </x:c>
      <x:c r="H11" s="91" t="n">
        <x:v>9000</x:v>
      </x:c>
      <x:c r="I11" s="91" t="n">
        <x:v>0</x:v>
      </x:c>
      <x:c r="J11" s="91" t="n">
        <x:v>0</x:v>
      </x:c>
      <x:c r="K11" s="91" t="n">
        <x:v>0</x:v>
      </x:c>
      <x:c r="L11" s="91" t="n">
        <x:v>0</x:v>
      </x:c>
      <x:c r="M11" s="91" t="n">
        <x:v>0</x:v>
      </x:c>
      <x:c r="N11" s="91" t="n">
        <x:v>0</x:v>
      </x:c>
      <x:c r="O11" s="91" t="n">
        <x:v>0</x:v>
      </x:c>
      <x:c r="P11" s="91" t="n">
        <x:v>0</x:v>
      </x:c>
      <x:c r="Q11" s="95" t="n">
        <x:f>SUM(E11:P11)</x:f>
        <x:v>33500</x:v>
      </x:c>
      <x:c r="R11" s="68"/>
    </x:row>
    <x:row r="12">
      <x:c r="A12" s="68"/>
      <x:c r="B12" s="68"/>
      <x:c r="C12" s="68"/>
      <x:c r="D12" s="68"/>
      <x:c r="E12" s="91"/>
      <x:c r="F12" s="91"/>
      <x:c r="G12" s="91"/>
      <x:c r="H12" s="91"/>
      <x:c r="I12" s="91"/>
      <x:c r="J12" s="91"/>
      <x:c r="K12" s="91"/>
      <x:c r="L12" s="91"/>
      <x:c r="M12" s="91"/>
      <x:c r="N12" s="91"/>
      <x:c r="O12" s="91"/>
      <x:c r="P12" s="91"/>
      <x:c r="Q12" s="95" t="n">
        <x:f>SUM(E12:P12)</x:f>
        <x:v>0</x:v>
      </x:c>
      <x:c r="R12" s="68"/>
    </x:row>
    <x:row r="13">
      <x:c r="A13" s="68"/>
      <x:c r="B13" s="68"/>
      <x:c r="C13" s="68"/>
      <x:c r="D13" s="68"/>
      <x:c r="E13" s="91"/>
      <x:c r="F13" s="91"/>
      <x:c r="G13" s="91"/>
      <x:c r="H13" s="91"/>
      <x:c r="I13" s="91"/>
      <x:c r="J13" s="91"/>
      <x:c r="K13" s="91"/>
      <x:c r="L13" s="91"/>
      <x:c r="M13" s="91"/>
      <x:c r="N13" s="91"/>
      <x:c r="O13" s="91"/>
      <x:c r="P13" s="91"/>
      <x:c r="Q13" s="95" t="n">
        <x:f>SUM(E13:P13)</x:f>
        <x:v>0</x:v>
      </x:c>
      <x:c r="R13" s="68"/>
    </x:row>
    <x:row r="14">
      <x:c r="A14" s="68"/>
      <x:c r="B14" s="68"/>
      <x:c r="C14" s="68"/>
      <x:c r="D14" s="68"/>
      <x:c r="E14" s="91"/>
      <x:c r="F14" s="91"/>
      <x:c r="G14" s="91"/>
      <x:c r="H14" s="91"/>
      <x:c r="I14" s="91"/>
      <x:c r="J14" s="91"/>
      <x:c r="K14" s="91"/>
      <x:c r="L14" s="91"/>
      <x:c r="M14" s="91"/>
      <x:c r="N14" s="91"/>
      <x:c r="O14" s="91"/>
      <x:c r="P14" s="91"/>
      <x:c r="Q14" s="95" t="n">
        <x:f>SUM(E14:P14)</x:f>
        <x:v>0</x:v>
      </x:c>
      <x:c r="R14" s="68"/>
    </x:row>
    <x:row r="15">
      <x:c r="A15" s="68"/>
      <x:c r="B15" s="68"/>
      <x:c r="C15" s="68"/>
      <x:c r="D15" s="68"/>
      <x:c r="E15" s="91"/>
      <x:c r="F15" s="91"/>
      <x:c r="G15" s="91"/>
      <x:c r="H15" s="91"/>
      <x:c r="I15" s="91"/>
      <x:c r="J15" s="91"/>
      <x:c r="K15" s="91"/>
      <x:c r="L15" s="91"/>
      <x:c r="M15" s="91"/>
      <x:c r="N15" s="91"/>
      <x:c r="O15" s="91"/>
      <x:c r="P15" s="91"/>
      <x:c r="Q15" s="95" t="n">
        <x:f>SUM(E15:P15)</x:f>
        <x:v>0</x:v>
      </x:c>
      <x:c r="R15" s="68"/>
    </x:row>
    <x:row r="16">
      <x:c r="A16" s="68"/>
      <x:c r="B16" s="68"/>
      <x:c r="C16" s="68"/>
      <x:c r="D16" s="68"/>
      <x:c r="E16" s="91"/>
      <x:c r="F16" s="91"/>
      <x:c r="G16" s="91"/>
      <x:c r="H16" s="91"/>
      <x:c r="I16" s="91"/>
      <x:c r="J16" s="91"/>
      <x:c r="K16" s="91"/>
      <x:c r="L16" s="91"/>
      <x:c r="M16" s="91"/>
      <x:c r="N16" s="91"/>
      <x:c r="O16" s="91"/>
      <x:c r="P16" s="91"/>
      <x:c r="Q16" s="95" t="n">
        <x:f>SUM(E16:P16)</x:f>
        <x:v>0</x:v>
      </x:c>
      <x:c r="R16" s="68"/>
    </x:row>
    <x:row r="17">
      <x:c r="A17" s="68"/>
      <x:c r="B17" s="68"/>
      <x:c r="C17" s="68"/>
      <x:c r="D17" s="68"/>
      <x:c r="E17" s="91"/>
      <x:c r="F17" s="91"/>
      <x:c r="G17" s="91"/>
      <x:c r="H17" s="91"/>
      <x:c r="I17" s="91"/>
      <x:c r="J17" s="91"/>
      <x:c r="K17" s="91"/>
      <x:c r="L17" s="91"/>
      <x:c r="M17" s="91"/>
      <x:c r="N17" s="91"/>
      <x:c r="O17" s="91"/>
      <x:c r="P17" s="91"/>
      <x:c r="Q17" s="95" t="n">
        <x:f>SUM(E17:P17)</x:f>
        <x:v>0</x:v>
      </x:c>
      <x:c r="R17" s="68"/>
    </x:row>
    <x:row r="18">
      <x:c r="A18" s="68"/>
      <x:c r="B18" s="68"/>
      <x:c r="C18" s="68"/>
      <x:c r="D18" s="68"/>
      <x:c r="E18" s="91"/>
      <x:c r="F18" s="91"/>
      <x:c r="G18" s="91"/>
      <x:c r="H18" s="91"/>
      <x:c r="I18" s="91"/>
      <x:c r="J18" s="91"/>
      <x:c r="K18" s="91"/>
      <x:c r="L18" s="91"/>
      <x:c r="M18" s="91"/>
      <x:c r="N18" s="91"/>
      <x:c r="O18" s="91"/>
      <x:c r="P18" s="91"/>
      <x:c r="Q18" s="95" t="n">
        <x:f>SUM(E18:P18)</x:f>
        <x:v>0</x:v>
      </x:c>
      <x:c r="R18" s="68"/>
    </x:row>
    <x:row r="19">
      <x:c r="A19" s="68"/>
      <x:c r="B19" s="68"/>
      <x:c r="C19" s="68"/>
      <x:c r="D19" s="68"/>
      <x:c r="E19" s="91"/>
      <x:c r="F19" s="91"/>
      <x:c r="G19" s="91"/>
      <x:c r="H19" s="91"/>
      <x:c r="I19" s="91"/>
      <x:c r="J19" s="91"/>
      <x:c r="K19" s="91"/>
      <x:c r="L19" s="91"/>
      <x:c r="M19" s="91"/>
      <x:c r="N19" s="91"/>
      <x:c r="O19" s="91"/>
      <x:c r="P19" s="91"/>
      <x:c r="Q19" s="95" t="n">
        <x:f>SUM(E19:P19)</x:f>
        <x:v>0</x:v>
      </x:c>
      <x:c r="R19" s="68"/>
    </x:row>
    <x:row r="20">
      <x:c r="A20" s="68"/>
      <x:c r="B20" s="68"/>
      <x:c r="C20" s="68"/>
      <x:c r="D20" s="68"/>
      <x:c r="E20" s="91"/>
      <x:c r="F20" s="91"/>
      <x:c r="G20" s="91"/>
      <x:c r="H20" s="91"/>
      <x:c r="I20" s="91"/>
      <x:c r="J20" s="91"/>
      <x:c r="K20" s="91"/>
      <x:c r="L20" s="91"/>
      <x:c r="M20" s="91"/>
      <x:c r="N20" s="91"/>
      <x:c r="O20" s="91"/>
      <x:c r="P20" s="91"/>
      <x:c r="Q20" s="95" t="n">
        <x:f>SUM(E20:P20)</x:f>
        <x:v>0</x:v>
      </x:c>
      <x:c r="R20" s="68"/>
    </x:row>
    <x:row r="21">
      <x:c r="A21" s="68"/>
      <x:c r="B21" s="68"/>
      <x:c r="C21" s="68"/>
      <x:c r="D21" s="68"/>
      <x:c r="E21" s="91"/>
      <x:c r="F21" s="91"/>
      <x:c r="G21" s="91"/>
      <x:c r="H21" s="91"/>
      <x:c r="I21" s="91"/>
      <x:c r="J21" s="91"/>
      <x:c r="K21" s="91"/>
      <x:c r="L21" s="91"/>
      <x:c r="M21" s="91"/>
      <x:c r="N21" s="91"/>
      <x:c r="O21" s="91"/>
      <x:c r="P21" s="91"/>
      <x:c r="Q21" s="95" t="n">
        <x:f>SUM(E21:P21)</x:f>
        <x:v>0</x:v>
      </x:c>
      <x:c r="R21" s="68"/>
    </x:row>
    <x:row r="22">
      <x:c r="A22" s="68"/>
      <x:c r="B22" s="68"/>
      <x:c r="C22" s="68"/>
      <x:c r="D22" s="68"/>
      <x:c r="E22" s="91"/>
      <x:c r="F22" s="91"/>
      <x:c r="G22" s="91"/>
      <x:c r="H22" s="91"/>
      <x:c r="I22" s="91"/>
      <x:c r="J22" s="91"/>
      <x:c r="K22" s="91"/>
      <x:c r="L22" s="91"/>
      <x:c r="M22" s="91"/>
      <x:c r="N22" s="91"/>
      <x:c r="O22" s="91"/>
      <x:c r="P22" s="91"/>
      <x:c r="Q22" s="95" t="n">
        <x:f>SUM(E22:P22)</x:f>
        <x:v>0</x:v>
      </x:c>
      <x:c r="R22" s="68"/>
    </x:row>
    <x:row r="23">
      <x:c r="A23" s="68"/>
      <x:c r="B23" s="68"/>
      <x:c r="C23" s="68"/>
      <x:c r="D23" s="68"/>
      <x:c r="E23" s="91"/>
      <x:c r="F23" s="91"/>
      <x:c r="G23" s="91"/>
      <x:c r="H23" s="91"/>
      <x:c r="I23" s="91"/>
      <x:c r="J23" s="91"/>
      <x:c r="K23" s="91"/>
      <x:c r="L23" s="91"/>
      <x:c r="M23" s="91"/>
      <x:c r="N23" s="91"/>
      <x:c r="O23" s="91"/>
      <x:c r="P23" s="91"/>
      <x:c r="Q23" s="95" t="n">
        <x:f>SUM(E23:P23)</x:f>
        <x:v>0</x:v>
      </x:c>
      <x:c r="R23" s="68"/>
    </x:row>
    <x:row r="24">
      <x:c r="A24" s="68"/>
      <x:c r="B24" s="68"/>
      <x:c r="C24" s="68"/>
      <x:c r="D24" s="68"/>
      <x:c r="E24" s="91"/>
      <x:c r="F24" s="91"/>
      <x:c r="G24" s="91"/>
      <x:c r="H24" s="91"/>
      <x:c r="I24" s="91"/>
      <x:c r="J24" s="91"/>
      <x:c r="K24" s="91"/>
      <x:c r="L24" s="91"/>
      <x:c r="M24" s="91"/>
      <x:c r="N24" s="91"/>
      <x:c r="O24" s="91"/>
      <x:c r="P24" s="91"/>
      <x:c r="Q24" s="95" t="n">
        <x:f>SUM(E24:P24)</x:f>
        <x:v>0</x:v>
      </x:c>
      <x:c r="R24" s="68"/>
    </x:row>
    <x:row r="25">
      <x:c r="A25" s="68"/>
      <x:c r="B25" s="68"/>
      <x:c r="C25" s="68"/>
      <x:c r="D25" s="68"/>
      <x:c r="E25" s="91"/>
      <x:c r="F25" s="91"/>
      <x:c r="G25" s="91"/>
      <x:c r="H25" s="91"/>
      <x:c r="I25" s="91"/>
      <x:c r="J25" s="91"/>
      <x:c r="K25" s="91"/>
      <x:c r="L25" s="91"/>
      <x:c r="M25" s="91"/>
      <x:c r="N25" s="91"/>
      <x:c r="O25" s="91"/>
      <x:c r="P25" s="91"/>
      <x:c r="Q25" s="95" t="n">
        <x:f>SUM(E25:P25)</x:f>
        <x:v>0</x:v>
      </x:c>
      <x:c r="R25" s="68"/>
    </x:row>
    <x:row r="26">
      <x:c r="A26" s="68"/>
      <x:c r="B26" s="68"/>
      <x:c r="C26" s="68"/>
      <x:c r="D26" s="68"/>
      <x:c r="E26" s="91"/>
      <x:c r="F26" s="91"/>
      <x:c r="G26" s="91"/>
      <x:c r="H26" s="91"/>
      <x:c r="I26" s="91"/>
      <x:c r="J26" s="91"/>
      <x:c r="K26" s="91"/>
      <x:c r="L26" s="91"/>
      <x:c r="M26" s="91"/>
      <x:c r="N26" s="91"/>
      <x:c r="O26" s="91"/>
      <x:c r="P26" s="91"/>
      <x:c r="Q26" s="95" t="n">
        <x:f>SUM(E26:P26)</x:f>
        <x:v>0</x:v>
      </x:c>
      <x:c r="R26" s="68"/>
    </x:row>
    <x:row r="27">
      <x:c r="A27" s="68"/>
      <x:c r="B27" s="68"/>
      <x:c r="C27" s="68"/>
      <x:c r="D27" s="68"/>
      <x:c r="E27" s="91"/>
      <x:c r="F27" s="91"/>
      <x:c r="G27" s="91"/>
      <x:c r="H27" s="91"/>
      <x:c r="I27" s="91"/>
      <x:c r="J27" s="91"/>
      <x:c r="K27" s="91"/>
      <x:c r="L27" s="91"/>
      <x:c r="M27" s="91"/>
      <x:c r="N27" s="91"/>
      <x:c r="O27" s="91"/>
      <x:c r="P27" s="91"/>
      <x:c r="Q27" s="95" t="n">
        <x:f>SUM(E27:P27)</x:f>
        <x:v>0</x:v>
      </x:c>
      <x:c r="R27" s="68"/>
    </x:row>
    <x:row r="28">
      <x:c r="A28" s="68"/>
      <x:c r="B28" s="68"/>
      <x:c r="C28" s="68"/>
      <x:c r="D28" s="68"/>
      <x:c r="E28" s="91"/>
      <x:c r="F28" s="91"/>
      <x:c r="G28" s="91"/>
      <x:c r="H28" s="91"/>
      <x:c r="I28" s="91"/>
      <x:c r="J28" s="91"/>
      <x:c r="K28" s="91"/>
      <x:c r="L28" s="91"/>
      <x:c r="M28" s="91"/>
      <x:c r="N28" s="91"/>
      <x:c r="O28" s="91"/>
      <x:c r="P28" s="91"/>
      <x:c r="Q28" s="95" t="n">
        <x:f>SUM(E28:P28)</x:f>
        <x:v>0</x:v>
      </x:c>
      <x:c r="R28" s="68"/>
    </x:row>
    <x:row r="29">
      <x:c r="A29" s="68"/>
      <x:c r="B29" s="68"/>
      <x:c r="C29" s="68"/>
      <x:c r="D29" s="68"/>
      <x:c r="E29" s="91"/>
      <x:c r="F29" s="91"/>
      <x:c r="G29" s="91"/>
      <x:c r="H29" s="91"/>
      <x:c r="I29" s="91"/>
      <x:c r="J29" s="91"/>
      <x:c r="K29" s="91"/>
      <x:c r="L29" s="91"/>
      <x:c r="M29" s="91"/>
      <x:c r="N29" s="91"/>
      <x:c r="O29" s="91"/>
      <x:c r="P29" s="91"/>
      <x:c r="Q29" s="95" t="n">
        <x:f>SUM(E29:P29)</x:f>
        <x:v>0</x:v>
      </x:c>
      <x:c r="R29" s="68"/>
    </x:row>
    <x:row r="30">
      <x:c r="A30" s="68"/>
      <x:c r="B30" s="68"/>
      <x:c r="C30" s="68"/>
      <x:c r="D30" s="68"/>
      <x:c r="E30" s="91"/>
      <x:c r="F30" s="91"/>
      <x:c r="G30" s="91"/>
      <x:c r="H30" s="91"/>
      <x:c r="I30" s="91"/>
      <x:c r="J30" s="91"/>
      <x:c r="K30" s="91"/>
      <x:c r="L30" s="91"/>
      <x:c r="M30" s="91"/>
      <x:c r="N30" s="91"/>
      <x:c r="O30" s="91"/>
      <x:c r="P30" s="91"/>
      <x:c r="Q30" s="95" t="n">
        <x:f>SUM(E30:P30)</x:f>
        <x:v>0</x:v>
      </x:c>
      <x:c r="R30" s="68"/>
    </x:row>
    <x:row r="31">
      <x:c r="A31" s="68"/>
      <x:c r="B31" s="68"/>
      <x:c r="C31" s="68"/>
      <x:c r="D31" s="68"/>
      <x:c r="E31" s="91"/>
      <x:c r="F31" s="91"/>
      <x:c r="G31" s="91"/>
      <x:c r="H31" s="91"/>
      <x:c r="I31" s="91"/>
      <x:c r="J31" s="91"/>
      <x:c r="K31" s="91"/>
      <x:c r="L31" s="91"/>
      <x:c r="M31" s="91"/>
      <x:c r="N31" s="91"/>
      <x:c r="O31" s="91"/>
      <x:c r="P31" s="91"/>
      <x:c r="Q31" s="95" t="n">
        <x:f>SUM(E31:P31)</x:f>
        <x:v>0</x:v>
      </x:c>
      <x:c r="R31" s="68"/>
    </x:row>
    <x:row r="32">
      <x:c r="A32" s="68"/>
      <x:c r="B32" s="68"/>
      <x:c r="C32" s="68"/>
      <x:c r="D32" s="68"/>
      <x:c r="E32" s="91"/>
      <x:c r="F32" s="91"/>
      <x:c r="G32" s="91"/>
      <x:c r="H32" s="91"/>
      <x:c r="I32" s="91"/>
      <x:c r="J32" s="91"/>
      <x:c r="K32" s="91"/>
      <x:c r="L32" s="91"/>
      <x:c r="M32" s="91"/>
      <x:c r="N32" s="91"/>
      <x:c r="O32" s="91"/>
      <x:c r="P32" s="91"/>
      <x:c r="Q32" s="95" t="n">
        <x:f>SUM(E32:P32)</x:f>
        <x:v>0</x:v>
      </x:c>
      <x:c r="R32" s="68"/>
    </x:row>
    <x:row r="33">
      <x:c r="A33" s="68"/>
      <x:c r="B33" s="68"/>
      <x:c r="C33" s="68"/>
      <x:c r="D33" s="68"/>
      <x:c r="E33" s="91"/>
      <x:c r="F33" s="91"/>
      <x:c r="G33" s="91"/>
      <x:c r="H33" s="91"/>
      <x:c r="I33" s="91"/>
      <x:c r="J33" s="91"/>
      <x:c r="K33" s="91"/>
      <x:c r="L33" s="91"/>
      <x:c r="M33" s="91"/>
      <x:c r="N33" s="91"/>
      <x:c r="O33" s="91"/>
      <x:c r="P33" s="91"/>
      <x:c r="Q33" s="95" t="n">
        <x:f>SUM(E33:P33)</x:f>
        <x:v>0</x:v>
      </x:c>
      <x:c r="R33" s="68"/>
    </x:row>
    <x:row r="34">
      <x:c r="A34" s="68"/>
      <x:c r="B34" s="68"/>
      <x:c r="C34" s="68"/>
      <x:c r="D34" s="68"/>
      <x:c r="E34" s="91"/>
      <x:c r="F34" s="91"/>
      <x:c r="G34" s="91"/>
      <x:c r="H34" s="91"/>
      <x:c r="I34" s="91"/>
      <x:c r="J34" s="91"/>
      <x:c r="K34" s="91"/>
      <x:c r="L34" s="91"/>
      <x:c r="M34" s="91"/>
      <x:c r="N34" s="91"/>
      <x:c r="O34" s="91"/>
      <x:c r="P34" s="91"/>
      <x:c r="Q34" s="95" t="n">
        <x:f>SUM(E34:P34)</x:f>
        <x:v>0</x:v>
      </x:c>
      <x:c r="R34" s="68"/>
    </x:row>
    <x:row r="35">
      <x:c r="A35" s="68"/>
      <x:c r="B35" s="68"/>
      <x:c r="C35" s="68"/>
      <x:c r="D35" s="68"/>
      <x:c r="E35" s="91"/>
      <x:c r="F35" s="91"/>
      <x:c r="G35" s="91"/>
      <x:c r="H35" s="91"/>
      <x:c r="I35" s="91"/>
      <x:c r="J35" s="91"/>
      <x:c r="K35" s="91"/>
      <x:c r="L35" s="91"/>
      <x:c r="M35" s="91"/>
      <x:c r="N35" s="91"/>
      <x:c r="O35" s="91"/>
      <x:c r="P35" s="91"/>
      <x:c r="Q35" s="95" t="n">
        <x:f>SUM(E35:P35)</x:f>
        <x:v>0</x:v>
      </x:c>
      <x:c r="R35" s="68"/>
    </x:row>
    <x:row r="36">
      <x:c r="A36" s="68"/>
      <x:c r="B36" s="68"/>
      <x:c r="C36" s="68"/>
      <x:c r="D36" s="68"/>
      <x:c r="E36" s="91"/>
      <x:c r="F36" s="91"/>
      <x:c r="G36" s="91"/>
      <x:c r="H36" s="91"/>
      <x:c r="I36" s="91"/>
      <x:c r="J36" s="91"/>
      <x:c r="K36" s="91"/>
      <x:c r="L36" s="91"/>
      <x:c r="M36" s="91"/>
      <x:c r="N36" s="91"/>
      <x:c r="O36" s="91"/>
      <x:c r="P36" s="91"/>
      <x:c r="Q36" s="95" t="n">
        <x:f>SUM(E36:P36)</x:f>
        <x:v>0</x:v>
      </x:c>
      <x:c r="R36" s="68"/>
    </x:row>
    <x:row r="37">
      <x:c r="A37" s="68"/>
      <x:c r="B37" s="68"/>
      <x:c r="C37" s="68"/>
      <x:c r="D37" s="68"/>
      <x:c r="E37" s="91"/>
      <x:c r="F37" s="91"/>
      <x:c r="G37" s="91"/>
      <x:c r="H37" s="91"/>
      <x:c r="I37" s="91"/>
      <x:c r="J37" s="91"/>
      <x:c r="K37" s="91"/>
      <x:c r="L37" s="91"/>
      <x:c r="M37" s="91"/>
      <x:c r="N37" s="91"/>
      <x:c r="O37" s="91"/>
      <x:c r="P37" s="91"/>
      <x:c r="Q37" s="95" t="n">
        <x:f>SUM(E37:P37)</x:f>
        <x:v>0</x:v>
      </x:c>
      <x:c r="R37" s="68"/>
    </x:row>
    <x:row r="38">
      <x:c r="A38" s="68"/>
      <x:c r="B38" s="68"/>
      <x:c r="C38" s="68"/>
      <x:c r="D38" s="68"/>
      <x:c r="E38" s="91"/>
      <x:c r="F38" s="91"/>
      <x:c r="G38" s="91"/>
      <x:c r="H38" s="91"/>
      <x:c r="I38" s="91"/>
      <x:c r="J38" s="91"/>
      <x:c r="K38" s="91"/>
      <x:c r="L38" s="91"/>
      <x:c r="M38" s="91"/>
      <x:c r="N38" s="91"/>
      <x:c r="O38" s="91"/>
      <x:c r="P38" s="91"/>
      <x:c r="Q38" s="95" t="n">
        <x:f>SUM(E38:P38)</x:f>
        <x:v>0</x:v>
      </x:c>
      <x:c r="R38" s="68"/>
    </x:row>
    <x:row r="39">
      <x:c r="A39" s="68"/>
      <x:c r="B39" s="68"/>
      <x:c r="C39" s="68"/>
      <x:c r="D39" s="68"/>
      <x:c r="E39" s="91"/>
      <x:c r="F39" s="91"/>
      <x:c r="G39" s="91"/>
      <x:c r="H39" s="91"/>
      <x:c r="I39" s="91"/>
      <x:c r="J39" s="91"/>
      <x:c r="K39" s="91"/>
      <x:c r="L39" s="91"/>
      <x:c r="M39" s="91"/>
      <x:c r="N39" s="91"/>
      <x:c r="O39" s="91"/>
      <x:c r="P39" s="91"/>
      <x:c r="Q39" s="95" t="n">
        <x:f>SUM(E39:P39)</x:f>
        <x:v>0</x:v>
      </x:c>
      <x:c r="R39" s="68"/>
    </x:row>
    <x:row r="40">
      <x:c r="A40" s="68"/>
      <x:c r="B40" s="68"/>
      <x:c r="C40" s="68"/>
      <x:c r="D40" s="68"/>
      <x:c r="E40" s="91"/>
      <x:c r="F40" s="91"/>
      <x:c r="G40" s="91"/>
      <x:c r="H40" s="91"/>
      <x:c r="I40" s="91"/>
      <x:c r="J40" s="91"/>
      <x:c r="K40" s="91"/>
      <x:c r="L40" s="91"/>
      <x:c r="M40" s="91"/>
      <x:c r="N40" s="91"/>
      <x:c r="O40" s="91"/>
      <x:c r="P40" s="91"/>
      <x:c r="Q40" s="95" t="n">
        <x:f>SUM(E40:P40)</x:f>
        <x:v>0</x:v>
      </x:c>
      <x:c r="R40" s="68"/>
    </x:row>
    <x:row r="41">
      <x:c r="A41" s="68"/>
      <x:c r="B41" s="68"/>
      <x:c r="C41" s="68"/>
      <x:c r="D41" s="68"/>
      <x:c r="E41" s="91"/>
      <x:c r="F41" s="91"/>
      <x:c r="G41" s="91"/>
      <x:c r="H41" s="91"/>
      <x:c r="I41" s="91"/>
      <x:c r="J41" s="91"/>
      <x:c r="K41" s="91"/>
      <x:c r="L41" s="91"/>
      <x:c r="M41" s="91"/>
      <x:c r="N41" s="91"/>
      <x:c r="O41" s="91"/>
      <x:c r="P41" s="91"/>
      <x:c r="Q41" s="95" t="n">
        <x:f>SUM(E41:P41)</x:f>
        <x:v>0</x:v>
      </x:c>
      <x:c r="R41" s="68"/>
    </x:row>
    <x:row r="42">
      <x:c r="A42" s="68"/>
      <x:c r="B42" s="68"/>
      <x:c r="C42" s="68"/>
      <x:c r="D42" s="68"/>
      <x:c r="E42" s="91"/>
      <x:c r="F42" s="91"/>
      <x:c r="G42" s="91"/>
      <x:c r="H42" s="91"/>
      <x:c r="I42" s="91"/>
      <x:c r="J42" s="91"/>
      <x:c r="K42" s="91"/>
      <x:c r="L42" s="91"/>
      <x:c r="M42" s="91"/>
      <x:c r="N42" s="91"/>
      <x:c r="O42" s="91"/>
      <x:c r="P42" s="91"/>
      <x:c r="Q42" s="95" t="n">
        <x:f>SUM(E42:P42)</x:f>
        <x:v>0</x:v>
      </x:c>
      <x:c r="R42" s="68"/>
    </x:row>
    <x:row r="43">
      <x:c r="A43" s="68"/>
      <x:c r="B43" s="68"/>
      <x:c r="C43" s="68"/>
      <x:c r="D43" s="68"/>
      <x:c r="E43" s="91"/>
      <x:c r="F43" s="91"/>
      <x:c r="G43" s="91"/>
      <x:c r="H43" s="91"/>
      <x:c r="I43" s="91"/>
      <x:c r="J43" s="91"/>
      <x:c r="K43" s="91"/>
      <x:c r="L43" s="91"/>
      <x:c r="M43" s="91"/>
      <x:c r="N43" s="91"/>
      <x:c r="O43" s="91"/>
      <x:c r="P43" s="91"/>
      <x:c r="Q43" s="95" t="n">
        <x:f>SUM(E43:P43)</x:f>
        <x:v>0</x:v>
      </x:c>
      <x:c r="R43" s="68"/>
    </x:row>
    <x:row r="44">
      <x:c r="A44" s="68"/>
      <x:c r="B44" s="68"/>
      <x:c r="C44" s="68"/>
      <x:c r="D44" s="68"/>
      <x:c r="E44" s="91"/>
      <x:c r="F44" s="91"/>
      <x:c r="G44" s="91"/>
      <x:c r="H44" s="91"/>
      <x:c r="I44" s="91"/>
      <x:c r="J44" s="91"/>
      <x:c r="K44" s="91"/>
      <x:c r="L44" s="91"/>
      <x:c r="M44" s="91"/>
      <x:c r="N44" s="91"/>
      <x:c r="O44" s="91"/>
      <x:c r="P44" s="91"/>
      <x:c r="Q44" s="95" t="n">
        <x:f>SUM(E44:P44)</x:f>
        <x:v>0</x:v>
      </x:c>
      <x:c r="R44" s="68"/>
    </x:row>
    <x:row r="45">
      <x:c r="A45" s="68"/>
      <x:c r="B45" s="68"/>
      <x:c r="C45" s="68"/>
      <x:c r="D45" s="68"/>
      <x:c r="E45" s="91"/>
      <x:c r="F45" s="91"/>
      <x:c r="G45" s="91"/>
      <x:c r="H45" s="91"/>
      <x:c r="I45" s="91"/>
      <x:c r="J45" s="91"/>
      <x:c r="K45" s="91"/>
      <x:c r="L45" s="91"/>
      <x:c r="M45" s="91"/>
      <x:c r="N45" s="91"/>
      <x:c r="O45" s="91"/>
      <x:c r="P45" s="91"/>
      <x:c r="Q45" s="95" t="n">
        <x:f>SUM(E45:P45)</x:f>
        <x:v>0</x:v>
      </x:c>
      <x:c r="R45" s="68"/>
    </x:row>
    <x:row r="46">
      <x:c r="A46" s="68"/>
      <x:c r="B46" s="68"/>
      <x:c r="C46" s="68"/>
      <x:c r="D46" s="68"/>
      <x:c r="E46" s="91"/>
      <x:c r="F46" s="91"/>
      <x:c r="G46" s="91"/>
      <x:c r="H46" s="91"/>
      <x:c r="I46" s="91"/>
      <x:c r="J46" s="91"/>
      <x:c r="K46" s="91"/>
      <x:c r="L46" s="91"/>
      <x:c r="M46" s="91"/>
      <x:c r="N46" s="91"/>
      <x:c r="O46" s="91"/>
      <x:c r="P46" s="91"/>
      <x:c r="Q46" s="95" t="n">
        <x:f>SUM(E46:P46)</x:f>
        <x:v>0</x:v>
      </x:c>
      <x:c r="R46" s="68"/>
    </x:row>
    <x:row r="47">
      <x:c r="A47" s="68"/>
      <x:c r="B47" s="68"/>
      <x:c r="C47" s="68"/>
      <x:c r="D47" s="68"/>
      <x:c r="E47" s="91"/>
      <x:c r="F47" s="91"/>
      <x:c r="G47" s="91"/>
      <x:c r="H47" s="91"/>
      <x:c r="I47" s="91"/>
      <x:c r="J47" s="91"/>
      <x:c r="K47" s="91"/>
      <x:c r="L47" s="91"/>
      <x:c r="M47" s="91"/>
      <x:c r="N47" s="91"/>
      <x:c r="O47" s="91"/>
      <x:c r="P47" s="91"/>
      <x:c r="Q47" s="95" t="n">
        <x:f>SUM(E47:P47)</x:f>
        <x:v>0</x:v>
      </x:c>
      <x:c r="R47" s="68"/>
    </x:row>
    <x:row r="48">
      <x:c r="A48" s="68"/>
      <x:c r="B48" s="68"/>
      <x:c r="C48" s="68"/>
      <x:c r="D48" s="68"/>
      <x:c r="E48" s="91"/>
      <x:c r="F48" s="91"/>
      <x:c r="G48" s="91"/>
      <x:c r="H48" s="91"/>
      <x:c r="I48" s="91"/>
      <x:c r="J48" s="91"/>
      <x:c r="K48" s="91"/>
      <x:c r="L48" s="91"/>
      <x:c r="M48" s="91"/>
      <x:c r="N48" s="91"/>
      <x:c r="O48" s="91"/>
      <x:c r="P48" s="91"/>
      <x:c r="Q48" s="95" t="n">
        <x:f>SUM(E48:P48)</x:f>
        <x:v>0</x:v>
      </x:c>
      <x:c r="R48" s="68"/>
    </x:row>
    <x:row r="49">
      <x:c r="A49" s="68"/>
      <x:c r="B49" s="68"/>
      <x:c r="C49" s="68"/>
      <x:c r="D49" s="68"/>
      <x:c r="E49" s="91"/>
      <x:c r="F49" s="91"/>
      <x:c r="G49" s="91"/>
      <x:c r="H49" s="91"/>
      <x:c r="I49" s="91"/>
      <x:c r="J49" s="91"/>
      <x:c r="K49" s="91"/>
      <x:c r="L49" s="91"/>
      <x:c r="M49" s="91"/>
      <x:c r="N49" s="91"/>
      <x:c r="O49" s="91"/>
      <x:c r="P49" s="91"/>
      <x:c r="Q49" s="95" t="n">
        <x:f>SUM(E49:P49)</x:f>
        <x:v>0</x:v>
      </x:c>
      <x:c r="R49" s="68"/>
    </x:row>
    <x:row r="50">
      <x:c r="A50" s="68"/>
      <x:c r="B50" s="68"/>
      <x:c r="C50" s="68"/>
      <x:c r="D50" s="68"/>
      <x:c r="E50" s="91"/>
      <x:c r="F50" s="91"/>
      <x:c r="G50" s="91"/>
      <x:c r="H50" s="91"/>
      <x:c r="I50" s="91"/>
      <x:c r="J50" s="91"/>
      <x:c r="K50" s="91"/>
      <x:c r="L50" s="91"/>
      <x:c r="M50" s="91"/>
      <x:c r="N50" s="91"/>
      <x:c r="O50" s="91"/>
      <x:c r="P50" s="91"/>
      <x:c r="Q50" s="95" t="n">
        <x:f>SUM(E50:P50)</x:f>
        <x:v>0</x:v>
      </x:c>
      <x:c r="R50" s="68"/>
    </x:row>
    <x:row r="51">
      <x:c r="A51" s="68"/>
      <x:c r="B51" s="68"/>
      <x:c r="C51" s="68"/>
      <x:c r="D51" s="68"/>
      <x:c r="E51" s="91"/>
      <x:c r="F51" s="91"/>
      <x:c r="G51" s="91"/>
      <x:c r="H51" s="91"/>
      <x:c r="I51" s="91"/>
      <x:c r="J51" s="91"/>
      <x:c r="K51" s="91"/>
      <x:c r="L51" s="91"/>
      <x:c r="M51" s="91"/>
      <x:c r="N51" s="91"/>
      <x:c r="O51" s="91"/>
      <x:c r="P51" s="91"/>
      <x:c r="Q51" s="95" t="n">
        <x:f>SUM(E51:P51)</x:f>
        <x:v>0</x:v>
      </x:c>
      <x:c r="R51" s="68"/>
    </x:row>
    <x:row r="52">
      <x:c r="A52" s="68"/>
      <x:c r="B52" s="68"/>
      <x:c r="C52" s="68"/>
      <x:c r="D52" s="68"/>
      <x:c r="E52" s="91"/>
      <x:c r="F52" s="91"/>
      <x:c r="G52" s="91"/>
      <x:c r="H52" s="91"/>
      <x:c r="I52" s="91"/>
      <x:c r="J52" s="91"/>
      <x:c r="K52" s="91"/>
      <x:c r="L52" s="91"/>
      <x:c r="M52" s="91"/>
      <x:c r="N52" s="91"/>
      <x:c r="O52" s="91"/>
      <x:c r="P52" s="91"/>
      <x:c r="Q52" s="95" t="n">
        <x:f>SUM(E52:P52)</x:f>
        <x:v>0</x:v>
      </x:c>
      <x:c r="R52" s="68"/>
    </x:row>
    <x:row r="53">
      <x:c r="A53" s="68"/>
      <x:c r="B53" s="68"/>
      <x:c r="C53" s="68"/>
      <x:c r="D53" s="68"/>
      <x:c r="E53" s="91"/>
      <x:c r="F53" s="91"/>
      <x:c r="G53" s="91"/>
      <x:c r="H53" s="91"/>
      <x:c r="I53" s="91"/>
      <x:c r="J53" s="91"/>
      <x:c r="K53" s="91"/>
      <x:c r="L53" s="91"/>
      <x:c r="M53" s="91"/>
      <x:c r="N53" s="91"/>
      <x:c r="O53" s="91"/>
      <x:c r="P53" s="91"/>
      <x:c r="Q53" s="95" t="n">
        <x:f>SUM(E53:P53)</x:f>
        <x:v>0</x:v>
      </x:c>
      <x:c r="R53" s="68"/>
    </x:row>
    <x:row r="54">
      <x:c r="A54" s="68"/>
      <x:c r="B54" s="68"/>
      <x:c r="C54" s="68"/>
      <x:c r="D54" s="68"/>
      <x:c r="E54" s="91"/>
      <x:c r="F54" s="91"/>
      <x:c r="G54" s="91"/>
      <x:c r="H54" s="91"/>
      <x:c r="I54" s="91"/>
      <x:c r="J54" s="91"/>
      <x:c r="K54" s="91"/>
      <x:c r="L54" s="91"/>
      <x:c r="M54" s="91"/>
      <x:c r="N54" s="91"/>
      <x:c r="O54" s="91"/>
      <x:c r="P54" s="91"/>
      <x:c r="Q54" s="95" t="n">
        <x:f>SUM(E54:P54)</x:f>
        <x:v>0</x:v>
      </x:c>
      <x:c r="R54" s="68"/>
    </x:row>
    <x:row r="55">
      <x:c r="A55" s="68"/>
      <x:c r="B55" s="68"/>
      <x:c r="C55" s="68"/>
      <x:c r="D55" s="68"/>
      <x:c r="E55" s="91"/>
      <x:c r="F55" s="91"/>
      <x:c r="G55" s="91"/>
      <x:c r="H55" s="91"/>
      <x:c r="I55" s="91"/>
      <x:c r="J55" s="91"/>
      <x:c r="K55" s="91"/>
      <x:c r="L55" s="91"/>
      <x:c r="M55" s="91"/>
      <x:c r="N55" s="91"/>
      <x:c r="O55" s="91"/>
      <x:c r="P55" s="91"/>
      <x:c r="Q55" s="95" t="n">
        <x:f>SUM(E55:P55)</x:f>
        <x:v>0</x:v>
      </x:c>
      <x:c r="R55" s="68"/>
    </x:row>
    <x:row r="56">
      <x:c r="A56" s="68"/>
      <x:c r="B56" s="68"/>
      <x:c r="C56" s="68"/>
      <x:c r="D56" s="68"/>
      <x:c r="E56" s="91"/>
      <x:c r="F56" s="91"/>
      <x:c r="G56" s="91"/>
      <x:c r="H56" s="91"/>
      <x:c r="I56" s="91"/>
      <x:c r="J56" s="91"/>
      <x:c r="K56" s="91"/>
      <x:c r="L56" s="91"/>
      <x:c r="M56" s="91"/>
      <x:c r="N56" s="91"/>
      <x:c r="O56" s="91"/>
      <x:c r="P56" s="91"/>
      <x:c r="Q56" s="95" t="n">
        <x:f>SUM(E56:P56)</x:f>
        <x:v>0</x:v>
      </x:c>
      <x:c r="R56" s="68"/>
    </x:row>
    <x:row r="57">
      <x:c r="A57" s="68"/>
      <x:c r="B57" s="68"/>
      <x:c r="C57" s="68"/>
      <x:c r="D57" s="68"/>
      <x:c r="E57" s="91"/>
      <x:c r="F57" s="91"/>
      <x:c r="G57" s="91"/>
      <x:c r="H57" s="91"/>
      <x:c r="I57" s="91"/>
      <x:c r="J57" s="91"/>
      <x:c r="K57" s="91"/>
      <x:c r="L57" s="91"/>
      <x:c r="M57" s="91"/>
      <x:c r="N57" s="91"/>
      <x:c r="O57" s="91"/>
      <x:c r="P57" s="91"/>
      <x:c r="Q57" s="95" t="n">
        <x:f>SUM(E57:P57)</x:f>
        <x:v>0</x:v>
      </x:c>
      <x:c r="R57" s="68"/>
    </x:row>
    <x:row r="58">
      <x:c r="A58" s="68"/>
      <x:c r="B58" s="68"/>
      <x:c r="C58" s="68"/>
      <x:c r="D58" s="68"/>
      <x:c r="E58" s="91"/>
      <x:c r="F58" s="91"/>
      <x:c r="G58" s="91"/>
      <x:c r="H58" s="91"/>
      <x:c r="I58" s="91"/>
      <x:c r="J58" s="91"/>
      <x:c r="K58" s="91"/>
      <x:c r="L58" s="91"/>
      <x:c r="M58" s="91"/>
      <x:c r="N58" s="91"/>
      <x:c r="O58" s="91"/>
      <x:c r="P58" s="91"/>
      <x:c r="Q58" s="95" t="n">
        <x:f>SUM(E58:P58)</x:f>
        <x:v>0</x:v>
      </x:c>
      <x:c r="R58" s="68"/>
    </x:row>
    <x:row r="59">
      <x:c r="A59" s="68"/>
      <x:c r="B59" s="68"/>
      <x:c r="C59" s="68"/>
      <x:c r="D59" s="68"/>
      <x:c r="E59" s="91"/>
      <x:c r="F59" s="91"/>
      <x:c r="G59" s="91"/>
      <x:c r="H59" s="91"/>
      <x:c r="I59" s="91"/>
      <x:c r="J59" s="91"/>
      <x:c r="K59" s="91"/>
      <x:c r="L59" s="91"/>
      <x:c r="M59" s="91"/>
      <x:c r="N59" s="91"/>
      <x:c r="O59" s="91"/>
      <x:c r="P59" s="91"/>
      <x:c r="Q59" s="95" t="n">
        <x:f>SUM(E59:P59)</x:f>
        <x:v>0</x:v>
      </x:c>
      <x:c r="R59" s="68"/>
    </x:row>
    <x:row r="60">
      <x:c r="A60" s="68"/>
      <x:c r="B60" s="68"/>
      <x:c r="C60" s="68"/>
      <x:c r="D60" s="68"/>
      <x:c r="E60" s="91"/>
      <x:c r="F60" s="91"/>
      <x:c r="G60" s="91"/>
      <x:c r="H60" s="91"/>
      <x:c r="I60" s="91"/>
      <x:c r="J60" s="91"/>
      <x:c r="K60" s="91"/>
      <x:c r="L60" s="91"/>
      <x:c r="M60" s="91"/>
      <x:c r="N60" s="91"/>
      <x:c r="O60" s="91"/>
      <x:c r="P60" s="91"/>
      <x:c r="Q60" s="95" t="n">
        <x:f>SUM(E60:P60)</x:f>
        <x:v>0</x:v>
      </x:c>
      <x:c r="R60" s="68"/>
    </x:row>
    <x:row r="61">
      <x:c r="A61" s="68"/>
      <x:c r="B61" s="68"/>
      <x:c r="C61" s="68"/>
      <x:c r="D61" s="68"/>
      <x:c r="E61" s="91"/>
      <x:c r="F61" s="91"/>
      <x:c r="G61" s="91"/>
      <x:c r="H61" s="91"/>
      <x:c r="I61" s="91"/>
      <x:c r="J61" s="91"/>
      <x:c r="K61" s="91"/>
      <x:c r="L61" s="91"/>
      <x:c r="M61" s="91"/>
      <x:c r="N61" s="91"/>
      <x:c r="O61" s="91"/>
      <x:c r="P61" s="91"/>
      <x:c r="Q61" s="95" t="n">
        <x:f>SUM(E61:P61)</x:f>
        <x:v>0</x:v>
      </x:c>
      <x:c r="R61" s="68"/>
    </x:row>
    <x:row r="62">
      <x:c r="A62" s="68"/>
      <x:c r="B62" s="68"/>
      <x:c r="C62" s="68"/>
      <x:c r="D62" s="68"/>
      <x:c r="E62" s="91"/>
      <x:c r="F62" s="91"/>
      <x:c r="G62" s="91"/>
      <x:c r="H62" s="91"/>
      <x:c r="I62" s="91"/>
      <x:c r="J62" s="91"/>
      <x:c r="K62" s="91"/>
      <x:c r="L62" s="91"/>
      <x:c r="M62" s="91"/>
      <x:c r="N62" s="91"/>
      <x:c r="O62" s="91"/>
      <x:c r="P62" s="91"/>
      <x:c r="Q62" s="95" t="n">
        <x:f>SUM(E62:P62)</x:f>
        <x:v>0</x:v>
      </x:c>
      <x:c r="R62" s="68"/>
    </x:row>
    <x:row r="63">
      <x:c r="A63" s="68"/>
      <x:c r="B63" s="68"/>
      <x:c r="C63" s="68"/>
      <x:c r="D63" s="68"/>
      <x:c r="E63" s="91"/>
      <x:c r="F63" s="91"/>
      <x:c r="G63" s="91"/>
      <x:c r="H63" s="91"/>
      <x:c r="I63" s="91"/>
      <x:c r="J63" s="91"/>
      <x:c r="K63" s="91"/>
      <x:c r="L63" s="91"/>
      <x:c r="M63" s="91"/>
      <x:c r="N63" s="91"/>
      <x:c r="O63" s="91"/>
      <x:c r="P63" s="91"/>
      <x:c r="Q63" s="95" t="n">
        <x:f>SUM(E63:P63)</x:f>
        <x:v>0</x:v>
      </x:c>
      <x:c r="R63" s="68"/>
    </x:row>
    <x:row r="64">
      <x:c r="A64" s="68"/>
      <x:c r="B64" s="68"/>
      <x:c r="C64" s="68"/>
      <x:c r="D64" s="68"/>
      <x:c r="E64" s="91"/>
      <x:c r="F64" s="91"/>
      <x:c r="G64" s="91"/>
      <x:c r="H64" s="91"/>
      <x:c r="I64" s="91"/>
      <x:c r="J64" s="91"/>
      <x:c r="K64" s="91"/>
      <x:c r="L64" s="91"/>
      <x:c r="M64" s="91"/>
      <x:c r="N64" s="91"/>
      <x:c r="O64" s="91"/>
      <x:c r="P64" s="91"/>
      <x:c r="Q64" s="95" t="n">
        <x:f>SUM(E64:P64)</x:f>
        <x:v>0</x:v>
      </x:c>
      <x:c r="R64" s="68"/>
    </x:row>
    <x:row r="65">
      <x:c r="A65" s="68"/>
      <x:c r="B65" s="68"/>
      <x:c r="C65" s="68"/>
      <x:c r="D65" s="68"/>
      <x:c r="E65" s="91"/>
      <x:c r="F65" s="91"/>
      <x:c r="G65" s="91"/>
      <x:c r="H65" s="91"/>
      <x:c r="I65" s="91"/>
      <x:c r="J65" s="91"/>
      <x:c r="K65" s="91"/>
      <x:c r="L65" s="91"/>
      <x:c r="M65" s="91"/>
      <x:c r="N65" s="91"/>
      <x:c r="O65" s="91"/>
      <x:c r="P65" s="91"/>
      <x:c r="Q65" s="95" t="n">
        <x:f>SUM(E65:P65)</x:f>
        <x:v>0</x:v>
      </x:c>
      <x:c r="R65" s="68"/>
    </x:row>
    <x:row r="66">
      <x:c r="A66" s="68"/>
      <x:c r="B66" s="68"/>
      <x:c r="C66" s="68"/>
      <x:c r="D66" s="68"/>
      <x:c r="E66" s="91"/>
      <x:c r="F66" s="91"/>
      <x:c r="G66" s="91"/>
      <x:c r="H66" s="91"/>
      <x:c r="I66" s="91"/>
      <x:c r="J66" s="91"/>
      <x:c r="K66" s="91"/>
      <x:c r="L66" s="91"/>
      <x:c r="M66" s="91"/>
      <x:c r="N66" s="91"/>
      <x:c r="O66" s="91"/>
      <x:c r="P66" s="91"/>
      <x:c r="Q66" s="95" t="n">
        <x:f>SUM(E66:P66)</x:f>
        <x:v>0</x:v>
      </x:c>
      <x:c r="R66" s="68"/>
    </x:row>
    <x:row r="67">
      <x:c r="A67" s="68"/>
      <x:c r="B67" s="68"/>
      <x:c r="C67" s="68"/>
      <x:c r="D67" s="68"/>
      <x:c r="E67" s="91"/>
      <x:c r="F67" s="91"/>
      <x:c r="G67" s="91"/>
      <x:c r="H67" s="91"/>
      <x:c r="I67" s="91"/>
      <x:c r="J67" s="91"/>
      <x:c r="K67" s="91"/>
      <x:c r="L67" s="91"/>
      <x:c r="M67" s="91"/>
      <x:c r="N67" s="91"/>
      <x:c r="O67" s="91"/>
      <x:c r="P67" s="91"/>
      <x:c r="Q67" s="95" t="n">
        <x:f>SUM(E67:P67)</x:f>
        <x:v>0</x:v>
      </x:c>
      <x:c r="R67" s="68"/>
    </x:row>
    <x:row r="68">
      <x:c r="A68" s="68"/>
      <x:c r="B68" s="68"/>
      <x:c r="C68" s="68"/>
      <x:c r="D68" s="68"/>
      <x:c r="E68" s="91"/>
      <x:c r="F68" s="91"/>
      <x:c r="G68" s="91"/>
      <x:c r="H68" s="91"/>
      <x:c r="I68" s="91"/>
      <x:c r="J68" s="91"/>
      <x:c r="K68" s="91"/>
      <x:c r="L68" s="91"/>
      <x:c r="M68" s="91"/>
      <x:c r="N68" s="91"/>
      <x:c r="O68" s="91"/>
      <x:c r="P68" s="91"/>
      <x:c r="Q68" s="95" t="n">
        <x:f>SUM(E68:P68)</x:f>
        <x:v>0</x:v>
      </x:c>
      <x:c r="R68" s="68"/>
    </x:row>
    <x:row r="69">
      <x:c r="A69" s="68"/>
      <x:c r="B69" s="68"/>
      <x:c r="C69" s="68"/>
      <x:c r="D69" s="68"/>
      <x:c r="E69" s="91"/>
      <x:c r="F69" s="91"/>
      <x:c r="G69" s="91"/>
      <x:c r="H69" s="91"/>
      <x:c r="I69" s="91"/>
      <x:c r="J69" s="91"/>
      <x:c r="K69" s="91"/>
      <x:c r="L69" s="91"/>
      <x:c r="M69" s="91"/>
      <x:c r="N69" s="91"/>
      <x:c r="O69" s="91"/>
      <x:c r="P69" s="91"/>
      <x:c r="Q69" s="95" t="n">
        <x:f>SUM(E69:P69)</x:f>
        <x:v>0</x:v>
      </x:c>
      <x:c r="R69" s="68"/>
    </x:row>
    <x:row r="70">
      <x:c r="A70" s="68"/>
      <x:c r="B70" s="68"/>
      <x:c r="C70" s="68"/>
      <x:c r="D70" s="68"/>
      <x:c r="E70" s="91"/>
      <x:c r="F70" s="91"/>
      <x:c r="G70" s="91"/>
      <x:c r="H70" s="91"/>
      <x:c r="I70" s="91"/>
      <x:c r="J70" s="91"/>
      <x:c r="K70" s="91"/>
      <x:c r="L70" s="91"/>
      <x:c r="M70" s="91"/>
      <x:c r="N70" s="91"/>
      <x:c r="O70" s="91"/>
      <x:c r="P70" s="91"/>
      <x:c r="Q70" s="95" t="n">
        <x:f>SUM(E70:P70)</x:f>
        <x:v>0</x:v>
      </x:c>
      <x:c r="R70" s="68"/>
    </x:row>
    <x:row r="71">
      <x:c r="A71" s="68"/>
      <x:c r="B71" s="68"/>
      <x:c r="C71" s="68"/>
      <x:c r="D71" s="68"/>
      <x:c r="E71" s="91"/>
      <x:c r="F71" s="91"/>
      <x:c r="G71" s="91"/>
      <x:c r="H71" s="91"/>
      <x:c r="I71" s="91"/>
      <x:c r="J71" s="91"/>
      <x:c r="K71" s="91"/>
      <x:c r="L71" s="91"/>
      <x:c r="M71" s="91"/>
      <x:c r="N71" s="91"/>
      <x:c r="O71" s="91"/>
      <x:c r="P71" s="91"/>
      <x:c r="Q71" s="95" t="n">
        <x:f>SUM(E71:P71)</x:f>
        <x:v>0</x:v>
      </x:c>
      <x:c r="R71" s="68"/>
    </x:row>
    <x:row r="72">
      <x:c r="A72" s="68"/>
      <x:c r="B72" s="68"/>
      <x:c r="C72" s="68"/>
      <x:c r="D72" s="68"/>
      <x:c r="E72" s="91"/>
      <x:c r="F72" s="91"/>
      <x:c r="G72" s="91"/>
      <x:c r="H72" s="91"/>
      <x:c r="I72" s="91"/>
      <x:c r="J72" s="91"/>
      <x:c r="K72" s="91"/>
      <x:c r="L72" s="91"/>
      <x:c r="M72" s="91"/>
      <x:c r="N72" s="91"/>
      <x:c r="O72" s="91"/>
      <x:c r="P72" s="91"/>
      <x:c r="Q72" s="95" t="n">
        <x:f>SUM(E72:P72)</x:f>
        <x:v>0</x:v>
      </x:c>
      <x:c r="R72" s="68"/>
    </x:row>
    <x:row r="73">
      <x:c r="A73" s="68"/>
      <x:c r="B73" s="68"/>
      <x:c r="C73" s="68"/>
      <x:c r="D73" s="68"/>
      <x:c r="E73" s="91"/>
      <x:c r="F73" s="91"/>
      <x:c r="G73" s="91"/>
      <x:c r="H73" s="91"/>
      <x:c r="I73" s="91"/>
      <x:c r="J73" s="91"/>
      <x:c r="K73" s="91"/>
      <x:c r="L73" s="91"/>
      <x:c r="M73" s="91"/>
      <x:c r="N73" s="91"/>
      <x:c r="O73" s="91"/>
      <x:c r="P73" s="91"/>
      <x:c r="Q73" s="95" t="n">
        <x:f>SUM(E73:P73)</x:f>
        <x:v>0</x:v>
      </x:c>
      <x:c r="R73" s="68"/>
    </x:row>
    <x:row r="74">
      <x:c r="A74" s="68"/>
      <x:c r="B74" s="68"/>
      <x:c r="C74" s="68"/>
      <x:c r="D74" s="68"/>
      <x:c r="E74" s="91"/>
      <x:c r="F74" s="91"/>
      <x:c r="G74" s="91"/>
      <x:c r="H74" s="91"/>
      <x:c r="I74" s="91"/>
      <x:c r="J74" s="91"/>
      <x:c r="K74" s="91"/>
      <x:c r="L74" s="91"/>
      <x:c r="M74" s="91"/>
      <x:c r="N74" s="91"/>
      <x:c r="O74" s="91"/>
      <x:c r="P74" s="91"/>
      <x:c r="Q74" s="95" t="n">
        <x:f>SUM(E74:P74)</x:f>
        <x:v>0</x:v>
      </x:c>
      <x:c r="R74" s="68"/>
    </x:row>
    <x:row r="75">
      <x:c r="A75" s="68"/>
      <x:c r="B75" s="68"/>
      <x:c r="C75" s="68"/>
      <x:c r="D75" s="68"/>
      <x:c r="E75" s="91"/>
      <x:c r="F75" s="91"/>
      <x:c r="G75" s="91"/>
      <x:c r="H75" s="91"/>
      <x:c r="I75" s="91"/>
      <x:c r="J75" s="91"/>
      <x:c r="K75" s="91"/>
      <x:c r="L75" s="91"/>
      <x:c r="M75" s="91"/>
      <x:c r="N75" s="91"/>
      <x:c r="O75" s="91"/>
      <x:c r="P75" s="91"/>
      <x:c r="Q75" s="95" t="n">
        <x:f>SUM(E75:P75)</x:f>
        <x:v>0</x:v>
      </x:c>
      <x:c r="R75" s="68"/>
    </x:row>
    <x:row r="76">
      <x:c r="A76" s="68"/>
      <x:c r="B76" s="68"/>
      <x:c r="C76" s="68"/>
      <x:c r="D76" s="68"/>
      <x:c r="E76" s="91"/>
      <x:c r="F76" s="91"/>
      <x:c r="G76" s="91"/>
      <x:c r="H76" s="91"/>
      <x:c r="I76" s="91"/>
      <x:c r="J76" s="91"/>
      <x:c r="K76" s="91"/>
      <x:c r="L76" s="91"/>
      <x:c r="M76" s="91"/>
      <x:c r="N76" s="91"/>
      <x:c r="O76" s="91"/>
      <x:c r="P76" s="91"/>
      <x:c r="Q76" s="95" t="n">
        <x:f>SUM(E76:P76)</x:f>
        <x:v>0</x:v>
      </x:c>
      <x:c r="R76" s="68"/>
    </x:row>
    <x:row r="77">
      <x:c r="A77" s="68"/>
      <x:c r="B77" s="68"/>
      <x:c r="C77" s="68"/>
      <x:c r="D77" s="68"/>
      <x:c r="E77" s="91"/>
      <x:c r="F77" s="91"/>
      <x:c r="G77" s="91"/>
      <x:c r="H77" s="91"/>
      <x:c r="I77" s="91"/>
      <x:c r="J77" s="91"/>
      <x:c r="K77" s="91"/>
      <x:c r="L77" s="91"/>
      <x:c r="M77" s="91"/>
      <x:c r="N77" s="91"/>
      <x:c r="O77" s="91"/>
      <x:c r="P77" s="91"/>
      <x:c r="Q77" s="95" t="n">
        <x:f>SUM(E77:P77)</x:f>
        <x:v>0</x:v>
      </x:c>
      <x:c r="R77" s="68"/>
    </x:row>
    <x:row r="78">
      <x:c r="A78" s="68"/>
      <x:c r="B78" s="68"/>
      <x:c r="C78" s="68"/>
      <x:c r="D78" s="68"/>
      <x:c r="E78" s="91"/>
      <x:c r="F78" s="91"/>
      <x:c r="G78" s="91"/>
      <x:c r="H78" s="91"/>
      <x:c r="I78" s="91"/>
      <x:c r="J78" s="91"/>
      <x:c r="K78" s="91"/>
      <x:c r="L78" s="91"/>
      <x:c r="M78" s="91"/>
      <x:c r="N78" s="91"/>
      <x:c r="O78" s="91"/>
      <x:c r="P78" s="91"/>
      <x:c r="Q78" s="95" t="n">
        <x:f>SUM(E78:P78)</x:f>
        <x:v>0</x:v>
      </x:c>
      <x:c r="R78" s="68"/>
    </x:row>
    <x:row r="79">
      <x:c r="A79" s="68"/>
      <x:c r="B79" s="68"/>
      <x:c r="C79" s="68"/>
      <x:c r="D79" s="68"/>
      <x:c r="E79" s="91"/>
      <x:c r="F79" s="91"/>
      <x:c r="G79" s="91"/>
      <x:c r="H79" s="91"/>
      <x:c r="I79" s="91"/>
      <x:c r="J79" s="91"/>
      <x:c r="K79" s="91"/>
      <x:c r="L79" s="91"/>
      <x:c r="M79" s="91"/>
      <x:c r="N79" s="91"/>
      <x:c r="O79" s="91"/>
      <x:c r="P79" s="91"/>
      <x:c r="Q79" s="95" t="n">
        <x:f>SUM(E79:P79)</x:f>
        <x:v>0</x:v>
      </x:c>
      <x:c r="R79" s="68"/>
    </x:row>
    <x:row r="80">
      <x:c r="A80" s="68"/>
      <x:c r="B80" s="68"/>
      <x:c r="C80" s="68"/>
      <x:c r="D80" s="68"/>
      <x:c r="E80" s="91"/>
      <x:c r="F80" s="91"/>
      <x:c r="G80" s="91"/>
      <x:c r="H80" s="91"/>
      <x:c r="I80" s="91"/>
      <x:c r="J80" s="91"/>
      <x:c r="K80" s="91"/>
      <x:c r="L80" s="91"/>
      <x:c r="M80" s="91"/>
      <x:c r="N80" s="91"/>
      <x:c r="O80" s="91"/>
      <x:c r="P80" s="91"/>
      <x:c r="Q80" s="95" t="n">
        <x:f>SUM(E80:P80)</x:f>
        <x:v>0</x:v>
      </x:c>
      <x:c r="R80" s="68"/>
    </x:row>
  </x:sheetData>
  <x:mergeCells>
    <x:mergeCell ref="A1:R1"/>
    <x:mergeCell ref="A2:R2"/>
  </x:mergeCells>
  <x:dataValidations count="3">
    <x:dataValidation type="list" sqref="A6:A80">
      <x:formula1>'08 Catálogos'!$A$5:$A$6</x:formula1>
    </x:dataValidation>
    <x:dataValidation type="list" sqref="D6:D80">
      <x:formula1>'08 Catálogos'!$G$5:$G$12</x:formula1>
    </x:dataValidation>
    <x:dataValidation type="list" sqref="B6:B80">
      <x:formula1>'08 Catálogos'!$K$5:$K$21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dbd95c7733472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8" hidden="0" customWidth="1"/>
    <x:col min="9" max="9" width="4" hidden="0" customWidth="1"/>
    <x:col min="10" max="10" width="14" hidden="0" customWidth="1"/>
    <x:col min="11" max="11" width="26" hidden="0" customWidth="1"/>
    <x:col min="12" max="12" width="16" hidden="0" customWidth="1"/>
    <x:col min="13" max="13" width="16" hidden="0" customWidth="1"/>
    <x:col min="14" max="14" width="16" hidden="0" customWidth="1"/>
    <x:col min="15" max="15" width="14" hidden="0" customWidth="1"/>
    <x:col min="16" max="16" width="14" hidden="0" customWidth="1"/>
  </x:cols>
  <x:sheetData>
    <x:row r="1" ht="34" customHeight="1">
      <x:c r="A1" s="38" t="str">
        <x:v>COMPARATIVO REAL VS PRESUPUESTO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  <x:c r="P1" s="38"/>
    </x:row>
    <x:row r="2" ht="24" customHeight="1">
      <x:c r="A2" s="44" t="str">
        <x:v>Analiza cumplimiento y variaciones para tomar decisiones a tiempo.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  <x:c r="M2" s="44"/>
      <x:c r="N2" s="44"/>
      <x:c r="O2" s="44"/>
      <x:c r="P2" s="44"/>
    </x:row>
    <x:row r="4">
      <x:c r="A4" s="50" t="str">
        <x:v>Tipo</x:v>
      </x:c>
      <x:c r="B4" s="50" t="str">
        <x:v>Concepto</x:v>
      </x:c>
      <x:c r="C4" s="50" t="str">
        <x:v>Presupuesto anual</x:v>
      </x:c>
      <x:c r="D4" s="50" t="str">
        <x:v>Real anual</x:v>
      </x:c>
      <x:c r="E4" s="50" t="str">
        <x:v>Variación $</x:v>
      </x:c>
      <x:c r="F4" s="50" t="str">
        <x:v>Variación %</x:v>
      </x:c>
      <x:c r="G4" s="50" t="str">
        <x:v>Estatus</x:v>
      </x:c>
      <x:c r="J4" s="50" t="str">
        <x:v>Tipo</x:v>
      </x:c>
      <x:c r="K4" s="50" t="str">
        <x:v>Categoría</x:v>
      </x:c>
      <x:c r="L4" s="50" t="str">
        <x:v>Presupuesto</x:v>
      </x:c>
      <x:c r="M4" s="50" t="str">
        <x:v>Real</x:v>
      </x:c>
      <x:c r="N4" s="50" t="str">
        <x:v>Variación $</x:v>
      </x:c>
      <x:c r="O4" s="50" t="str">
        <x:v>Variación %</x:v>
      </x:c>
      <x:c r="P4" s="50" t="str">
        <x:v>Estatus</x:v>
      </x:c>
    </x:row>
    <x:row r="5">
      <x:c r="A5" s="27" t="str">
        <x:v>Ingreso</x:v>
      </x:c>
      <x:c r="B5" s="27" t="str">
        <x:v>Total ingresos</x:v>
      </x:c>
      <x:c r="C5" s="90" t="n">
        <x:f>SUMIFS('03 Presupuesto'!$Q$6:$Q$80,'03 Presupuesto'!$A$6:$A$80,$A5)</x:f>
        <x:v>2423000</x:v>
      </x:c>
      <x:c r="D5" s="90" t="n">
        <x:f>SUMIFS('04 Real'!$Q$6:$Q$80,'04 Real'!$A$6:$A$80,$A5)</x:f>
        <x:v>693500</x:v>
      </x:c>
      <x:c r="E5" s="90" t="n">
        <x:f>D5-C5</x:f>
        <x:v>-1729500</x:v>
      </x:c>
      <x:c r="F5" s="98" t="n">
        <x:f>IF(C5=0,"",E5/C5)</x:f>
        <x:v>-0.713784564589352</x:v>
      </x:c>
      <x:c r="G5" s="27" t="str">
        <x:f>IFERROR(IF(ABS(F5)&gt;='02 Configuración'!$B$9,"Revisar","OK"),"Sin datos")</x:f>
        <x:v>Revisar</x:v>
      </x:c>
      <x:c r="J5" s="27" t="str">
        <x:v>Ingreso</x:v>
      </x:c>
      <x:c r="K5" s="27" t="str">
        <x:v>Ventas de productos</x:v>
      </x:c>
      <x:c r="L5" s="90" t="n">
        <x:f>SUMIFS('03 Presupuesto'!$Q$6:$Q$80,'03 Presupuesto'!$A$6:$A$80,J5,'03 Presupuesto'!$B$6:$B$80,K5)</x:f>
        <x:v>1805000</x:v>
      </x:c>
      <x:c r="M5" s="90" t="n">
        <x:f>SUMIFS('04 Real'!$Q$6:$Q$80,'04 Real'!$A$6:$A$80,J5,'04 Real'!$B$6:$B$80,K5)</x:f>
        <x:v>507000</x:v>
      </x:c>
      <x:c r="N5" s="90" t="n">
        <x:f>M5-L5</x:f>
        <x:v>-1298000</x:v>
      </x:c>
      <x:c r="O5" s="98" t="n">
        <x:f>IF(L5=0,"",N5/L5)</x:f>
        <x:v>-0.7191135734072022</x:v>
      </x:c>
      <x:c r="P5" s="27" t="str">
        <x:f>IFERROR(IF(ABS(O5)&gt;='02 Configuración'!$B$9,"Revisar","OK"),"Sin datos")</x:f>
        <x:v>Revisar</x:v>
      </x:c>
    </x:row>
    <x:row r="6">
      <x:c r="A6" s="27" t="str">
        <x:v>Gasto</x:v>
      </x:c>
      <x:c r="B6" s="27" t="str">
        <x:v>Total gastos</x:v>
      </x:c>
      <x:c r="C6" s="90" t="n">
        <x:f>SUMIFS('03 Presupuesto'!$Q$6:$Q$80,'03 Presupuesto'!$A$6:$A$80,$A6)</x:f>
        <x:v>1381500</x:v>
      </x:c>
      <x:c r="D6" s="90" t="n">
        <x:f>SUMIFS('04 Real'!$Q$6:$Q$80,'04 Real'!$A$6:$A$80,$A6)</x:f>
        <x:v>424500</x:v>
      </x:c>
      <x:c r="E6" s="90" t="n">
        <x:f>D6-C6</x:f>
        <x:v>-957000</x:v>
      </x:c>
      <x:c r="F6" s="98" t="n">
        <x:f>IF(C6=0,"",E6/C6)</x:f>
        <x:v>-0.6927252985884907</x:v>
      </x:c>
      <x:c r="G6" s="27" t="str">
        <x:f>IFERROR(IF(ABS(F6)&gt;='02 Configuración'!$B$9,"Revisar","OK"),"Sin datos")</x:f>
        <x:v>Revisar</x:v>
      </x:c>
      <x:c r="J6" s="27" t="str">
        <x:v>Ingreso</x:v>
      </x:c>
      <x:c r="K6" s="27" t="str">
        <x:v>Servicios</x:v>
      </x:c>
      <x:c r="L6" s="90" t="n">
        <x:f>SUMIFS('03 Presupuesto'!$Q$6:$Q$80,'03 Presupuesto'!$A$6:$A$80,J6,'03 Presupuesto'!$B$6:$B$80,K6)</x:f>
        <x:v>618000</x:v>
      </x:c>
      <x:c r="M6" s="90" t="n">
        <x:f>SUMIFS('04 Real'!$Q$6:$Q$80,'04 Real'!$A$6:$A$80,J6,'04 Real'!$B$6:$B$80,K6)</x:f>
        <x:v>186500</x:v>
      </x:c>
      <x:c r="N6" s="90" t="n">
        <x:f>M6-L6</x:f>
        <x:v>-431500</x:v>
      </x:c>
      <x:c r="O6" s="98" t="n">
        <x:f>IF(L6=0,"",N6/L6)</x:f>
        <x:v>-0.698220064724919</x:v>
      </x:c>
      <x:c r="P6" s="27" t="str">
        <x:f>IFERROR(IF(ABS(O6)&gt;='02 Configuración'!$B$9,"Revisar","OK"),"Sin datos")</x:f>
        <x:v>Revisar</x:v>
      </x:c>
    </x:row>
    <x:row r="7">
      <x:c r="A7" s="27" t="str">
        <x:v>Resultado</x:v>
      </x:c>
      <x:c r="B7" s="27" t="str">
        <x:v>Utilidad neta</x:v>
      </x:c>
      <x:c r="C7" s="90" t="n">
        <x:f>C5-C6</x:f>
        <x:v>1041500</x:v>
      </x:c>
      <x:c r="D7" s="90" t="n">
        <x:f>D5-D6</x:f>
        <x:v>269000</x:v>
      </x:c>
      <x:c r="E7" s="90" t="n">
        <x:f>D7-C7</x:f>
        <x:v>-772500</x:v>
      </x:c>
      <x:c r="F7" s="98" t="n">
        <x:f>IF(C7=0,"",E7/C7)</x:f>
        <x:v>-0.741718674987998</x:v>
      </x:c>
      <x:c r="G7" s="27" t="str">
        <x:f>IFERROR(IF(ABS(F7)&gt;='02 Configuración'!$B$9,"Revisar","OK"),"Sin datos")</x:f>
        <x:v>Revisar</x:v>
      </x:c>
      <x:c r="J7" s="27" t="str">
        <x:v>Ingreso</x:v>
      </x:c>
      <x:c r="K7" s="27" t="str">
        <x:v>Suscripciones</x:v>
      </x:c>
      <x:c r="L7" s="90" t="n">
        <x:f>SUMIFS('03 Presupuesto'!$Q$6:$Q$80,'03 Presupuesto'!$A$6:$A$80,J7,'03 Presupuesto'!$B$6:$B$80,K7)</x:f>
        <x:v>0</x:v>
      </x:c>
      <x:c r="M7" s="90" t="n">
        <x:f>SUMIFS('04 Real'!$Q$6:$Q$80,'04 Real'!$A$6:$A$80,J7,'04 Real'!$B$6:$B$80,K7)</x:f>
        <x:v>0</x:v>
      </x:c>
      <x:c r="N7" s="90" t="n">
        <x:f>M7-L7</x:f>
        <x:v>0</x:v>
      </x:c>
      <x:c r="O7" s="98" t="str">
        <x:f>IF(L7=0,"",N7/L7)</x:f>
      </x:c>
      <x:c r="P7" s="27" t="str">
        <x:f>IFERROR(IF(ABS(O7)&gt;='02 Configuración'!$B$9,"Revisar","OK"),"Sin datos")</x:f>
        <x:v>Sin datos</x:v>
      </x:c>
    </x:row>
    <x:row r="8">
      <x:c r="J8" s="27" t="str">
        <x:v>Ingreso</x:v>
      </x:c>
      <x:c r="K8" s="27" t="str">
        <x:v>Cursos / capacitaciones</x:v>
      </x:c>
      <x:c r="L8" s="90" t="n">
        <x:f>SUMIFS('03 Presupuesto'!$Q$6:$Q$80,'03 Presupuesto'!$A$6:$A$80,J8,'03 Presupuesto'!$B$6:$B$80,K8)</x:f>
        <x:v>0</x:v>
      </x:c>
      <x:c r="M8" s="90" t="n">
        <x:f>SUMIFS('04 Real'!$Q$6:$Q$80,'04 Real'!$A$6:$A$80,J8,'04 Real'!$B$6:$B$80,K8)</x:f>
        <x:v>0</x:v>
      </x:c>
      <x:c r="N8" s="90" t="n">
        <x:f>M8-L8</x:f>
        <x:v>0</x:v>
      </x:c>
      <x:c r="O8" s="98" t="str">
        <x:f>IF(L8=0,"",N8/L8)</x:f>
      </x:c>
      <x:c r="P8" s="27" t="str">
        <x:f>IFERROR(IF(ABS(O8)&gt;='02 Configuración'!$B$9,"Revisar","OK"),"Sin datos")</x:f>
        <x:v>Sin datos</x:v>
      </x:c>
    </x:row>
    <x:row r="9">
      <x:c r="J9" s="27" t="str">
        <x:v>Ingreso</x:v>
      </x:c>
      <x:c r="K9" s="27" t="str">
        <x:v>Otros ingresos</x:v>
      </x:c>
      <x:c r="L9" s="90" t="n">
        <x:f>SUMIFS('03 Presupuesto'!$Q$6:$Q$80,'03 Presupuesto'!$A$6:$A$80,J9,'03 Presupuesto'!$B$6:$B$80,K9)</x:f>
        <x:v>0</x:v>
      </x:c>
      <x:c r="M9" s="90" t="n">
        <x:f>SUMIFS('04 Real'!$Q$6:$Q$80,'04 Real'!$A$6:$A$80,J9,'04 Real'!$B$6:$B$80,K9)</x:f>
        <x:v>0</x:v>
      </x:c>
      <x:c r="N9" s="90" t="n">
        <x:f>M9-L9</x:f>
        <x:v>0</x:v>
      </x:c>
      <x:c r="O9" s="98" t="str">
        <x:f>IF(L9=0,"",N9/L9)</x:f>
      </x:c>
      <x:c r="P9" s="27" t="str">
        <x:f>IFERROR(IF(ABS(O9)&gt;='02 Configuración'!$B$9,"Revisar","OK"),"Sin datos")</x:f>
        <x:v>Sin datos</x:v>
      </x:c>
    </x:row>
    <x:row r="10">
      <x:c r="J10" s="27" t="str">
        <x:v>Gasto</x:v>
      </x:c>
      <x:c r="K10" s="27" t="str">
        <x:v>Nómina</x:v>
      </x:c>
      <x:c r="L10" s="90" t="n">
        <x:f>SUMIFS('03 Presupuesto'!$Q$6:$Q$80,'03 Presupuesto'!$A$6:$A$80,J10,'03 Presupuesto'!$B$6:$B$80,K10)</x:f>
        <x:v>765000</x:v>
      </x:c>
      <x:c r="M10" s="90" t="n">
        <x:f>SUMIFS('04 Real'!$Q$6:$Q$80,'04 Real'!$A$6:$A$80,J10,'04 Real'!$B$6:$B$80,K10)</x:f>
        <x:v>242000</x:v>
      </x:c>
      <x:c r="N10" s="90" t="n">
        <x:f>M10-L10</x:f>
        <x:v>-523000</x:v>
      </x:c>
      <x:c r="O10" s="98" t="n">
        <x:f>IF(L10=0,"",N10/L10)</x:f>
        <x:v>-0.6836601307189543</x:v>
      </x:c>
      <x:c r="P10" s="27" t="str">
        <x:f>IFERROR(IF(ABS(O10)&gt;='02 Configuración'!$B$9,"Revisar","OK"),"Sin datos")</x:f>
        <x:v>Revisar</x:v>
      </x:c>
    </x:row>
    <x:row r="11">
      <x:c r="A11" s="50" t="str">
        <x:v>Mes</x:v>
      </x:c>
      <x:c r="B11" s="50" t="str">
        <x:v>Ingreso ppto</x:v>
      </x:c>
      <x:c r="C11" s="50" t="str">
        <x:v>Ingreso real</x:v>
      </x:c>
      <x:c r="D11" s="50" t="str">
        <x:v>Gasto ppto</x:v>
      </x:c>
      <x:c r="E11" s="50" t="str">
        <x:v>Gasto real</x:v>
      </x:c>
      <x:c r="F11" s="50" t="str">
        <x:v>Utilidad ppto</x:v>
      </x:c>
      <x:c r="G11" s="50" t="str">
        <x:v>Utilidad real</x:v>
      </x:c>
      <x:c r="H11" s="50" t="str">
        <x:v>Variación utilidad</x:v>
      </x:c>
      <x:c r="J11" s="27" t="str">
        <x:v>Gasto</x:v>
      </x:c>
      <x:c r="K11" s="27" t="str">
        <x:v>Renta</x:v>
      </x:c>
      <x:c r="L11" s="90" t="n">
        <x:f>SUMIFS('03 Presupuesto'!$Q$6:$Q$80,'03 Presupuesto'!$A$6:$A$80,J11,'03 Presupuesto'!$B$6:$B$80,K11)</x:f>
        <x:v>216000</x:v>
      </x:c>
      <x:c r="M11" s="90" t="n">
        <x:f>SUMIFS('04 Real'!$Q$6:$Q$80,'04 Real'!$A$6:$A$80,J11,'04 Real'!$B$6:$B$80,K11)</x:f>
        <x:v>72000</x:v>
      </x:c>
      <x:c r="N11" s="90" t="n">
        <x:f>M11-L11</x:f>
        <x:v>-144000</x:v>
      </x:c>
      <x:c r="O11" s="98" t="n">
        <x:f>IF(L11=0,"",N11/L11)</x:f>
        <x:v>-0.6666666666666666</x:v>
      </x:c>
      <x:c r="P11" s="27" t="str">
        <x:f>IFERROR(IF(ABS(O11)&gt;='02 Configuración'!$B$9,"Revisar","OK"),"Sin datos")</x:f>
        <x:v>Revisar</x:v>
      </x:c>
    </x:row>
    <x:row r="12">
      <x:c r="A12" s="27" t="str">
        <x:v>Enero</x:v>
      </x:c>
      <x:c r="B12" s="91" t="n">
        <x:f>SUMIFS('03 Presupuesto'!$E$6:$E$80,'03 Presupuesto'!$A$6:$A$80,"Ingreso")</x:f>
        <x:v>165000</x:v>
      </x:c>
      <x:c r="C12" s="91" t="n">
        <x:f>SUMIFS('04 Real'!$E$6:$E$80,'04 Real'!$A$6:$A$80,"Ingreso")</x:f>
        <x:v>163000</x:v>
      </x:c>
      <x:c r="D12" s="91" t="n">
        <x:f>SUMIFS('03 Presupuesto'!$E$6:$E$80,'03 Presupuesto'!$A$6:$A$80,"Gasto")</x:f>
        <x:v>101000</x:v>
      </x:c>
      <x:c r="E12" s="91" t="n">
        <x:f>SUMIFS('04 Real'!$E$6:$E$80,'04 Real'!$A$6:$A$80,"Gasto")</x:f>
        <x:v>102200</x:v>
      </x:c>
      <x:c r="F12" s="91" t="n">
        <x:f>B12-D12</x:f>
        <x:v>64000</x:v>
      </x:c>
      <x:c r="G12" s="91" t="n">
        <x:f>C12-E12</x:f>
        <x:v>60800</x:v>
      </x:c>
      <x:c r="H12" s="91" t="n">
        <x:f>G12-F12</x:f>
        <x:v>-3200</x:v>
      </x:c>
      <x:c r="J12" s="27" t="str">
        <x:v>Gasto</x:v>
      </x:c>
      <x:c r="K12" s="27" t="str">
        <x:v>Marketing</x:v>
      </x:c>
      <x:c r="L12" s="90" t="n">
        <x:f>SUMIFS('03 Presupuesto'!$Q$6:$Q$80,'03 Presupuesto'!$A$6:$A$80,J12,'03 Presupuesto'!$B$6:$B$80,K12)</x:f>
        <x:v>291000</x:v>
      </x:c>
      <x:c r="M12" s="90" t="n">
        <x:f>SUMIFS('04 Real'!$Q$6:$Q$80,'04 Real'!$A$6:$A$80,J12,'04 Real'!$B$6:$B$80,K12)</x:f>
        <x:v>77000</x:v>
      </x:c>
      <x:c r="N12" s="90" t="n">
        <x:f>M12-L12</x:f>
        <x:v>-214000</x:v>
      </x:c>
      <x:c r="O12" s="98" t="n">
        <x:f>IF(L12=0,"",N12/L12)</x:f>
        <x:v>-0.7353951890034365</x:v>
      </x:c>
      <x:c r="P12" s="27" t="str">
        <x:f>IFERROR(IF(ABS(O12)&gt;='02 Configuración'!$B$9,"Revisar","OK"),"Sin datos")</x:f>
        <x:v>Revisar</x:v>
      </x:c>
    </x:row>
    <x:row r="13">
      <x:c r="A13" s="27" t="str">
        <x:v>Febrero</x:v>
      </x:c>
      <x:c r="B13" s="91" t="n">
        <x:f>SUMIFS('03 Presupuesto'!$F$6:$F$80,'03 Presupuesto'!$A$6:$A$80,"Ingreso")</x:f>
        <x:v>170000</x:v>
      </x:c>
      <x:c r="C13" s="91" t="n">
        <x:f>SUMIFS('04 Real'!$F$6:$F$80,'04 Real'!$A$6:$A$80,"Ingreso")</x:f>
        <x:v>174000</x:v>
      </x:c>
      <x:c r="D13" s="91" t="n">
        <x:f>SUMIFS('03 Presupuesto'!$F$6:$F$80,'03 Presupuesto'!$A$6:$A$80,"Gasto")</x:f>
        <x:v>104000</x:v>
      </x:c>
      <x:c r="E13" s="91" t="n">
        <x:f>SUMIFS('04 Real'!$F$6:$F$80,'04 Real'!$A$6:$A$80,"Gasto")</x:f>
        <x:v>103500</x:v>
      </x:c>
      <x:c r="F13" s="91" t="n">
        <x:f>B13-D13</x:f>
        <x:v>66000</x:v>
      </x:c>
      <x:c r="G13" s="91" t="n">
        <x:f>C13-E13</x:f>
        <x:v>70500</x:v>
      </x:c>
      <x:c r="H13" s="91" t="n">
        <x:f>G13-F13</x:f>
        <x:v>4500</x:v>
      </x:c>
      <x:c r="J13" s="27" t="str">
        <x:v>Gasto</x:v>
      </x:c>
      <x:c r="K13" s="27" t="str">
        <x:v>Software</x:v>
      </x:c>
      <x:c r="L13" s="90" t="n">
        <x:f>SUMIFS('03 Presupuesto'!$Q$6:$Q$80,'03 Presupuesto'!$A$6:$A$80,J13,'03 Presupuesto'!$B$6:$B$80,K13)</x:f>
        <x:v>109500</x:v>
      </x:c>
      <x:c r="M13" s="90" t="n">
        <x:f>SUMIFS('04 Real'!$Q$6:$Q$80,'04 Real'!$A$6:$A$80,J13,'04 Real'!$B$6:$B$80,K13)</x:f>
        <x:v>33500</x:v>
      </x:c>
      <x:c r="N13" s="90" t="n">
        <x:f>M13-L13</x:f>
        <x:v>-76000</x:v>
      </x:c>
      <x:c r="O13" s="98" t="n">
        <x:f>IF(L13=0,"",N13/L13)</x:f>
        <x:v>-0.6940639269406392</x:v>
      </x:c>
      <x:c r="P13" s="27" t="str">
        <x:f>IFERROR(IF(ABS(O13)&gt;='02 Configuración'!$B$9,"Revisar","OK"),"Sin datos")</x:f>
        <x:v>Revisar</x:v>
      </x:c>
    </x:row>
    <x:row r="14">
      <x:c r="A14" s="27" t="str">
        <x:v>Marzo</x:v>
      </x:c>
      <x:c r="B14" s="91" t="n">
        <x:f>SUMIFS('03 Presupuesto'!$G$6:$G$80,'03 Presupuesto'!$A$6:$A$80,"Ingreso")</x:f>
        <x:v>177000</x:v>
      </x:c>
      <x:c r="C14" s="91" t="n">
        <x:f>SUMIFS('04 Real'!$G$6:$G$80,'04 Real'!$A$6:$A$80,"Ingreso")</x:f>
        <x:v>179500</x:v>
      </x:c>
      <x:c r="D14" s="91" t="n">
        <x:f>SUMIFS('03 Presupuesto'!$G$6:$G$80,'03 Presupuesto'!$A$6:$A$80,"Gasto")</x:f>
        <x:v>106000</x:v>
      </x:c>
      <x:c r="E14" s="91" t="n">
        <x:f>SUMIFS('04 Real'!$G$6:$G$80,'04 Real'!$A$6:$A$80,"Gasto")</x:f>
        <x:v>108800</x:v>
      </x:c>
      <x:c r="F14" s="91" t="n">
        <x:f>B14-D14</x:f>
        <x:v>71000</x:v>
      </x:c>
      <x:c r="G14" s="91" t="n">
        <x:f>C14-E14</x:f>
        <x:v>70700</x:v>
      </x:c>
      <x:c r="H14" s="91" t="n">
        <x:f>G14-F14</x:f>
        <x:v>-300</x:v>
      </x:c>
      <x:c r="J14" s="27" t="str">
        <x:v>Gasto</x:v>
      </x:c>
      <x:c r="K14" s="27" t="str">
        <x:v>Materia prima</x:v>
      </x:c>
      <x:c r="L14" s="90" t="n">
        <x:f>SUMIFS('03 Presupuesto'!$Q$6:$Q$80,'03 Presupuesto'!$A$6:$A$80,J14,'03 Presupuesto'!$B$6:$B$80,K14)</x:f>
        <x:v>0</x:v>
      </x:c>
      <x:c r="M14" s="90" t="n">
        <x:f>SUMIFS('04 Real'!$Q$6:$Q$80,'04 Real'!$A$6:$A$80,J14,'04 Real'!$B$6:$B$80,K14)</x:f>
        <x:v>0</x:v>
      </x:c>
      <x:c r="N14" s="90" t="n">
        <x:f>M14-L14</x:f>
        <x:v>0</x:v>
      </x:c>
      <x:c r="O14" s="98" t="str">
        <x:f>IF(L14=0,"",N14/L14)</x:f>
      </x:c>
      <x:c r="P14" s="27" t="str">
        <x:f>IFERROR(IF(ABS(O14)&gt;='02 Configuración'!$B$9,"Revisar","OK"),"Sin datos")</x:f>
        <x:v>Sin datos</x:v>
      </x:c>
    </x:row>
    <x:row r="15">
      <x:c r="A15" s="27" t="str">
        <x:v>Abril</x:v>
      </x:c>
      <x:c r="B15" s="91" t="n">
        <x:f>SUMIFS('03 Presupuesto'!$H$6:$H$80,'03 Presupuesto'!$A$6:$A$80,"Ingreso")</x:f>
        <x:v>182000</x:v>
      </x:c>
      <x:c r="C15" s="91" t="n">
        <x:f>SUMIFS('04 Real'!$H$6:$H$80,'04 Real'!$A$6:$A$80,"Ingreso")</x:f>
        <x:v>177000</x:v>
      </x:c>
      <x:c r="D15" s="91" t="n">
        <x:f>SUMIFS('03 Presupuesto'!$H$6:$H$80,'03 Presupuesto'!$A$6:$A$80,"Gasto")</x:f>
        <x:v>109000</x:v>
      </x:c>
      <x:c r="E15" s="91" t="n">
        <x:f>SUMIFS('04 Real'!$H$6:$H$80,'04 Real'!$A$6:$A$80,"Gasto")</x:f>
        <x:v>110000</x:v>
      </x:c>
      <x:c r="F15" s="91" t="n">
        <x:f>B15-D15</x:f>
        <x:v>73000</x:v>
      </x:c>
      <x:c r="G15" s="91" t="n">
        <x:f>C15-E15</x:f>
        <x:v>67000</x:v>
      </x:c>
      <x:c r="H15" s="91" t="n">
        <x:f>G15-F15</x:f>
        <x:v>-6000</x:v>
      </x:c>
      <x:c r="J15" s="27" t="str">
        <x:v>Gasto</x:v>
      </x:c>
      <x:c r="K15" s="27" t="str">
        <x:v>Inventario</x:v>
      </x:c>
      <x:c r="L15" s="90" t="n">
        <x:f>SUMIFS('03 Presupuesto'!$Q$6:$Q$80,'03 Presupuesto'!$A$6:$A$80,J15,'03 Presupuesto'!$B$6:$B$80,K15)</x:f>
        <x:v>0</x:v>
      </x:c>
      <x:c r="M15" s="90" t="n">
        <x:f>SUMIFS('04 Real'!$Q$6:$Q$80,'04 Real'!$A$6:$A$80,J15,'04 Real'!$B$6:$B$80,K15)</x:f>
        <x:v>0</x:v>
      </x:c>
      <x:c r="N15" s="90" t="n">
        <x:f>M15-L15</x:f>
        <x:v>0</x:v>
      </x:c>
      <x:c r="O15" s="98" t="str">
        <x:f>IF(L15=0,"",N15/L15)</x:f>
      </x:c>
      <x:c r="P15" s="27" t="str">
        <x:f>IFERROR(IF(ABS(O15)&gt;='02 Configuración'!$B$9,"Revisar","OK"),"Sin datos")</x:f>
        <x:v>Sin datos</x:v>
      </x:c>
    </x:row>
    <x:row r="16">
      <x:c r="A16" s="27" t="str">
        <x:v>Mayo</x:v>
      </x:c>
      <x:c r="B16" s="91" t="n">
        <x:f>SUMIFS('03 Presupuesto'!$I$6:$I$80,'03 Presupuesto'!$A$6:$A$80,"Ingreso")</x:f>
        <x:v>190000</x:v>
      </x:c>
      <x:c r="C16" s="91" t="n">
        <x:f>SUMIFS('04 Real'!$I$6:$I$80,'04 Real'!$A$6:$A$80,"Ingreso")</x:f>
        <x:v>0</x:v>
      </x:c>
      <x:c r="D16" s="91" t="n">
        <x:f>SUMIFS('03 Presupuesto'!$I$6:$I$80,'03 Presupuesto'!$A$6:$A$80,"Gasto")</x:f>
        <x:v>111000</x:v>
      </x:c>
      <x:c r="E16" s="91" t="n">
        <x:f>SUMIFS('04 Real'!$I$6:$I$80,'04 Real'!$A$6:$A$80,"Gasto")</x:f>
        <x:v>0</x:v>
      </x:c>
      <x:c r="F16" s="91" t="n">
        <x:f>B16-D16</x:f>
        <x:v>79000</x:v>
      </x:c>
      <x:c r="G16" s="91" t="n">
        <x:f>C16-E16</x:f>
        <x:v>0</x:v>
      </x:c>
      <x:c r="H16" s="91" t="n">
        <x:f>G16-F16</x:f>
        <x:v>-79000</x:v>
      </x:c>
      <x:c r="J16" s="27" t="str">
        <x:v>Gasto</x:v>
      </x:c>
      <x:c r="K16" s="27" t="str">
        <x:v>Servicios</x:v>
      </x:c>
      <x:c r="L16" s="90" t="n">
        <x:f>SUMIFS('03 Presupuesto'!$Q$6:$Q$80,'03 Presupuesto'!$A$6:$A$80,J16,'03 Presupuesto'!$B$6:$B$80,K16)</x:f>
        <x:v>0</x:v>
      </x:c>
      <x:c r="M16" s="90" t="n">
        <x:f>SUMIFS('04 Real'!$Q$6:$Q$80,'04 Real'!$A$6:$A$80,J16,'04 Real'!$B$6:$B$80,K16)</x:f>
        <x:v>0</x:v>
      </x:c>
      <x:c r="N16" s="90" t="n">
        <x:f>M16-L16</x:f>
        <x:v>0</x:v>
      </x:c>
      <x:c r="O16" s="98" t="str">
        <x:f>IF(L16=0,"",N16/L16)</x:f>
      </x:c>
      <x:c r="P16" s="27" t="str">
        <x:f>IFERROR(IF(ABS(O16)&gt;='02 Configuración'!$B$9,"Revisar","OK"),"Sin datos")</x:f>
        <x:v>Sin datos</x:v>
      </x:c>
    </x:row>
    <x:row r="17">
      <x:c r="A17" s="27" t="str">
        <x:v>Junio</x:v>
      </x:c>
      <x:c r="B17" s="91" t="n">
        <x:f>SUMIFS('03 Presupuesto'!$J$6:$J$80,'03 Presupuesto'!$A$6:$A$80,"Ingreso")</x:f>
        <x:v>195000</x:v>
      </x:c>
      <x:c r="C17" s="91" t="n">
        <x:f>SUMIFS('04 Real'!$J$6:$J$80,'04 Real'!$A$6:$A$80,"Ingreso")</x:f>
        <x:v>0</x:v>
      </x:c>
      <x:c r="D17" s="91" t="n">
        <x:f>SUMIFS('03 Presupuesto'!$J$6:$J$80,'03 Presupuesto'!$A$6:$A$80,"Gasto")</x:f>
        <x:v>111000</x:v>
      </x:c>
      <x:c r="E17" s="91" t="n">
        <x:f>SUMIFS('04 Real'!$J$6:$J$80,'04 Real'!$A$6:$A$80,"Gasto")</x:f>
        <x:v>0</x:v>
      </x:c>
      <x:c r="F17" s="91" t="n">
        <x:f>B17-D17</x:f>
        <x:v>84000</x:v>
      </x:c>
      <x:c r="G17" s="91" t="n">
        <x:f>C17-E17</x:f>
        <x:v>0</x:v>
      </x:c>
      <x:c r="H17" s="91" t="n">
        <x:f>G17-F17</x:f>
        <x:v>-84000</x:v>
      </x:c>
      <x:c r="J17" s="27" t="str">
        <x:v>Gasto</x:v>
      </x:c>
      <x:c r="K17" s="27" t="str">
        <x:v>Impuestos</x:v>
      </x:c>
      <x:c r="L17" s="90" t="n">
        <x:f>SUMIFS('03 Presupuesto'!$Q$6:$Q$80,'03 Presupuesto'!$A$6:$A$80,J17,'03 Presupuesto'!$B$6:$B$80,K17)</x:f>
        <x:v>0</x:v>
      </x:c>
      <x:c r="M17" s="90" t="n">
        <x:f>SUMIFS('04 Real'!$Q$6:$Q$80,'04 Real'!$A$6:$A$80,J17,'04 Real'!$B$6:$B$80,K17)</x:f>
        <x:v>0</x:v>
      </x:c>
      <x:c r="N17" s="90" t="n">
        <x:f>M17-L17</x:f>
        <x:v>0</x:v>
      </x:c>
      <x:c r="O17" s="98" t="str">
        <x:f>IF(L17=0,"",N17/L17)</x:f>
      </x:c>
      <x:c r="P17" s="27" t="str">
        <x:f>IFERROR(IF(ABS(O17)&gt;='02 Configuración'!$B$9,"Revisar","OK"),"Sin datos")</x:f>
        <x:v>Sin datos</x:v>
      </x:c>
    </x:row>
    <x:row r="18">
      <x:c r="A18" s="27" t="str">
        <x:v>Julio</x:v>
      </x:c>
      <x:c r="B18" s="91" t="n">
        <x:f>SUMIFS('03 Presupuesto'!$K$6:$K$80,'03 Presupuesto'!$A$6:$A$80,"Ingreso")</x:f>
        <x:v>202000</x:v>
      </x:c>
      <x:c r="C18" s="91" t="n">
        <x:f>SUMIFS('04 Real'!$K$6:$K$80,'04 Real'!$A$6:$A$80,"Ingreso")</x:f>
        <x:v>0</x:v>
      </x:c>
      <x:c r="D18" s="91" t="n">
        <x:f>SUMIFS('03 Presupuesto'!$K$6:$K$80,'03 Presupuesto'!$A$6:$A$80,"Gasto")</x:f>
        <x:v>117500</x:v>
      </x:c>
      <x:c r="E18" s="91" t="n">
        <x:f>SUMIFS('04 Real'!$K$6:$K$80,'04 Real'!$A$6:$A$80,"Gasto")</x:f>
        <x:v>0</x:v>
      </x:c>
      <x:c r="F18" s="91" t="n">
        <x:f>B18-D18</x:f>
        <x:v>84500</x:v>
      </x:c>
      <x:c r="G18" s="91" t="n">
        <x:f>C18-E18</x:f>
        <x:v>0</x:v>
      </x:c>
      <x:c r="H18" s="91" t="n">
        <x:f>G18-F18</x:f>
        <x:v>-84500</x:v>
      </x:c>
      <x:c r="J18" s="27" t="str">
        <x:v>Gasto</x:v>
      </x:c>
      <x:c r="K18" s="27" t="str">
        <x:v>Logística</x:v>
      </x:c>
      <x:c r="L18" s="90" t="n">
        <x:f>SUMIFS('03 Presupuesto'!$Q$6:$Q$80,'03 Presupuesto'!$A$6:$A$80,J18,'03 Presupuesto'!$B$6:$B$80,K18)</x:f>
        <x:v>0</x:v>
      </x:c>
      <x:c r="M18" s="90" t="n">
        <x:f>SUMIFS('04 Real'!$Q$6:$Q$80,'04 Real'!$A$6:$A$80,J18,'04 Real'!$B$6:$B$80,K18)</x:f>
        <x:v>0</x:v>
      </x:c>
      <x:c r="N18" s="90" t="n">
        <x:f>M18-L18</x:f>
        <x:v>0</x:v>
      </x:c>
      <x:c r="O18" s="98" t="str">
        <x:f>IF(L18=0,"",N18/L18)</x:f>
      </x:c>
      <x:c r="P18" s="27" t="str">
        <x:f>IFERROR(IF(ABS(O18)&gt;='02 Configuración'!$B$9,"Revisar","OK"),"Sin datos")</x:f>
        <x:v>Sin datos</x:v>
      </x:c>
    </x:row>
    <x:row r="19">
      <x:c r="A19" s="27" t="str">
        <x:v>Agosto</x:v>
      </x:c>
      <x:c r="B19" s="91" t="n">
        <x:f>SUMIFS('03 Presupuesto'!$L$6:$L$80,'03 Presupuesto'!$A$6:$A$80,"Ingreso")</x:f>
        <x:v>207000</x:v>
      </x:c>
      <x:c r="C19" s="91" t="n">
        <x:f>SUMIFS('04 Real'!$L$6:$L$80,'04 Real'!$A$6:$A$80,"Ingreso")</x:f>
        <x:v>0</x:v>
      </x:c>
      <x:c r="D19" s="91" t="n">
        <x:f>SUMIFS('03 Presupuesto'!$L$6:$L$80,'03 Presupuesto'!$A$6:$A$80,"Gasto")</x:f>
        <x:v>117500</x:v>
      </x:c>
      <x:c r="E19" s="91" t="n">
        <x:f>SUMIFS('04 Real'!$L$6:$L$80,'04 Real'!$A$6:$A$80,"Gasto")</x:f>
        <x:v>0</x:v>
      </x:c>
      <x:c r="F19" s="91" t="n">
        <x:f>B19-D19</x:f>
        <x:v>89500</x:v>
      </x:c>
      <x:c r="G19" s="91" t="n">
        <x:f>C19-E19</x:f>
        <x:v>0</x:v>
      </x:c>
      <x:c r="H19" s="91" t="n">
        <x:f>G19-F19</x:f>
        <x:v>-89500</x:v>
      </x:c>
      <x:c r="J19" s="27" t="str">
        <x:v>Gasto</x:v>
      </x:c>
      <x:c r="K19" s="27" t="str">
        <x:v>Mantenimiento</x:v>
      </x:c>
      <x:c r="L19" s="90" t="n">
        <x:f>SUMIFS('03 Presupuesto'!$Q$6:$Q$80,'03 Presupuesto'!$A$6:$A$80,J19,'03 Presupuesto'!$B$6:$B$80,K19)</x:f>
        <x:v>0</x:v>
      </x:c>
      <x:c r="M19" s="90" t="n">
        <x:f>SUMIFS('04 Real'!$Q$6:$Q$80,'04 Real'!$A$6:$A$80,J19,'04 Real'!$B$6:$B$80,K19)</x:f>
        <x:v>0</x:v>
      </x:c>
      <x:c r="N19" s="90" t="n">
        <x:f>M19-L19</x:f>
        <x:v>0</x:v>
      </x:c>
      <x:c r="O19" s="98" t="str">
        <x:f>IF(L19=0,"",N19/L19)</x:f>
      </x:c>
      <x:c r="P19" s="27" t="str">
        <x:f>IFERROR(IF(ABS(O19)&gt;='02 Configuración'!$B$9,"Revisar","OK"),"Sin datos")</x:f>
        <x:v>Sin datos</x:v>
      </x:c>
    </x:row>
    <x:row r="20">
      <x:c r="A20" s="27" t="str">
        <x:v>Septiembre</x:v>
      </x:c>
      <x:c r="B20" s="91" t="n">
        <x:f>SUMIFS('03 Presupuesto'!$M$6:$M$80,'03 Presupuesto'!$A$6:$A$80,"Ingreso")</x:f>
        <x:v>215000</x:v>
      </x:c>
      <x:c r="C20" s="91" t="n">
        <x:f>SUMIFS('04 Real'!$M$6:$M$80,'04 Real'!$A$6:$A$80,"Ingreso")</x:f>
        <x:v>0</x:v>
      </x:c>
      <x:c r="D20" s="91" t="n">
        <x:f>SUMIFS('03 Presupuesto'!$M$6:$M$80,'03 Presupuesto'!$A$6:$A$80,"Gasto")</x:f>
        <x:v>119500</x:v>
      </x:c>
      <x:c r="E20" s="91" t="n">
        <x:f>SUMIFS('04 Real'!$M$6:$M$80,'04 Real'!$A$6:$A$80,"Gasto")</x:f>
        <x:v>0</x:v>
      </x:c>
      <x:c r="F20" s="91" t="n">
        <x:f>B20-D20</x:f>
        <x:v>95500</x:v>
      </x:c>
      <x:c r="G20" s="91" t="n">
        <x:f>C20-E20</x:f>
        <x:v>0</x:v>
      </x:c>
      <x:c r="H20" s="91" t="n">
        <x:f>G20-F20</x:f>
        <x:v>-95500</x:v>
      </x:c>
      <x:c r="J20" s="27" t="str">
        <x:v>Gasto</x:v>
      </x:c>
      <x:c r="K20" s="27" t="str">
        <x:v>Comisiones</x:v>
      </x:c>
      <x:c r="L20" s="90" t="n">
        <x:f>SUMIFS('03 Presupuesto'!$Q$6:$Q$80,'03 Presupuesto'!$A$6:$A$80,J20,'03 Presupuesto'!$B$6:$B$80,K20)</x:f>
        <x:v>0</x:v>
      </x:c>
      <x:c r="M20" s="90" t="n">
        <x:f>SUMIFS('04 Real'!$Q$6:$Q$80,'04 Real'!$A$6:$A$80,J20,'04 Real'!$B$6:$B$80,K20)</x:f>
        <x:v>0</x:v>
      </x:c>
      <x:c r="N20" s="90" t="n">
        <x:f>M20-L20</x:f>
        <x:v>0</x:v>
      </x:c>
      <x:c r="O20" s="98" t="str">
        <x:f>IF(L20=0,"",N20/L20)</x:f>
      </x:c>
      <x:c r="P20" s="27" t="str">
        <x:f>IFERROR(IF(ABS(O20)&gt;='02 Configuración'!$B$9,"Revisar","OK"),"Sin datos")</x:f>
        <x:v>Sin datos</x:v>
      </x:c>
    </x:row>
    <x:row r="21">
      <x:c r="A21" s="27" t="str">
        <x:v>Octubre</x:v>
      </x:c>
      <x:c r="B21" s="91" t="n">
        <x:f>SUMIFS('03 Presupuesto'!$N$6:$N$80,'03 Presupuesto'!$A$6:$A$80,"Ingreso")</x:f>
        <x:v>225000</x:v>
      </x:c>
      <x:c r="C21" s="91" t="n">
        <x:f>SUMIFS('04 Real'!$N$6:$N$80,'04 Real'!$A$6:$A$80,"Ingreso")</x:f>
        <x:v>0</x:v>
      </x:c>
      <x:c r="D21" s="91" t="n">
        <x:f>SUMIFS('03 Presupuesto'!$N$6:$N$80,'03 Presupuesto'!$A$6:$A$80,"Gasto")</x:f>
        <x:v>126000</x:v>
      </x:c>
      <x:c r="E21" s="91" t="n">
        <x:f>SUMIFS('04 Real'!$N$6:$N$80,'04 Real'!$A$6:$A$80,"Gasto")</x:f>
        <x:v>0</x:v>
      </x:c>
      <x:c r="F21" s="91" t="n">
        <x:f>B21-D21</x:f>
        <x:v>99000</x:v>
      </x:c>
      <x:c r="G21" s="91" t="n">
        <x:f>C21-E21</x:f>
        <x:v>0</x:v>
      </x:c>
      <x:c r="H21" s="91" t="n">
        <x:f>G21-F21</x:f>
        <x:v>-99000</x:v>
      </x:c>
      <x:c r="J21" s="27" t="str">
        <x:v>Gasto</x:v>
      </x:c>
      <x:c r="K21" s="27" t="str">
        <x:v>Otros gastos</x:v>
      </x:c>
      <x:c r="L21" s="90" t="n">
        <x:f>SUMIFS('03 Presupuesto'!$Q$6:$Q$80,'03 Presupuesto'!$A$6:$A$80,J21,'03 Presupuesto'!$B$6:$B$80,K21)</x:f>
        <x:v>0</x:v>
      </x:c>
      <x:c r="M21" s="90" t="n">
        <x:f>SUMIFS('04 Real'!$Q$6:$Q$80,'04 Real'!$A$6:$A$80,J21,'04 Real'!$B$6:$B$80,K21)</x:f>
        <x:v>0</x:v>
      </x:c>
      <x:c r="N21" s="90" t="n">
        <x:f>M21-L21</x:f>
        <x:v>0</x:v>
      </x:c>
      <x:c r="O21" s="98" t="str">
        <x:f>IF(L21=0,"",N21/L21)</x:f>
      </x:c>
      <x:c r="P21" s="27" t="str">
        <x:f>IFERROR(IF(ABS(O21)&gt;='02 Configuración'!$B$9,"Revisar","OK"),"Sin datos")</x:f>
        <x:v>Sin datos</x:v>
      </x:c>
    </x:row>
    <x:row r="22">
      <x:c r="A22" s="27" t="str">
        <x:v>Noviembre</x:v>
      </x:c>
      <x:c r="B22" s="91" t="n">
        <x:f>SUMIFS('03 Presupuesto'!$O$6:$O$80,'03 Presupuesto'!$A$6:$A$80,"Ingreso")</x:f>
        <x:v>240000</x:v>
      </x:c>
      <x:c r="C22" s="91" t="n">
        <x:f>SUMIFS('04 Real'!$O$6:$O$80,'04 Real'!$A$6:$A$80,"Ingreso")</x:f>
        <x:v>0</x:v>
      </x:c>
      <x:c r="D22" s="91" t="n">
        <x:f>SUMIFS('03 Presupuesto'!$O$6:$O$80,'03 Presupuesto'!$A$6:$A$80,"Gasto")</x:f>
        <x:v>128000</x:v>
      </x:c>
      <x:c r="E22" s="91" t="n">
        <x:f>SUMIFS('04 Real'!$O$6:$O$80,'04 Real'!$A$6:$A$80,"Gasto")</x:f>
        <x:v>0</x:v>
      </x:c>
      <x:c r="F22" s="91" t="n">
        <x:f>B22-D22</x:f>
        <x:v>112000</x:v>
      </x:c>
      <x:c r="G22" s="91" t="n">
        <x:f>C22-E22</x:f>
        <x:v>0</x:v>
      </x:c>
      <x:c r="H22" s="91" t="n">
        <x:f>G22-F22</x:f>
        <x:v>-112000</x:v>
      </x:c>
    </x:row>
    <x:row r="23">
      <x:c r="A23" s="27" t="str">
        <x:v>Diciembre</x:v>
      </x:c>
      <x:c r="B23" s="91" t="n">
        <x:f>SUMIFS('03 Presupuesto'!$P$6:$P$80,'03 Presupuesto'!$A$6:$A$80,"Ingreso")</x:f>
        <x:v>255000</x:v>
      </x:c>
      <x:c r="C23" s="91" t="n">
        <x:f>SUMIFS('04 Real'!$P$6:$P$80,'04 Real'!$A$6:$A$80,"Ingreso")</x:f>
        <x:v>0</x:v>
      </x:c>
      <x:c r="D23" s="91" t="n">
        <x:f>SUMIFS('03 Presupuesto'!$P$6:$P$80,'03 Presupuesto'!$A$6:$A$80,"Gasto")</x:f>
        <x:v>131000</x:v>
      </x:c>
      <x:c r="E23" s="91" t="n">
        <x:f>SUMIFS('04 Real'!$P$6:$P$80,'04 Real'!$A$6:$A$80,"Gasto")</x:f>
        <x:v>0</x:v>
      </x:c>
      <x:c r="F23" s="91" t="n">
        <x:f>B23-D23</x:f>
        <x:v>124000</x:v>
      </x:c>
      <x:c r="G23" s="91" t="n">
        <x:f>C23-E23</x:f>
        <x:v>0</x:v>
      </x:c>
      <x:c r="H23" s="91" t="n">
        <x:f>G23-F23</x:f>
        <x:v>-124000</x:v>
      </x:c>
    </x:row>
  </x:sheetData>
  <x:mergeCells>
    <x:mergeCell ref="A1:P1"/>
    <x:mergeCell ref="A2:P2"/>
  </x:mergeCells>
  <x:conditionalFormatting sqref="G5:G7">
    <x:cfRule type="expression" dxfId="0" priority="1">
      <x:formula>G5="Revisar"</x:formula>
    </x:cfRule>
    <x:cfRule type="expression" dxfId="1" priority="2">
      <x:formula>G5="OK"</x:formula>
    </x:cfRule>
  </x:conditionalFormatting>
  <x:conditionalFormatting sqref="P5:P21">
    <x:cfRule type="expression" dxfId="2" priority="3">
      <x:formula>P5="Revisar"</x:formula>
    </x:cfRule>
    <x:cfRule type="expression" dxfId="3" priority="4">
      <x:formula>P5="OK"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1" max="11" width="18" hidden="0" customWidth="1"/>
    <x:col min="12" max="12" width="18" hidden="0" customWidth="1"/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18" hidden="0" customWidth="1"/>
    <x:col min="13" max="13" width="4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34" customHeight="1">
      <x:c r="A1" s="38" t="str">
        <x:v>DASHBOARD EJECUTIVO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</x:row>
    <x:row r="2" ht="24" customHeight="1">
      <x:c r="A2" s="44" t="str">
        <x:v>Resumen visual para dirección: presupuesto, real, utilidad y meses críticos.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  <x:c r="L2" s="44"/>
    </x:row>
    <x:row r="4">
      <x:c r="A4" s="50" t="str">
        <x:v>Ingresos reales</x:v>
      </x:c>
      <x:c r="B4" s="50"/>
      <x:c r="C4" s="50"/>
      <x:c r="D4" s="50" t="str">
        <x:v>Ingresos presupuestados</x:v>
      </x:c>
      <x:c r="E4" s="50"/>
      <x:c r="F4" s="50"/>
      <x:c r="G4" s="50" t="str">
        <x:v>Gastos reales</x:v>
      </x:c>
      <x:c r="H4" s="50"/>
      <x:c r="I4" s="50"/>
      <x:c r="J4" s="50" t="str">
        <x:v>Gastos presupuestados</x:v>
      </x:c>
      <x:c r="K4" s="50"/>
      <x:c r="L4" s="50"/>
    </x:row>
    <x:row r="5">
      <x:c r="A5" s="118" t="n">
        <x:f>SUM('05 Comparativo'!C12:C23)</x:f>
        <x:v>693500</x:v>
      </x:c>
      <x:c r="B5" s="114"/>
      <x:c r="C5" s="114"/>
      <x:c r="D5" s="118" t="n">
        <x:f>SUM('05 Comparativo'!B12:B23)</x:f>
        <x:v>2423000</x:v>
      </x:c>
      <x:c r="E5" s="114"/>
      <x:c r="F5" s="114"/>
      <x:c r="G5" s="118" t="n">
        <x:f>SUM('05 Comparativo'!E12:E23)</x:f>
        <x:v>424500</x:v>
      </x:c>
      <x:c r="H5" s="114"/>
      <x:c r="I5" s="114"/>
      <x:c r="J5" s="118" t="n">
        <x:f>SUM('05 Comparativo'!D12:D23)</x:f>
        <x:v>1381500</x:v>
      </x:c>
      <x:c r="K5" s="114"/>
      <x:c r="L5" s="114"/>
    </x:row>
    <x:row r="7">
      <x:c r="A7" s="50" t="str">
        <x:v>Utilidad real</x:v>
      </x:c>
      <x:c r="B7" s="50"/>
      <x:c r="C7" s="50"/>
      <x:c r="D7" s="50" t="str">
        <x:v>Utilidad presupuestada</x:v>
      </x:c>
      <x:c r="E7" s="50"/>
      <x:c r="F7" s="50"/>
      <x:c r="G7" s="50" t="str">
        <x:v>Variación utilidad</x:v>
      </x:c>
      <x:c r="H7" s="50"/>
      <x:c r="I7" s="50"/>
      <x:c r="J7" s="50" t="str">
        <x:v>Margen neto real</x:v>
      </x:c>
      <x:c r="K7" s="50"/>
      <x:c r="L7" s="50"/>
    </x:row>
    <x:row r="8">
      <x:c r="A8" s="118" t="n">
        <x:f>SUM('05 Comparativo'!G12:G23)</x:f>
        <x:v>269000</x:v>
      </x:c>
      <x:c r="B8" s="114"/>
      <x:c r="C8" s="114"/>
      <x:c r="D8" s="118" t="n">
        <x:f>SUM('05 Comparativo'!F12:F23)</x:f>
        <x:v>1041500</x:v>
      </x:c>
      <x:c r="E8" s="114"/>
      <x:c r="F8" s="114"/>
      <x:c r="G8" s="118" t="n">
        <x:f>SUM('05 Comparativo'!H12:H23)</x:f>
        <x:v>-772500</x:v>
      </x:c>
      <x:c r="H8" s="114"/>
      <x:c r="I8" s="114"/>
      <x:c r="J8" s="120" t="n">
        <x:f>IF(SUM('05 Comparativo'!C12:C23)=0,"",SUM('05 Comparativo'!G12:G23)/SUM('05 Comparativo'!C12:C23))</x:f>
        <x:v>0.38788752703677</x:v>
      </x:c>
      <x:c r="K8" s="114"/>
      <x:c r="L8" s="114"/>
    </x:row>
    <x:row r="11">
      <x:c r="A11" s="50" t="str">
        <x:v>Mes</x:v>
      </x:c>
      <x:c r="B11" s="50" t="str">
        <x:v>Ingreso ppto</x:v>
      </x:c>
      <x:c r="C11" s="50" t="str">
        <x:v>Ingreso real</x:v>
      </x:c>
      <x:c r="D11" s="50" t="str">
        <x:v>Gasto ppto</x:v>
      </x:c>
      <x:c r="E11" s="50" t="str">
        <x:v>Gasto real</x:v>
      </x:c>
      <x:c r="F11" s="50" t="str">
        <x:v>Utilidad ppto</x:v>
      </x:c>
      <x:c r="G11" s="50" t="str">
        <x:v>Utilidad real</x:v>
      </x:c>
      <x:c r="H11" s="50" t="str">
        <x:v>Estado</x:v>
      </x:c>
      <x:c r="J11" s="50" t="str">
        <x:v>Lectura ejecutiva</x:v>
      </x:c>
      <x:c r="K11" s="50"/>
      <x:c r="L11" s="50"/>
    </x:row>
    <x:row r="12">
      <x:c r="A12" s="27" t="str">
        <x:v>Enero</x:v>
      </x:c>
      <x:c r="B12" s="90" t="n">
        <x:f>'05 Comparativo'!B12</x:f>
        <x:v>165000</x:v>
      </x:c>
      <x:c r="C12" s="90" t="n">
        <x:f>'05 Comparativo'!C12</x:f>
        <x:v>163000</x:v>
      </x:c>
      <x:c r="D12" s="90" t="n">
        <x:f>'05 Comparativo'!D12</x:f>
        <x:v>101000</x:v>
      </x:c>
      <x:c r="E12" s="90" t="n">
        <x:f>'05 Comparativo'!E12</x:f>
        <x:v>102200</x:v>
      </x:c>
      <x:c r="F12" s="90" t="n">
        <x:f>'05 Comparativo'!F12</x:f>
        <x:v>64000</x:v>
      </x:c>
      <x:c r="G12" s="90" t="n">
        <x:f>'05 Comparativo'!G12</x:f>
        <x:v>60800</x:v>
      </x:c>
      <x:c r="H12" s="27" t="str">
        <x:f>IF(AND(C12=0,E12=0),"Pendiente",IF(G12&lt;0,"Crítico",IF(G12&lt;F12,"Revisar","OK")))</x:f>
        <x:v>Revisar</x:v>
      </x:c>
      <x:c r="J12" s="69" t="str">
        <x:v>Mes más crítico</x:v>
      </x:c>
      <x:c r="K12" s="27" t="str">
        <x:f>INDEX(A12:A23,MATCH(MIN(G12:G23),G12:G23,0))</x:f>
        <x:v>Mayo</x:v>
      </x:c>
      <x:c r="L12" s="27"/>
    </x:row>
    <x:row r="13">
      <x:c r="A13" s="27" t="str">
        <x:v>Febrero</x:v>
      </x:c>
      <x:c r="B13" s="90" t="n">
        <x:f>'05 Comparativo'!B13</x:f>
        <x:v>170000</x:v>
      </x:c>
      <x:c r="C13" s="90" t="n">
        <x:f>'05 Comparativo'!C13</x:f>
        <x:v>174000</x:v>
      </x:c>
      <x:c r="D13" s="90" t="n">
        <x:f>'05 Comparativo'!D13</x:f>
        <x:v>104000</x:v>
      </x:c>
      <x:c r="E13" s="90" t="n">
        <x:f>'05 Comparativo'!E13</x:f>
        <x:v>103500</x:v>
      </x:c>
      <x:c r="F13" s="90" t="n">
        <x:f>'05 Comparativo'!F13</x:f>
        <x:v>66000</x:v>
      </x:c>
      <x:c r="G13" s="90" t="n">
        <x:f>'05 Comparativo'!G13</x:f>
        <x:v>70500</x:v>
      </x:c>
      <x:c r="H13" s="27" t="str">
        <x:f>IF(AND(C13=0,E13=0),"Pendiente",IF(G13&lt;0,"Crítico",IF(G13&lt;F13,"Revisar","OK")))</x:f>
        <x:v>OK</x:v>
      </x:c>
      <x:c r="J13" s="69" t="str">
        <x:v>Mejor mes</x:v>
      </x:c>
      <x:c r="K13" s="27" t="str">
        <x:f>INDEX(A12:A23,MATCH(MAX(G12:G23),G12:G23,0))</x:f>
        <x:v>Marzo</x:v>
      </x:c>
      <x:c r="L13" s="27"/>
    </x:row>
    <x:row r="14">
      <x:c r="A14" s="27" t="str">
        <x:v>Marzo</x:v>
      </x:c>
      <x:c r="B14" s="90" t="n">
        <x:f>'05 Comparativo'!B14</x:f>
        <x:v>177000</x:v>
      </x:c>
      <x:c r="C14" s="90" t="n">
        <x:f>'05 Comparativo'!C14</x:f>
        <x:v>179500</x:v>
      </x:c>
      <x:c r="D14" s="90" t="n">
        <x:f>'05 Comparativo'!D14</x:f>
        <x:v>106000</x:v>
      </x:c>
      <x:c r="E14" s="90" t="n">
        <x:f>'05 Comparativo'!E14</x:f>
        <x:v>108800</x:v>
      </x:c>
      <x:c r="F14" s="90" t="n">
        <x:f>'05 Comparativo'!F14</x:f>
        <x:v>71000</x:v>
      </x:c>
      <x:c r="G14" s="90" t="n">
        <x:f>'05 Comparativo'!G14</x:f>
        <x:v>70700</x:v>
      </x:c>
      <x:c r="H14" s="27" t="str">
        <x:f>IF(AND(C14=0,E14=0),"Pendiente",IF(G14&lt;0,"Crítico",IF(G14&lt;F14,"Revisar","OK")))</x:f>
        <x:v>Revisar</x:v>
      </x:c>
      <x:c r="J14" s="69" t="str">
        <x:v>Cumplimiento ingresos</x:v>
      </x:c>
      <x:c r="K14" s="122" t="n">
        <x:f>IF(SUM(B12:B23)=0,"",SUM(C12:C23)/SUM(B12:B23))</x:f>
        <x:v>0.286215435410648</x:v>
      </x:c>
      <x:c r="L14" s="27"/>
    </x:row>
    <x:row r="15">
      <x:c r="A15" s="27" t="str">
        <x:v>Abril</x:v>
      </x:c>
      <x:c r="B15" s="90" t="n">
        <x:f>'05 Comparativo'!B15</x:f>
        <x:v>182000</x:v>
      </x:c>
      <x:c r="C15" s="90" t="n">
        <x:f>'05 Comparativo'!C15</x:f>
        <x:v>177000</x:v>
      </x:c>
      <x:c r="D15" s="90" t="n">
        <x:f>'05 Comparativo'!D15</x:f>
        <x:v>109000</x:v>
      </x:c>
      <x:c r="E15" s="90" t="n">
        <x:f>'05 Comparativo'!E15</x:f>
        <x:v>110000</x:v>
      </x:c>
      <x:c r="F15" s="90" t="n">
        <x:f>'05 Comparativo'!F15</x:f>
        <x:v>73000</x:v>
      </x:c>
      <x:c r="G15" s="90" t="n">
        <x:f>'05 Comparativo'!G15</x:f>
        <x:v>67000</x:v>
      </x:c>
      <x:c r="H15" s="27" t="str">
        <x:f>IF(AND(C15=0,E15=0),"Pendiente",IF(G15&lt;0,"Crítico",IF(G15&lt;F15,"Revisar","OK")))</x:f>
        <x:v>Revisar</x:v>
      </x:c>
      <x:c r="J15" s="69" t="str">
        <x:v>Eficiencia de gasto</x:v>
      </x:c>
      <x:c r="K15" s="122" t="n">
        <x:f>IF(SUM(D12:D23)=0,"",SUM(E12:E23)/SUM(D12:D23))</x:f>
        <x:v>0.30727470141150925</x:v>
      </x:c>
      <x:c r="L15" s="27"/>
    </x:row>
    <x:row r="16">
      <x:c r="A16" s="27" t="str">
        <x:v>Mayo</x:v>
      </x:c>
      <x:c r="B16" s="90" t="n">
        <x:f>'05 Comparativo'!B16</x:f>
        <x:v>190000</x:v>
      </x:c>
      <x:c r="C16" s="90" t="n">
        <x:f>'05 Comparativo'!C16</x:f>
        <x:v>0</x:v>
      </x:c>
      <x:c r="D16" s="90" t="n">
        <x:f>'05 Comparativo'!D16</x:f>
        <x:v>111000</x:v>
      </x:c>
      <x:c r="E16" s="90" t="n">
        <x:f>'05 Comparativo'!E16</x:f>
        <x:v>0</x:v>
      </x:c>
      <x:c r="F16" s="90" t="n">
        <x:f>'05 Comparativo'!F16</x:f>
        <x:v>79000</x:v>
      </x:c>
      <x:c r="G16" s="90" t="n">
        <x:f>'05 Comparativo'!G16</x:f>
        <x:v>0</x:v>
      </x:c>
      <x:c r="H16" s="27" t="str">
        <x:f>IF(AND(C16=0,E16=0),"Pendiente",IF(G16&lt;0,"Crítico",IF(G16&lt;F16,"Revisar","OK")))</x:f>
        <x:v>Pendiente</x:v>
      </x:c>
      <x:c r="J16" s="69" t="str">
        <x:v>Recomendación</x:v>
      </x:c>
      <x:c r="K16" s="27" t="str">
        <x:f>IF(SUM(G12:G23)&lt;SUM(F12:F23),"Revisar gastos y fortalecer ventas en meses con resultado menor al plan","Mantener seguimiento mensual y actualizar supuestos")</x:f>
        <x:v>Revisar gastos y fortalecer ventas en meses con resultado menor al plan</x:v>
      </x:c>
      <x:c r="L16" s="27"/>
    </x:row>
    <x:row r="17">
      <x:c r="A17" s="27" t="str">
        <x:v>Junio</x:v>
      </x:c>
      <x:c r="B17" s="90" t="n">
        <x:f>'05 Comparativo'!B17</x:f>
        <x:v>195000</x:v>
      </x:c>
      <x:c r="C17" s="90" t="n">
        <x:f>'05 Comparativo'!C17</x:f>
        <x:v>0</x:v>
      </x:c>
      <x:c r="D17" s="90" t="n">
        <x:f>'05 Comparativo'!D17</x:f>
        <x:v>111000</x:v>
      </x:c>
      <x:c r="E17" s="90" t="n">
        <x:f>'05 Comparativo'!E17</x:f>
        <x:v>0</x:v>
      </x:c>
      <x:c r="F17" s="90" t="n">
        <x:f>'05 Comparativo'!F17</x:f>
        <x:v>84000</x:v>
      </x:c>
      <x:c r="G17" s="90" t="n">
        <x:f>'05 Comparativo'!G17</x:f>
        <x:v>0</x:v>
      </x:c>
      <x:c r="H17" s="27" t="str">
        <x:f>IF(AND(C17=0,E17=0),"Pendiente",IF(G17&lt;0,"Crítico",IF(G17&lt;F17,"Revisar","OK")))</x:f>
        <x:v>Pendiente</x:v>
      </x:c>
    </x:row>
    <x:row r="18">
      <x:c r="A18" s="27" t="str">
        <x:v>Julio</x:v>
      </x:c>
      <x:c r="B18" s="90" t="n">
        <x:f>'05 Comparativo'!B18</x:f>
        <x:v>202000</x:v>
      </x:c>
      <x:c r="C18" s="90" t="n">
        <x:f>'05 Comparativo'!C18</x:f>
        <x:v>0</x:v>
      </x:c>
      <x:c r="D18" s="90" t="n">
        <x:f>'05 Comparativo'!D18</x:f>
        <x:v>117500</x:v>
      </x:c>
      <x:c r="E18" s="90" t="n">
        <x:f>'05 Comparativo'!E18</x:f>
        <x:v>0</x:v>
      </x:c>
      <x:c r="F18" s="90" t="n">
        <x:f>'05 Comparativo'!F18</x:f>
        <x:v>84500</x:v>
      </x:c>
      <x:c r="G18" s="90" t="n">
        <x:f>'05 Comparativo'!G18</x:f>
        <x:v>0</x:v>
      </x:c>
      <x:c r="H18" s="27" t="str">
        <x:f>IF(AND(C18=0,E18=0),"Pendiente",IF(G18&lt;0,"Crítico",IF(G18&lt;F18,"Revisar","OK")))</x:f>
        <x:v>Pendiente</x:v>
      </x:c>
    </x:row>
    <x:row r="19">
      <x:c r="A19" s="27" t="str">
        <x:v>Agosto</x:v>
      </x:c>
      <x:c r="B19" s="90" t="n">
        <x:f>'05 Comparativo'!B19</x:f>
        <x:v>207000</x:v>
      </x:c>
      <x:c r="C19" s="90" t="n">
        <x:f>'05 Comparativo'!C19</x:f>
        <x:v>0</x:v>
      </x:c>
      <x:c r="D19" s="90" t="n">
        <x:f>'05 Comparativo'!D19</x:f>
        <x:v>117500</x:v>
      </x:c>
      <x:c r="E19" s="90" t="n">
        <x:f>'05 Comparativo'!E19</x:f>
        <x:v>0</x:v>
      </x:c>
      <x:c r="F19" s="90" t="n">
        <x:f>'05 Comparativo'!F19</x:f>
        <x:v>89500</x:v>
      </x:c>
      <x:c r="G19" s="90" t="n">
        <x:f>'05 Comparativo'!G19</x:f>
        <x:v>0</x:v>
      </x:c>
      <x:c r="H19" s="27" t="str">
        <x:f>IF(AND(C19=0,E19=0),"Pendiente",IF(G19&lt;0,"Crítico",IF(G19&lt;F19,"Revisar","OK")))</x:f>
        <x:v>Pendiente</x:v>
      </x:c>
    </x:row>
    <x:row r="20">
      <x:c r="A20" s="27" t="str">
        <x:v>Septiembre</x:v>
      </x:c>
      <x:c r="B20" s="90" t="n">
        <x:f>'05 Comparativo'!B20</x:f>
        <x:v>215000</x:v>
      </x:c>
      <x:c r="C20" s="90" t="n">
        <x:f>'05 Comparativo'!C20</x:f>
        <x:v>0</x:v>
      </x:c>
      <x:c r="D20" s="90" t="n">
        <x:f>'05 Comparativo'!D20</x:f>
        <x:v>119500</x:v>
      </x:c>
      <x:c r="E20" s="90" t="n">
        <x:f>'05 Comparativo'!E20</x:f>
        <x:v>0</x:v>
      </x:c>
      <x:c r="F20" s="90" t="n">
        <x:f>'05 Comparativo'!F20</x:f>
        <x:v>95500</x:v>
      </x:c>
      <x:c r="G20" s="90" t="n">
        <x:f>'05 Comparativo'!G20</x:f>
        <x:v>0</x:v>
      </x:c>
      <x:c r="H20" s="27" t="str">
        <x:f>IF(AND(C20=0,E20=0),"Pendiente",IF(G20&lt;0,"Crítico",IF(G20&lt;F20,"Revisar","OK")))</x:f>
        <x:v>Pendiente</x:v>
      </x:c>
    </x:row>
    <x:row r="21">
      <x:c r="A21" s="27" t="str">
        <x:v>Octubre</x:v>
      </x:c>
      <x:c r="B21" s="90" t="n">
        <x:f>'05 Comparativo'!B21</x:f>
        <x:v>225000</x:v>
      </x:c>
      <x:c r="C21" s="90" t="n">
        <x:f>'05 Comparativo'!C21</x:f>
        <x:v>0</x:v>
      </x:c>
      <x:c r="D21" s="90" t="n">
        <x:f>'05 Comparativo'!D21</x:f>
        <x:v>126000</x:v>
      </x:c>
      <x:c r="E21" s="90" t="n">
        <x:f>'05 Comparativo'!E21</x:f>
        <x:v>0</x:v>
      </x:c>
      <x:c r="F21" s="90" t="n">
        <x:f>'05 Comparativo'!F21</x:f>
        <x:v>99000</x:v>
      </x:c>
      <x:c r="G21" s="90" t="n">
        <x:f>'05 Comparativo'!G21</x:f>
        <x:v>0</x:v>
      </x:c>
      <x:c r="H21" s="27" t="str">
        <x:f>IF(AND(C21=0,E21=0),"Pendiente",IF(G21&lt;0,"Crítico",IF(G21&lt;F21,"Revisar","OK")))</x:f>
        <x:v>Pendiente</x:v>
      </x:c>
    </x:row>
    <x:row r="22">
      <x:c r="A22" s="27" t="str">
        <x:v>Noviembre</x:v>
      </x:c>
      <x:c r="B22" s="90" t="n">
        <x:f>'05 Comparativo'!B22</x:f>
        <x:v>240000</x:v>
      </x:c>
      <x:c r="C22" s="90" t="n">
        <x:f>'05 Comparativo'!C22</x:f>
        <x:v>0</x:v>
      </x:c>
      <x:c r="D22" s="90" t="n">
        <x:f>'05 Comparativo'!D22</x:f>
        <x:v>128000</x:v>
      </x:c>
      <x:c r="E22" s="90" t="n">
        <x:f>'05 Comparativo'!E22</x:f>
        <x:v>0</x:v>
      </x:c>
      <x:c r="F22" s="90" t="n">
        <x:f>'05 Comparativo'!F22</x:f>
        <x:v>112000</x:v>
      </x:c>
      <x:c r="G22" s="90" t="n">
        <x:f>'05 Comparativo'!G22</x:f>
        <x:v>0</x:v>
      </x:c>
      <x:c r="H22" s="27" t="str">
        <x:f>IF(AND(C22=0,E22=0),"Pendiente",IF(G22&lt;0,"Crítico",IF(G22&lt;F22,"Revisar","OK")))</x:f>
        <x:v>Pendiente</x:v>
      </x:c>
    </x:row>
    <x:row r="23">
      <x:c r="A23" s="27" t="str">
        <x:v>Diciembre</x:v>
      </x:c>
      <x:c r="B23" s="90" t="n">
        <x:f>'05 Comparativo'!B23</x:f>
        <x:v>255000</x:v>
      </x:c>
      <x:c r="C23" s="90" t="n">
        <x:f>'05 Comparativo'!C23</x:f>
        <x:v>0</x:v>
      </x:c>
      <x:c r="D23" s="90" t="n">
        <x:f>'05 Comparativo'!D23</x:f>
        <x:v>131000</x:v>
      </x:c>
      <x:c r="E23" s="90" t="n">
        <x:f>'05 Comparativo'!E23</x:f>
        <x:v>0</x:v>
      </x:c>
      <x:c r="F23" s="90" t="n">
        <x:f>'05 Comparativo'!F23</x:f>
        <x:v>124000</x:v>
      </x:c>
      <x:c r="G23" s="90" t="n">
        <x:f>'05 Comparativo'!G23</x:f>
        <x:v>0</x:v>
      </x:c>
      <x:c r="H23" s="27" t="str">
        <x:f>IF(AND(C23=0,E23=0),"Pendiente",IF(G23&lt;0,"Crítico",IF(G23&lt;F23,"Revisar","OK")))</x:f>
        <x:v>Pendiente</x:v>
      </x:c>
    </x:row>
  </x:sheetData>
  <x:mergeCells>
    <x:mergeCell ref="A4:C4"/>
    <x:mergeCell ref="A5:C5"/>
    <x:mergeCell ref="D4:F4"/>
    <x:mergeCell ref="D5:F5"/>
    <x:mergeCell ref="G4:I4"/>
    <x:mergeCell ref="G5:I5"/>
    <x:mergeCell ref="J4:L4"/>
    <x:mergeCell ref="J5:L5"/>
    <x:mergeCell ref="A7:C7"/>
    <x:mergeCell ref="A8:C8"/>
    <x:mergeCell ref="D7:F7"/>
    <x:mergeCell ref="D8:F8"/>
    <x:mergeCell ref="G7:I7"/>
    <x:mergeCell ref="G8:I8"/>
    <x:mergeCell ref="J7:L7"/>
    <x:mergeCell ref="J8:L8"/>
    <x:mergeCell ref="J11:L11"/>
    <x:mergeCell ref="A1:L1"/>
    <x:mergeCell ref="A2:L2"/>
  </x:mergeCells>
  <x:conditionalFormatting sqref="H12:H23">
    <x:cfRule type="expression" dxfId="6" priority="1">
      <x:formula>H12="Crítico"</x:formula>
    </x:cfRule>
    <x:cfRule type="expression" dxfId="7" priority="2">
      <x:formula>H12="Revisar"</x:formula>
    </x:cfRule>
    <x:cfRule type="expression" dxfId="8" priority="3">
      <x:formula>H12="OK"</x:formula>
    </x:cfRule>
    <x:cfRule type="expression" dxfId="9" priority="4">
      <x:formula>H12="Pendiente"</x:formula>
    </x:cfRule>
  </x:conditionalFormatting>
  <x:pageMargins left="0.7" right="0.7" top="0.75" bottom="0.75" header="0.3" footer="0.3"/>
  <x:drawing xmlns:r="http://schemas.openxmlformats.org/officeDocument/2006/relationships" r:id="R484c4eff99dc4422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24" hidden="0" customWidth="1"/>
    <x:col min="8" max="8" width="44" hidden="0" customWidth="1"/>
  </x:cols>
  <x:sheetData>
    <x:row r="1" ht="24" customHeight="1">
      <x:c r="A1" s="38" t="str">
        <x:v>ANÁLISIS DE VARIACIONES</x:v>
      </x:c>
      <x:c r="B1" s="38"/>
      <x:c r="C1" s="38"/>
      <x:c r="D1" s="38"/>
      <x:c r="E1" s="38"/>
      <x:c r="F1" s="38"/>
      <x:c r="G1" s="38"/>
      <x:c r="H1" s="38"/>
    </x:row>
    <x:row r="2" ht="24" customHeight="1">
      <x:c r="A2" s="44" t="str">
        <x:v>Identifica desviaciones por categoría y define acciones correctivas.</x:v>
      </x:c>
      <x:c r="B2" s="44"/>
      <x:c r="C2" s="44"/>
      <x:c r="D2" s="44"/>
      <x:c r="E2" s="44"/>
      <x:c r="F2" s="44"/>
      <x:c r="G2" s="44"/>
      <x:c r="H2" s="44"/>
    </x:row>
    <x:row r="4">
      <x:c r="A4" s="50" t="str">
        <x:v>Tipo</x:v>
      </x:c>
      <x:c r="B4" s="50" t="str">
        <x:v>Categoría</x:v>
      </x:c>
      <x:c r="C4" s="50" t="str">
        <x:v>Presupuesto</x:v>
      </x:c>
      <x:c r="D4" s="50" t="str">
        <x:v>Real</x:v>
      </x:c>
      <x:c r="E4" s="50" t="str">
        <x:v>Variación $</x:v>
      </x:c>
      <x:c r="F4" s="50" t="str">
        <x:v>Variación %</x:v>
      </x:c>
      <x:c r="G4" s="50" t="str">
        <x:v>Diagnóstico</x:v>
      </x:c>
      <x:c r="H4" s="50" t="str">
        <x:v>Acción sugerida</x:v>
      </x:c>
    </x:row>
    <x:row r="5">
      <x:c r="A5" s="27" t="str">
        <x:v>Ingreso</x:v>
      </x:c>
      <x:c r="B5" s="27" t="str">
        <x:v>Ventas de productos</x:v>
      </x:c>
      <x:c r="C5" s="90" t="n">
        <x:f>SUMIFS('03 Presupuesto'!$Q$6:$Q$80,'03 Presupuesto'!$A$6:$A$80,A5,'03 Presupuesto'!$B$6:$B$80,B5)</x:f>
        <x:v>1805000</x:v>
      </x:c>
      <x:c r="D5" s="90" t="n">
        <x:f>SUMIFS('04 Real'!$Q$6:$Q$80,'04 Real'!$A$6:$A$80,A5,'04 Real'!$B$6:$B$80,B5)</x:f>
        <x:v>507000</x:v>
      </x:c>
      <x:c r="E5" s="90" t="n">
        <x:f>D5-C5</x:f>
        <x:v>-1298000</x:v>
      </x:c>
      <x:c r="F5" s="98" t="n">
        <x:f>IF(C5=0,"",E5/C5)</x:f>
        <x:v>-0.7191135734072022</x:v>
      </x:c>
      <x:c r="G5" s="27" t="str">
        <x:f>IFERROR(IF(ABS(F5)&gt;='02 Configuración'!$B$9,"Variación relevante","Dentro del rango"),"Sin datos")</x:f>
        <x:v>Variación relevante</x:v>
      </x:c>
      <x:c r="H5" s="27" t="str">
        <x:f>IF(G5="Variación relevante",IF(E5&gt;0,"Revisar aumento de gasto o mejora de ingreso según tipo","Analizar causa de menor ejecución"),IF(G5="Sin datos","Agregar presupuesto o datos reales","Monitorear"))</x:f>
        <x:v>Analizar causa de menor ejecución</x:v>
      </x:c>
    </x:row>
    <x:row r="6">
      <x:c r="A6" s="27" t="str">
        <x:v>Ingreso</x:v>
      </x:c>
      <x:c r="B6" s="27" t="str">
        <x:v>Servicios</x:v>
      </x:c>
      <x:c r="C6" s="90" t="n">
        <x:f>SUMIFS('03 Presupuesto'!$Q$6:$Q$80,'03 Presupuesto'!$A$6:$A$80,A6,'03 Presupuesto'!$B$6:$B$80,B6)</x:f>
        <x:v>618000</x:v>
      </x:c>
      <x:c r="D6" s="90" t="n">
        <x:f>SUMIFS('04 Real'!$Q$6:$Q$80,'04 Real'!$A$6:$A$80,A6,'04 Real'!$B$6:$B$80,B6)</x:f>
        <x:v>186500</x:v>
      </x:c>
      <x:c r="E6" s="90" t="n">
        <x:f>D6-C6</x:f>
        <x:v>-431500</x:v>
      </x:c>
      <x:c r="F6" s="98" t="n">
        <x:f>IF(C6=0,"",E6/C6)</x:f>
        <x:v>-0.698220064724919</x:v>
      </x:c>
      <x:c r="G6" s="27" t="str">
        <x:f>IFERROR(IF(ABS(F6)&gt;='02 Configuración'!$B$9,"Variación relevante","Dentro del rango"),"Sin datos")</x:f>
        <x:v>Variación relevante</x:v>
      </x:c>
      <x:c r="H6" s="27" t="str">
        <x:f>IF(G6="Variación relevante",IF(E6&gt;0,"Revisar aumento de gasto o mejora de ingreso según tipo","Analizar causa de menor ejecución"),IF(G6="Sin datos","Agregar presupuesto o datos reales","Monitorear"))</x:f>
        <x:v>Analizar causa de menor ejecución</x:v>
      </x:c>
    </x:row>
    <x:row r="7">
      <x:c r="A7" s="27" t="str">
        <x:v>Ingreso</x:v>
      </x:c>
      <x:c r="B7" s="27" t="str">
        <x:v>Suscripciones</x:v>
      </x:c>
      <x:c r="C7" s="90" t="n">
        <x:f>SUMIFS('03 Presupuesto'!$Q$6:$Q$80,'03 Presupuesto'!$A$6:$A$80,A7,'03 Presupuesto'!$B$6:$B$80,B7)</x:f>
        <x:v>0</x:v>
      </x:c>
      <x:c r="D7" s="90" t="n">
        <x:f>SUMIFS('04 Real'!$Q$6:$Q$80,'04 Real'!$A$6:$A$80,A7,'04 Real'!$B$6:$B$80,B7)</x:f>
        <x:v>0</x:v>
      </x:c>
      <x:c r="E7" s="90" t="n">
        <x:f>D7-C7</x:f>
        <x:v>0</x:v>
      </x:c>
      <x:c r="F7" s="98" t="str">
        <x:f>IF(C7=0,"",E7/C7)</x:f>
      </x:c>
      <x:c r="G7" s="27" t="str">
        <x:f>IFERROR(IF(ABS(F7)&gt;='02 Configuración'!$B$9,"Variación relevante","Dentro del rango"),"Sin datos")</x:f>
        <x:v>Sin datos</x:v>
      </x:c>
      <x:c r="H7" s="27" t="str">
        <x:f>IF(G7="Variación relevante",IF(E7&gt;0,"Revisar aumento de gasto o mejora de ingreso según tipo","Analizar causa de menor ejecución"),IF(G7="Sin datos","Agregar presupuesto o datos reales","Monitorear"))</x:f>
        <x:v>Agregar presupuesto o datos reales</x:v>
      </x:c>
    </x:row>
    <x:row r="8">
      <x:c r="A8" s="27" t="str">
        <x:v>Ingreso</x:v>
      </x:c>
      <x:c r="B8" s="27" t="str">
        <x:v>Cursos / capacitaciones</x:v>
      </x:c>
      <x:c r="C8" s="90" t="n">
        <x:f>SUMIFS('03 Presupuesto'!$Q$6:$Q$80,'03 Presupuesto'!$A$6:$A$80,A8,'03 Presupuesto'!$B$6:$B$80,B8)</x:f>
        <x:v>0</x:v>
      </x:c>
      <x:c r="D8" s="90" t="n">
        <x:f>SUMIFS('04 Real'!$Q$6:$Q$80,'04 Real'!$A$6:$A$80,A8,'04 Real'!$B$6:$B$80,B8)</x:f>
        <x:v>0</x:v>
      </x:c>
      <x:c r="E8" s="90" t="n">
        <x:f>D8-C8</x:f>
        <x:v>0</x:v>
      </x:c>
      <x:c r="F8" s="98" t="str">
        <x:f>IF(C8=0,"",E8/C8)</x:f>
      </x:c>
      <x:c r="G8" s="27" t="str">
        <x:f>IFERROR(IF(ABS(F8)&gt;='02 Configuración'!$B$9,"Variación relevante","Dentro del rango"),"Sin datos")</x:f>
        <x:v>Sin datos</x:v>
      </x:c>
      <x:c r="H8" s="27" t="str">
        <x:f>IF(G8="Variación relevante",IF(E8&gt;0,"Revisar aumento de gasto o mejora de ingreso según tipo","Analizar causa de menor ejecución"),IF(G8="Sin datos","Agregar presupuesto o datos reales","Monitorear"))</x:f>
        <x:v>Agregar presupuesto o datos reales</x:v>
      </x:c>
    </x:row>
    <x:row r="9">
      <x:c r="A9" s="27" t="str">
        <x:v>Ingreso</x:v>
      </x:c>
      <x:c r="B9" s="27" t="str">
        <x:v>Otros ingresos</x:v>
      </x:c>
      <x:c r="C9" s="90" t="n">
        <x:f>SUMIFS('03 Presupuesto'!$Q$6:$Q$80,'03 Presupuesto'!$A$6:$A$80,A9,'03 Presupuesto'!$B$6:$B$80,B9)</x:f>
        <x:v>0</x:v>
      </x:c>
      <x:c r="D9" s="90" t="n">
        <x:f>SUMIFS('04 Real'!$Q$6:$Q$80,'04 Real'!$A$6:$A$80,A9,'04 Real'!$B$6:$B$80,B9)</x:f>
        <x:v>0</x:v>
      </x:c>
      <x:c r="E9" s="90" t="n">
        <x:f>D9-C9</x:f>
        <x:v>0</x:v>
      </x:c>
      <x:c r="F9" s="98" t="str">
        <x:f>IF(C9=0,"",E9/C9)</x:f>
      </x:c>
      <x:c r="G9" s="27" t="str">
        <x:f>IFERROR(IF(ABS(F9)&gt;='02 Configuración'!$B$9,"Variación relevante","Dentro del rango"),"Sin datos")</x:f>
        <x:v>Sin datos</x:v>
      </x:c>
      <x:c r="H9" s="27" t="str">
        <x:f>IF(G9="Variación relevante",IF(E9&gt;0,"Revisar aumento de gasto o mejora de ingreso según tipo","Analizar causa de menor ejecución"),IF(G9="Sin datos","Agregar presupuesto o datos reales","Monitorear"))</x:f>
        <x:v>Agregar presupuesto o datos reales</x:v>
      </x:c>
    </x:row>
    <x:row r="10">
      <x:c r="A10" s="27" t="str">
        <x:v>Gasto</x:v>
      </x:c>
      <x:c r="B10" s="27" t="str">
        <x:v>Nómina</x:v>
      </x:c>
      <x:c r="C10" s="90" t="n">
        <x:f>SUMIFS('03 Presupuesto'!$Q$6:$Q$80,'03 Presupuesto'!$A$6:$A$80,A10,'03 Presupuesto'!$B$6:$B$80,B10)</x:f>
        <x:v>765000</x:v>
      </x:c>
      <x:c r="D10" s="90" t="n">
        <x:f>SUMIFS('04 Real'!$Q$6:$Q$80,'04 Real'!$A$6:$A$80,A10,'04 Real'!$B$6:$B$80,B10)</x:f>
        <x:v>242000</x:v>
      </x:c>
      <x:c r="E10" s="90" t="n">
        <x:f>D10-C10</x:f>
        <x:v>-523000</x:v>
      </x:c>
      <x:c r="F10" s="98" t="n">
        <x:f>IF(C10=0,"",E10/C10)</x:f>
        <x:v>-0.6836601307189543</x:v>
      </x:c>
      <x:c r="G10" s="27" t="str">
        <x:f>IFERROR(IF(ABS(F10)&gt;='02 Configuración'!$B$9,"Variación relevante","Dentro del rango"),"Sin datos")</x:f>
        <x:v>Variación relevante</x:v>
      </x:c>
      <x:c r="H10" s="27" t="str">
        <x:f>IF(G10="Variación relevante",IF(E10&gt;0,"Revisar aumento de gasto o mejora de ingreso según tipo","Analizar causa de menor ejecución"),IF(G10="Sin datos","Agregar presupuesto o datos reales","Monitorear"))</x:f>
        <x:v>Analizar causa de menor ejecución</x:v>
      </x:c>
    </x:row>
    <x:row r="11">
      <x:c r="A11" s="27" t="str">
        <x:v>Gasto</x:v>
      </x:c>
      <x:c r="B11" s="27" t="str">
        <x:v>Renta</x:v>
      </x:c>
      <x:c r="C11" s="90" t="n">
        <x:f>SUMIFS('03 Presupuesto'!$Q$6:$Q$80,'03 Presupuesto'!$A$6:$A$80,A11,'03 Presupuesto'!$B$6:$B$80,B11)</x:f>
        <x:v>216000</x:v>
      </x:c>
      <x:c r="D11" s="90" t="n">
        <x:f>SUMIFS('04 Real'!$Q$6:$Q$80,'04 Real'!$A$6:$A$80,A11,'04 Real'!$B$6:$B$80,B11)</x:f>
        <x:v>72000</x:v>
      </x:c>
      <x:c r="E11" s="90" t="n">
        <x:f>D11-C11</x:f>
        <x:v>-144000</x:v>
      </x:c>
      <x:c r="F11" s="98" t="n">
        <x:f>IF(C11=0,"",E11/C11)</x:f>
        <x:v>-0.6666666666666666</x:v>
      </x:c>
      <x:c r="G11" s="27" t="str">
        <x:f>IFERROR(IF(ABS(F11)&gt;='02 Configuración'!$B$9,"Variación relevante","Dentro del rango"),"Sin datos")</x:f>
        <x:v>Variación relevante</x:v>
      </x:c>
      <x:c r="H11" s="27" t="str">
        <x:f>IF(G11="Variación relevante",IF(E11&gt;0,"Revisar aumento de gasto o mejora de ingreso según tipo","Analizar causa de menor ejecución"),IF(G11="Sin datos","Agregar presupuesto o datos reales","Monitorear"))</x:f>
        <x:v>Analizar causa de menor ejecución</x:v>
      </x:c>
    </x:row>
    <x:row r="12">
      <x:c r="A12" s="27" t="str">
        <x:v>Gasto</x:v>
      </x:c>
      <x:c r="B12" s="27" t="str">
        <x:v>Marketing</x:v>
      </x:c>
      <x:c r="C12" s="90" t="n">
        <x:f>SUMIFS('03 Presupuesto'!$Q$6:$Q$80,'03 Presupuesto'!$A$6:$A$80,A12,'03 Presupuesto'!$B$6:$B$80,B12)</x:f>
        <x:v>291000</x:v>
      </x:c>
      <x:c r="D12" s="90" t="n">
        <x:f>SUMIFS('04 Real'!$Q$6:$Q$80,'04 Real'!$A$6:$A$80,A12,'04 Real'!$B$6:$B$80,B12)</x:f>
        <x:v>77000</x:v>
      </x:c>
      <x:c r="E12" s="90" t="n">
        <x:f>D12-C12</x:f>
        <x:v>-214000</x:v>
      </x:c>
      <x:c r="F12" s="98" t="n">
        <x:f>IF(C12=0,"",E12/C12)</x:f>
        <x:v>-0.7353951890034365</x:v>
      </x:c>
      <x:c r="G12" s="27" t="str">
        <x:f>IFERROR(IF(ABS(F12)&gt;='02 Configuración'!$B$9,"Variación relevante","Dentro del rango"),"Sin datos")</x:f>
        <x:v>Variación relevante</x:v>
      </x:c>
      <x:c r="H12" s="27" t="str">
        <x:f>IF(G12="Variación relevante",IF(E12&gt;0,"Revisar aumento de gasto o mejora de ingreso según tipo","Analizar causa de menor ejecución"),IF(G12="Sin datos","Agregar presupuesto o datos reales","Monitorear"))</x:f>
        <x:v>Analizar causa de menor ejecución</x:v>
      </x:c>
    </x:row>
    <x:row r="13">
      <x:c r="A13" s="27" t="str">
        <x:v>Gasto</x:v>
      </x:c>
      <x:c r="B13" s="27" t="str">
        <x:v>Software</x:v>
      </x:c>
      <x:c r="C13" s="90" t="n">
        <x:f>SUMIFS('03 Presupuesto'!$Q$6:$Q$80,'03 Presupuesto'!$A$6:$A$80,A13,'03 Presupuesto'!$B$6:$B$80,B13)</x:f>
        <x:v>109500</x:v>
      </x:c>
      <x:c r="D13" s="90" t="n">
        <x:f>SUMIFS('04 Real'!$Q$6:$Q$80,'04 Real'!$A$6:$A$80,A13,'04 Real'!$B$6:$B$80,B13)</x:f>
        <x:v>33500</x:v>
      </x:c>
      <x:c r="E13" s="90" t="n">
        <x:f>D13-C13</x:f>
        <x:v>-76000</x:v>
      </x:c>
      <x:c r="F13" s="98" t="n">
        <x:f>IF(C13=0,"",E13/C13)</x:f>
        <x:v>-0.6940639269406392</x:v>
      </x:c>
      <x:c r="G13" s="27" t="str">
        <x:f>IFERROR(IF(ABS(F13)&gt;='02 Configuración'!$B$9,"Variación relevante","Dentro del rango"),"Sin datos")</x:f>
        <x:v>Variación relevante</x:v>
      </x:c>
      <x:c r="H13" s="27" t="str">
        <x:f>IF(G13="Variación relevante",IF(E13&gt;0,"Revisar aumento de gasto o mejora de ingreso según tipo","Analizar causa de menor ejecución"),IF(G13="Sin datos","Agregar presupuesto o datos reales","Monitorear"))</x:f>
        <x:v>Analizar causa de menor ejecución</x:v>
      </x:c>
    </x:row>
    <x:row r="14">
      <x:c r="A14" s="27" t="str">
        <x:v>Gasto</x:v>
      </x:c>
      <x:c r="B14" s="27" t="str">
        <x:v>Materia prima</x:v>
      </x:c>
      <x:c r="C14" s="90" t="n">
        <x:f>SUMIFS('03 Presupuesto'!$Q$6:$Q$80,'03 Presupuesto'!$A$6:$A$80,A14,'03 Presupuesto'!$B$6:$B$80,B14)</x:f>
        <x:v>0</x:v>
      </x:c>
      <x:c r="D14" s="90" t="n">
        <x:f>SUMIFS('04 Real'!$Q$6:$Q$80,'04 Real'!$A$6:$A$80,A14,'04 Real'!$B$6:$B$80,B14)</x:f>
        <x:v>0</x:v>
      </x:c>
      <x:c r="E14" s="90" t="n">
        <x:f>D14-C14</x:f>
        <x:v>0</x:v>
      </x:c>
      <x:c r="F14" s="98" t="str">
        <x:f>IF(C14=0,"",E14/C14)</x:f>
      </x:c>
      <x:c r="G14" s="27" t="str">
        <x:f>IFERROR(IF(ABS(F14)&gt;='02 Configuración'!$B$9,"Variación relevante","Dentro del rango"),"Sin datos")</x:f>
        <x:v>Sin datos</x:v>
      </x:c>
      <x:c r="H14" s="27" t="str">
        <x:f>IF(G14="Variación relevante",IF(E14&gt;0,"Revisar aumento de gasto o mejora de ingreso según tipo","Analizar causa de menor ejecución"),IF(G14="Sin datos","Agregar presupuesto o datos reales","Monitorear"))</x:f>
        <x:v>Agregar presupuesto o datos reales</x:v>
      </x:c>
    </x:row>
    <x:row r="15">
      <x:c r="A15" s="27" t="str">
        <x:v>Gasto</x:v>
      </x:c>
      <x:c r="B15" s="27" t="str">
        <x:v>Inventario</x:v>
      </x:c>
      <x:c r="C15" s="90" t="n">
        <x:f>SUMIFS('03 Presupuesto'!$Q$6:$Q$80,'03 Presupuesto'!$A$6:$A$80,A15,'03 Presupuesto'!$B$6:$B$80,B15)</x:f>
        <x:v>0</x:v>
      </x:c>
      <x:c r="D15" s="90" t="n">
        <x:f>SUMIFS('04 Real'!$Q$6:$Q$80,'04 Real'!$A$6:$A$80,A15,'04 Real'!$B$6:$B$80,B15)</x:f>
        <x:v>0</x:v>
      </x:c>
      <x:c r="E15" s="90" t="n">
        <x:f>D15-C15</x:f>
        <x:v>0</x:v>
      </x:c>
      <x:c r="F15" s="98" t="str">
        <x:f>IF(C15=0,"",E15/C15)</x:f>
      </x:c>
      <x:c r="G15" s="27" t="str">
        <x:f>IFERROR(IF(ABS(F15)&gt;='02 Configuración'!$B$9,"Variación relevante","Dentro del rango"),"Sin datos")</x:f>
        <x:v>Sin datos</x:v>
      </x:c>
      <x:c r="H15" s="27" t="str">
        <x:f>IF(G15="Variación relevante",IF(E15&gt;0,"Revisar aumento de gasto o mejora de ingreso según tipo","Analizar causa de menor ejecución"),IF(G15="Sin datos","Agregar presupuesto o datos reales","Monitorear"))</x:f>
        <x:v>Agregar presupuesto o datos reales</x:v>
      </x:c>
    </x:row>
    <x:row r="16">
      <x:c r="A16" s="27" t="str">
        <x:v>Gasto</x:v>
      </x:c>
      <x:c r="B16" s="27" t="str">
        <x:v>Servicios</x:v>
      </x:c>
      <x:c r="C16" s="90" t="n">
        <x:f>SUMIFS('03 Presupuesto'!$Q$6:$Q$80,'03 Presupuesto'!$A$6:$A$80,A16,'03 Presupuesto'!$B$6:$B$80,B16)</x:f>
        <x:v>0</x:v>
      </x:c>
      <x:c r="D16" s="90" t="n">
        <x:f>SUMIFS('04 Real'!$Q$6:$Q$80,'04 Real'!$A$6:$A$80,A16,'04 Real'!$B$6:$B$80,B16)</x:f>
        <x:v>0</x:v>
      </x:c>
      <x:c r="E16" s="90" t="n">
        <x:f>D16-C16</x:f>
        <x:v>0</x:v>
      </x:c>
      <x:c r="F16" s="98" t="str">
        <x:f>IF(C16=0,"",E16/C16)</x:f>
      </x:c>
      <x:c r="G16" s="27" t="str">
        <x:f>IFERROR(IF(ABS(F16)&gt;='02 Configuración'!$B$9,"Variación relevante","Dentro del rango"),"Sin datos")</x:f>
        <x:v>Sin datos</x:v>
      </x:c>
      <x:c r="H16" s="27" t="str">
        <x:f>IF(G16="Variación relevante",IF(E16&gt;0,"Revisar aumento de gasto o mejora de ingreso según tipo","Analizar causa de menor ejecución"),IF(G16="Sin datos","Agregar presupuesto o datos reales","Monitorear"))</x:f>
        <x:v>Agregar presupuesto o datos reales</x:v>
      </x:c>
    </x:row>
    <x:row r="17">
      <x:c r="A17" s="27" t="str">
        <x:v>Gasto</x:v>
      </x:c>
      <x:c r="B17" s="27" t="str">
        <x:v>Impuestos</x:v>
      </x:c>
      <x:c r="C17" s="90" t="n">
        <x:f>SUMIFS('03 Presupuesto'!$Q$6:$Q$80,'03 Presupuesto'!$A$6:$A$80,A17,'03 Presupuesto'!$B$6:$B$80,B17)</x:f>
        <x:v>0</x:v>
      </x:c>
      <x:c r="D17" s="90" t="n">
        <x:f>SUMIFS('04 Real'!$Q$6:$Q$80,'04 Real'!$A$6:$A$80,A17,'04 Real'!$B$6:$B$80,B17)</x:f>
        <x:v>0</x:v>
      </x:c>
      <x:c r="E17" s="90" t="n">
        <x:f>D17-C17</x:f>
        <x:v>0</x:v>
      </x:c>
      <x:c r="F17" s="98" t="str">
        <x:f>IF(C17=0,"",E17/C17)</x:f>
      </x:c>
      <x:c r="G17" s="27" t="str">
        <x:f>IFERROR(IF(ABS(F17)&gt;='02 Configuración'!$B$9,"Variación relevante","Dentro del rango"),"Sin datos")</x:f>
        <x:v>Sin datos</x:v>
      </x:c>
      <x:c r="H17" s="27" t="str">
        <x:f>IF(G17="Variación relevante",IF(E17&gt;0,"Revisar aumento de gasto o mejora de ingreso según tipo","Analizar causa de menor ejecución"),IF(G17="Sin datos","Agregar presupuesto o datos reales","Monitorear"))</x:f>
        <x:v>Agregar presupuesto o datos reales</x:v>
      </x:c>
    </x:row>
    <x:row r="18">
      <x:c r="A18" s="27" t="str">
        <x:v>Gasto</x:v>
      </x:c>
      <x:c r="B18" s="27" t="str">
        <x:v>Logística</x:v>
      </x:c>
      <x:c r="C18" s="90" t="n">
        <x:f>SUMIFS('03 Presupuesto'!$Q$6:$Q$80,'03 Presupuesto'!$A$6:$A$80,A18,'03 Presupuesto'!$B$6:$B$80,B18)</x:f>
        <x:v>0</x:v>
      </x:c>
      <x:c r="D18" s="90" t="n">
        <x:f>SUMIFS('04 Real'!$Q$6:$Q$80,'04 Real'!$A$6:$A$80,A18,'04 Real'!$B$6:$B$80,B18)</x:f>
        <x:v>0</x:v>
      </x:c>
      <x:c r="E18" s="90" t="n">
        <x:f>D18-C18</x:f>
        <x:v>0</x:v>
      </x:c>
      <x:c r="F18" s="98" t="str">
        <x:f>IF(C18=0,"",E18/C18)</x:f>
      </x:c>
      <x:c r="G18" s="27" t="str">
        <x:f>IFERROR(IF(ABS(F18)&gt;='02 Configuración'!$B$9,"Variación relevante","Dentro del rango"),"Sin datos")</x:f>
        <x:v>Sin datos</x:v>
      </x:c>
      <x:c r="H18" s="27" t="str">
        <x:f>IF(G18="Variación relevante",IF(E18&gt;0,"Revisar aumento de gasto o mejora de ingreso según tipo","Analizar causa de menor ejecución"),IF(G18="Sin datos","Agregar presupuesto o datos reales","Monitorear"))</x:f>
        <x:v>Agregar presupuesto o datos reales</x:v>
      </x:c>
    </x:row>
    <x:row r="19">
      <x:c r="A19" s="27" t="str">
        <x:v>Gasto</x:v>
      </x:c>
      <x:c r="B19" s="27" t="str">
        <x:v>Mantenimiento</x:v>
      </x:c>
      <x:c r="C19" s="90" t="n">
        <x:f>SUMIFS('03 Presupuesto'!$Q$6:$Q$80,'03 Presupuesto'!$A$6:$A$80,A19,'03 Presupuesto'!$B$6:$B$80,B19)</x:f>
        <x:v>0</x:v>
      </x:c>
      <x:c r="D19" s="90" t="n">
        <x:f>SUMIFS('04 Real'!$Q$6:$Q$80,'04 Real'!$A$6:$A$80,A19,'04 Real'!$B$6:$B$80,B19)</x:f>
        <x:v>0</x:v>
      </x:c>
      <x:c r="E19" s="90" t="n">
        <x:f>D19-C19</x:f>
        <x:v>0</x:v>
      </x:c>
      <x:c r="F19" s="98" t="str">
        <x:f>IF(C19=0,"",E19/C19)</x:f>
      </x:c>
      <x:c r="G19" s="27" t="str">
        <x:f>IFERROR(IF(ABS(F19)&gt;='02 Configuración'!$B$9,"Variación relevante","Dentro del rango"),"Sin datos")</x:f>
        <x:v>Sin datos</x:v>
      </x:c>
      <x:c r="H19" s="27" t="str">
        <x:f>IF(G19="Variación relevante",IF(E19&gt;0,"Revisar aumento de gasto o mejora de ingreso según tipo","Analizar causa de menor ejecución"),IF(G19="Sin datos","Agregar presupuesto o datos reales","Monitorear"))</x:f>
        <x:v>Agregar presupuesto o datos reales</x:v>
      </x:c>
    </x:row>
    <x:row r="20">
      <x:c r="A20" s="27" t="str">
        <x:v>Gasto</x:v>
      </x:c>
      <x:c r="B20" s="27" t="str">
        <x:v>Comisiones</x:v>
      </x:c>
      <x:c r="C20" s="90" t="n">
        <x:f>SUMIFS('03 Presupuesto'!$Q$6:$Q$80,'03 Presupuesto'!$A$6:$A$80,A20,'03 Presupuesto'!$B$6:$B$80,B20)</x:f>
        <x:v>0</x:v>
      </x:c>
      <x:c r="D20" s="90" t="n">
        <x:f>SUMIFS('04 Real'!$Q$6:$Q$80,'04 Real'!$A$6:$A$80,A20,'04 Real'!$B$6:$B$80,B20)</x:f>
        <x:v>0</x:v>
      </x:c>
      <x:c r="E20" s="90" t="n">
        <x:f>D20-C20</x:f>
        <x:v>0</x:v>
      </x:c>
      <x:c r="F20" s="98" t="str">
        <x:f>IF(C20=0,"",E20/C20)</x:f>
      </x:c>
      <x:c r="G20" s="27" t="str">
        <x:f>IFERROR(IF(ABS(F20)&gt;='02 Configuración'!$B$9,"Variación relevante","Dentro del rango"),"Sin datos")</x:f>
        <x:v>Sin datos</x:v>
      </x:c>
      <x:c r="H20" s="27" t="str">
        <x:f>IF(G20="Variación relevante",IF(E20&gt;0,"Revisar aumento de gasto o mejora de ingreso según tipo","Analizar causa de menor ejecución"),IF(G20="Sin datos","Agregar presupuesto o datos reales","Monitorear"))</x:f>
        <x:v>Agregar presupuesto o datos reales</x:v>
      </x:c>
    </x:row>
    <x:row r="21">
      <x:c r="A21" s="27" t="str">
        <x:v>Gasto</x:v>
      </x:c>
      <x:c r="B21" s="27" t="str">
        <x:v>Otros gastos</x:v>
      </x:c>
      <x:c r="C21" s="90" t="n">
        <x:f>SUMIFS('03 Presupuesto'!$Q$6:$Q$80,'03 Presupuesto'!$A$6:$A$80,A21,'03 Presupuesto'!$B$6:$B$80,B21)</x:f>
        <x:v>0</x:v>
      </x:c>
      <x:c r="D21" s="90" t="n">
        <x:f>SUMIFS('04 Real'!$Q$6:$Q$80,'04 Real'!$A$6:$A$80,A21,'04 Real'!$B$6:$B$80,B21)</x:f>
        <x:v>0</x:v>
      </x:c>
      <x:c r="E21" s="90" t="n">
        <x:f>D21-C21</x:f>
        <x:v>0</x:v>
      </x:c>
      <x:c r="F21" s="98" t="str">
        <x:f>IF(C21=0,"",E21/C21)</x:f>
      </x:c>
      <x:c r="G21" s="27" t="str">
        <x:f>IFERROR(IF(ABS(F21)&gt;='02 Configuración'!$B$9,"Variación relevante","Dentro del rango"),"Sin datos")</x:f>
        <x:v>Sin datos</x:v>
      </x:c>
      <x:c r="H21" s="27" t="str">
        <x:f>IF(G21="Variación relevante",IF(E21&gt;0,"Revisar aumento de gasto o mejora de ingreso según tipo","Analizar causa de menor ejecución"),IF(G21="Sin datos","Agregar presupuesto o datos reales","Monitorear"))</x:f>
        <x:v>Agregar presupuesto o datos reales</x:v>
      </x:c>
    </x:row>
  </x:sheetData>
  <x:mergeCells>
    <x:mergeCell ref="A1:H1"/>
    <x:mergeCell ref="A2:H2"/>
  </x:mergeCells>
  <x:conditionalFormatting sqref="G5:G21">
    <x:cfRule type="expression" dxfId="4" priority="1">
      <x:formula>G5="Variación relevante"</x:formula>
    </x:cfRule>
    <x:cfRule type="expression" dxfId="5" priority="2">
      <x:formula>G5="Dentro del rango"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3" max="3" width="26" hidden="0" customWidth="1"/>
    <x:col min="5" max="5" width="26" hidden="0" customWidth="1"/>
    <x:col min="7" max="7" width="26" hidden="0" customWidth="1"/>
    <x:col min="9" max="9" width="26" hidden="0" customWidth="1"/>
    <x:col min="11" max="11" width="30" hidden="0" customWidth="1"/>
  </x:cols>
  <x:sheetData>
    <x:row r="1" ht="34" customHeight="1">
      <x:c r="A1" s="38" t="str">
        <x:v>CATÁLOGOS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</x:row>
    <x:row r="2" ht="24" customHeight="1">
      <x:c r="A2" s="44" t="str">
        <x:v>Listas para validaciones y clasificación de información.</x:v>
      </x:c>
      <x:c r="B2" s="44"/>
      <x:c r="C2" s="44"/>
      <x:c r="D2" s="44"/>
      <x:c r="E2" s="44"/>
      <x:c r="F2" s="44"/>
      <x:c r="G2" s="44"/>
      <x:c r="H2" s="44"/>
      <x:c r="I2" s="44"/>
      <x:c r="J2" s="44"/>
      <x:c r="K2" s="44"/>
    </x:row>
    <x:row r="4">
      <x:c r="A4" s="50" t="str">
        <x:v>Tipo</x:v>
      </x:c>
      <x:c r="C4" s="50" t="str">
        <x:v>Categorías de Ingreso</x:v>
      </x:c>
      <x:c r="E4" s="50" t="str">
        <x:v>Categorías de Gasto</x:v>
      </x:c>
      <x:c r="G4" s="50" t="str">
        <x:v>Departamento</x:v>
      </x:c>
      <x:c r="I4" s="50" t="str">
        <x:v>Estatus</x:v>
      </x:c>
      <x:c r="K4" s="50" t="str">
        <x:v>Categorías combinadas</x:v>
      </x:c>
    </x:row>
    <x:row r="5">
      <x:c r="A5" s="27" t="str">
        <x:v>Ingreso</x:v>
      </x:c>
      <x:c r="C5" s="27" t="str">
        <x:v>Ventas de productos</x:v>
      </x:c>
      <x:c r="E5" s="27" t="str">
        <x:v>Nómina</x:v>
      </x:c>
      <x:c r="G5" s="27" t="str">
        <x:v>Dirección</x:v>
      </x:c>
      <x:c r="I5" s="27" t="str">
        <x:v>Planeado</x:v>
      </x:c>
      <x:c r="K5" s="27" t="str">
        <x:v>Ventas de productos</x:v>
      </x:c>
    </x:row>
    <x:row r="6">
      <x:c r="A6" s="27" t="str">
        <x:v>Gasto</x:v>
      </x:c>
      <x:c r="C6" s="27" t="str">
        <x:v>Servicios</x:v>
      </x:c>
      <x:c r="E6" s="27" t="str">
        <x:v>Renta</x:v>
      </x:c>
      <x:c r="G6" s="27" t="str">
        <x:v>Ventas</x:v>
      </x:c>
      <x:c r="I6" s="27" t="str">
        <x:v>Aprobado</x:v>
      </x:c>
      <x:c r="K6" s="27" t="str">
        <x:v>Servicios</x:v>
      </x:c>
    </x:row>
    <x:row r="7">
      <x:c r="A7" s="27"/>
      <x:c r="C7" s="27" t="str">
        <x:v>Suscripciones</x:v>
      </x:c>
      <x:c r="E7" s="27" t="str">
        <x:v>Marketing</x:v>
      </x:c>
      <x:c r="G7" s="27" t="str">
        <x:v>Marketing</x:v>
      </x:c>
      <x:c r="I7" s="27" t="str">
        <x:v>En revisión</x:v>
      </x:c>
      <x:c r="K7" s="27" t="str">
        <x:v>Suscripciones</x:v>
      </x:c>
    </x:row>
    <x:row r="8">
      <x:c r="C8" s="27" t="str">
        <x:v>Cursos / capacitaciones</x:v>
      </x:c>
      <x:c r="E8" s="27" t="str">
        <x:v>Software</x:v>
      </x:c>
      <x:c r="G8" s="27" t="str">
        <x:v>Operaciones</x:v>
      </x:c>
      <x:c r="I8" s="27" t="str">
        <x:v>Ajustado</x:v>
      </x:c>
      <x:c r="K8" s="27" t="str">
        <x:v>Cursos / capacitaciones</x:v>
      </x:c>
    </x:row>
    <x:row r="9">
      <x:c r="C9" s="27" t="str">
        <x:v>Otros ingresos</x:v>
      </x:c>
      <x:c r="E9" s="27" t="str">
        <x:v>Materia prima</x:v>
      </x:c>
      <x:c r="G9" s="27" t="str">
        <x:v>Finanzas</x:v>
      </x:c>
      <x:c r="I9" s="27"/>
      <x:c r="K9" s="27" t="str">
        <x:v>Otros ingresos</x:v>
      </x:c>
    </x:row>
    <x:row r="10">
      <x:c r="C10" s="27"/>
      <x:c r="E10" s="27" t="str">
        <x:v>Inventario</x:v>
      </x:c>
      <x:c r="G10" s="27" t="str">
        <x:v>RH</x:v>
      </x:c>
      <x:c r="K10" s="27" t="str">
        <x:v>Nómina</x:v>
      </x:c>
    </x:row>
    <x:row r="11">
      <x:c r="E11" s="27" t="str">
        <x:v>Servicios</x:v>
      </x:c>
      <x:c r="G11" s="27" t="str">
        <x:v>Administración</x:v>
      </x:c>
      <x:c r="K11" s="27" t="str">
        <x:v>Renta</x:v>
      </x:c>
    </x:row>
    <x:row r="12">
      <x:c r="E12" s="27" t="str">
        <x:v>Impuestos</x:v>
      </x:c>
      <x:c r="G12" s="27"/>
      <x:c r="K12" s="27" t="str">
        <x:v>Marketing</x:v>
      </x:c>
    </x:row>
    <x:row r="13">
      <x:c r="E13" s="27" t="str">
        <x:v>Logística</x:v>
      </x:c>
      <x:c r="K13" s="27" t="str">
        <x:v>Software</x:v>
      </x:c>
    </x:row>
    <x:row r="14">
      <x:c r="E14" s="27" t="str">
        <x:v>Mantenimiento</x:v>
      </x:c>
      <x:c r="K14" s="27" t="str">
        <x:v>Materia prima</x:v>
      </x:c>
    </x:row>
    <x:row r="15">
      <x:c r="E15" s="27" t="str">
        <x:v>Comisiones</x:v>
      </x:c>
      <x:c r="K15" s="27" t="str">
        <x:v>Inventario</x:v>
      </x:c>
    </x:row>
    <x:row r="16">
      <x:c r="E16" s="27" t="str">
        <x:v>Otros gastos</x:v>
      </x:c>
      <x:c r="K16" s="27" t="str">
        <x:v>Servicios</x:v>
      </x:c>
    </x:row>
    <x:row r="17">
      <x:c r="E17" s="27"/>
      <x:c r="K17" s="27" t="str">
        <x:v>Impuestos</x:v>
      </x:c>
    </x:row>
    <x:row r="18">
      <x:c r="K18" s="27" t="str">
        <x:v>Logística</x:v>
      </x:c>
    </x:row>
    <x:row r="19">
      <x:c r="K19" s="27" t="str">
        <x:v>Mantenimiento</x:v>
      </x:c>
    </x:row>
    <x:row r="20">
      <x:c r="K20" s="27" t="str">
        <x:v>Comisiones</x:v>
      </x:c>
    </x:row>
    <x:row r="21">
      <x:c r="K21" s="27" t="str">
        <x:v>Otros gastos</x:v>
      </x:c>
    </x:row>
  </x:sheetData>
  <x:mergeCells>
    <x:mergeCell ref="A1:K1"/>
    <x:mergeCell ref="A2:K2"/>
  </x:mergeCells>
  <x:pageMargins left="0.7" right="0.7" top="0.75" bottom="0.75" header="0.3" footer="0.3"/>
</x:worksheet>
</file>