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888448bb546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Portada" sheetId="1" r:id="R5ee055ba5acd48f9"/>
    <x:sheet xmlns:r="http://schemas.openxmlformats.org/officeDocument/2006/relationships" name="01 Guía" sheetId="2" r:id="Rf3971b2bef2c4de8"/>
    <x:sheet xmlns:r="http://schemas.openxmlformats.org/officeDocument/2006/relationships" name="02 Configuración" sheetId="3" r:id="R49c53d2d833142f8"/>
    <x:sheet xmlns:r="http://schemas.openxmlformats.org/officeDocument/2006/relationships" name="03 Productos" sheetId="4" r:id="Rdb3b0d3ccb4940b6"/>
    <x:sheet xmlns:r="http://schemas.openxmlformats.org/officeDocument/2006/relationships" name="04 Movimientos" sheetId="5" r:id="R3eee64526e4c48e6"/>
    <x:sheet xmlns:r="http://schemas.openxmlformats.org/officeDocument/2006/relationships" name="05 Inventario" sheetId="6" r:id="Rf55a98297bad43f6"/>
    <x:sheet xmlns:r="http://schemas.openxmlformats.org/officeDocument/2006/relationships" name="06 Alertas" sheetId="7" r:id="R7c924cbb67164353"/>
    <x:sheet xmlns:r="http://schemas.openxmlformats.org/officeDocument/2006/relationships" name="07 PEPS" sheetId="8" r:id="R203466d3f3a6406f"/>
    <x:sheet xmlns:r="http://schemas.openxmlformats.org/officeDocument/2006/relationships" name="08 Dashboard" sheetId="9" r:id="Rb9574c0ee572490c"/>
    <x:sheet xmlns:r="http://schemas.openxmlformats.org/officeDocument/2006/relationships" name="09 Catálogos" sheetId="10" r:id="R630820cd154e48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#,##0"/>
    <x:numFmt numFmtId="202" formatCode="$#,##0.00"/>
    <x:numFmt numFmtId="203" formatCode="#,##0.00"/>
    <x:numFmt numFmtId="204" formatCode="dd/mm/yyyy"/>
  </x:numFmts>
  <x:fonts count="15">
    <x:font>
      <x:sz val="11"/>
      <x:name val="Carlito"/>
    </x:font>
    <x:font>
      <x:b/>
      <x:sz val="22"/>
      <x:color rgb="FFFFFF"/>
      <x:name val="Carlito"/>
    </x:font>
    <x:font>
      <x:sz val="11"/>
      <x:color rgb="CBD5E1"/>
      <x:name val="Carlito"/>
    </x:font>
    <x:font>
      <x:b/>
      <x:sz val="24"/>
      <x:color rgb="0B132B"/>
      <x:name val="Carlito"/>
    </x:font>
    <x:font>
      <x:sz val="12"/>
      <x:color rgb="64748B"/>
      <x:name val="Carlito"/>
    </x:font>
    <x:font>
      <x:b/>
      <x:sz val="12"/>
      <x:color rgb="0B132B"/>
      <x:name val="Carlito"/>
    </x:font>
    <x:font>
      <x:b/>
      <x:sz val="12"/>
      <x:color rgb="FFFFFF"/>
      <x:name val="Carlito"/>
    </x:font>
    <x:font>
      <x:b/>
      <x:sz val="11"/>
      <x:color rgb="111827"/>
      <x:name val="Carlito"/>
    </x:font>
    <x:font>
      <x:b/>
      <x:sz val="11"/>
      <x:color rgb="FFFFFF"/>
      <x:name val="Carlito"/>
    </x:font>
    <x:font>
      <x:sz val="11"/>
      <x:color rgb="111827"/>
      <x:name val="Carlito"/>
    </x:font>
    <x:font>
      <x:sz val="11"/>
      <x:color rgb="64748B"/>
      <x:name val="Carlito"/>
    </x:font>
    <x:font>
      <x:b/>
      <x:sz val="11"/>
      <x:color rgb="0B132B"/>
      <x:name val="Carlito"/>
    </x:font>
    <x:font>
      <x:b/>
      <x:sz val="13"/>
      <x:color rgb="0B132B"/>
      <x:name val="Carlito"/>
    </x:font>
    <x:font>
      <x:b/>
      <x:sz val="20"/>
      <x:color rgb="FFFFFF"/>
      <x:name val="Carlito"/>
    </x:font>
    <x:font>
      <x:sz val="10"/>
      <x:color rgb="CBD5E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0B132B"/>
      </x:patternFill>
    </x:fill>
    <x:fill>
      <x:patternFill patternType="solid">
        <x:fgColor rgb="FBF8F1"/>
      </x:patternFill>
    </x:fill>
    <x:fill>
      <x:patternFill patternType="solid">
        <x:fgColor rgb="FFFFFF"/>
      </x:patternFill>
    </x:fill>
    <x:fill>
      <x:patternFill patternType="solid">
        <x:fgColor rgb="FFF3C4"/>
      </x:patternFill>
    </x:fill>
    <x:fill>
      <x:patternFill patternType="solid">
        <x:fgColor rgb="102A43"/>
      </x:patternFill>
    </x:fill>
    <x:fill>
      <x:patternFill patternType="solid">
        <x:fgColor rgb="EAF2FF"/>
      </x:patternFill>
    </x:fill>
    <x:fill>
      <x:patternFill patternType="solid">
        <x:fgColor rgb="F3F4F6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1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left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left" wrapText="1"/>
    </x:xf>
    <x:xf numFmtId="0" fontId="7" fillId="5" borderId="0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horizontal="left" wrapText="1"/>
    </x:xf>
    <x:xf numFmtId="0" fontId="7" fillId="5" borderId="1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horizontal="center" wrapText="1"/>
    </x:xf>
    <x:xf numFmtId="0" fontId="8" fillId="6" borderId="1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11" fillId="7" borderId="1" xfId="0" applyNumberFormat="1" applyFont="1" applyFill="1" applyBorder="1"/>
    <x:xf numFmtId="0" fontId="11" fillId="7" borderId="1" xfId="0" applyNumberFormat="1" applyFont="1" applyFill="1" applyBorder="1" applyAlignment="1">
      <x:alignment horizontal="center"/>
    </x:xf>
    <x:xf numFmtId="200" fontId="11" fillId="7" borderId="0" xfId="0" applyNumberFormat="1" applyFont="1" applyFill="1" applyBorder="1" applyAlignment="1">
      <x:alignment horizontal="center"/>
    </x:xf>
    <x:xf numFmtId="200" fontId="11" fillId="7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vertical="center" wrapText="1"/>
    </x:xf>
    <x:xf numFmtId="201" fontId="9" fillId="7" borderId="0" xfId="0" applyNumberFormat="1" applyFont="1" applyFill="1" applyBorder="1" applyAlignment="1">
      <x:alignment vertical="center" wrapText="1"/>
    </x:xf>
    <x:xf numFmtId="201" fontId="9" fillId="7" borderId="1" xfId="0" applyNumberFormat="1" applyFont="1" applyFill="1" applyBorder="1" applyAlignment="1">
      <x:alignment vertical="center" wrapText="1"/>
    </x:xf>
    <x:xf numFmtId="202" fontId="9" fillId="7" borderId="0" xfId="0" applyNumberFormat="1" applyFont="1" applyFill="1" applyBorder="1" applyAlignment="1">
      <x:alignment vertical="center" wrapText="1"/>
    </x:xf>
    <x:xf numFmtId="202" fontId="9" fillId="7" borderId="1" xfId="0" applyNumberFormat="1" applyFont="1" applyFill="1" applyBorder="1" applyAlignment="1">
      <x:alignment vertical="center" wrapText="1"/>
    </x:xf>
    <x:xf numFmtId="203" fontId="9" fillId="7" borderId="0" xfId="0" applyNumberFormat="1" applyFont="1" applyFill="1" applyBorder="1" applyAlignment="1">
      <x:alignment vertical="center" wrapText="1"/>
    </x:xf>
    <x:xf numFmtId="203" fontId="9" fillId="7" borderId="1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204" fontId="9" fillId="7" borderId="0" xfId="0" applyNumberFormat="1" applyFont="1" applyFill="1" applyBorder="1" applyAlignment="1">
      <x:alignment vertical="center" wrapText="1"/>
    </x:xf>
    <x:xf numFmtId="204" fontId="9" fillId="7" borderId="1" xfId="0" applyNumberFormat="1" applyFont="1" applyFill="1" applyBorder="1" applyAlignment="1">
      <x:alignment vertical="center" wrapText="1"/>
    </x:xf>
    <x:xf numFmtId="203" fontId="9" fillId="8" borderId="0" xfId="0" applyNumberFormat="1" applyFont="1" applyFill="1" applyBorder="1" applyAlignment="1">
      <x:alignment vertical="center" wrapText="1"/>
    </x:xf>
    <x:xf numFmtId="203" fontId="9" fillId="8" borderId="1" xfId="0" applyNumberFormat="1" applyFont="1" applyFill="1" applyBorder="1" applyAlignment="1">
      <x:alignment vertical="center" wrapText="1"/>
    </x:xf>
    <x:xf numFmtId="202" fontId="9" fillId="8" borderId="0" xfId="0" applyNumberFormat="1" applyFont="1" applyFill="1" applyBorder="1" applyAlignment="1">
      <x:alignment vertical="center" wrapText="1"/>
    </x:xf>
    <x:xf numFmtId="202" fontId="9" fillId="8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203" fontId="0" fillId="8" borderId="0" xfId="0" applyNumberFormat="1" applyFont="1" applyFill="1" applyBorder="1" applyAlignment="1">
      <x:alignment wrapText="1"/>
    </x:xf>
    <x:xf numFmtId="203" fontId="0" fillId="8" borderId="1" xfId="0" applyNumberFormat="1" applyFont="1" applyFill="1" applyBorder="1" applyAlignment="1">
      <x:alignment wrapText="1"/>
    </x:xf>
    <x:xf numFmtId="202" fontId="0" fillId="8" borderId="0" xfId="0" applyNumberFormat="1" applyFont="1" applyFill="1" applyBorder="1" applyAlignment="1">
      <x:alignment wrapText="1"/>
    </x:xf>
    <x:xf numFmtId="202" fontId="0" fillId="8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4" fontId="0" fillId="7" borderId="0" xfId="0" applyNumberFormat="1" applyFont="1" applyFill="1" applyBorder="1" applyAlignment="1">
      <x:alignment wrapText="1"/>
    </x:xf>
    <x:xf numFmtId="204" fontId="0" fillId="7" borderId="1" xfId="0" applyNumberFormat="1" applyFont="1" applyFill="1" applyBorder="1" applyAlignment="1">
      <x:alignment wrapText="1"/>
    </x:xf>
    <x:xf numFmtId="203" fontId="0" fillId="7" borderId="0" xfId="0" applyNumberFormat="1" applyFont="1" applyFill="1" applyBorder="1" applyAlignment="1">
      <x:alignment wrapText="1"/>
    </x:xf>
    <x:xf numFmtId="203" fontId="0" fillId="7" borderId="1" xfId="0" applyNumberFormat="1" applyFont="1" applyFill="1" applyBorder="1" applyAlignment="1">
      <x:alignment wrapText="1"/>
    </x:xf>
    <x:xf numFmtId="202" fontId="0" fillId="7" borderId="0" xfId="0" applyNumberFormat="1" applyFont="1" applyFill="1" applyBorder="1" applyAlignment="1">
      <x:alignment wrapText="1"/>
    </x:xf>
    <x:xf numFmtId="202" fontId="0" fillId="7" borderId="1" xfId="0" applyNumberFormat="1" applyFont="1" applyFill="1" applyBorder="1" applyAlignment="1">
      <x:alignment wrapText="1"/>
    </x:xf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horizontal="center" wrapText="1"/>
    </x:xf>
    <x:xf numFmtId="0" fontId="12" fillId="4" borderId="0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/>
    <x:xf numFmtId="0" fontId="12" fillId="4" borderId="1" xfId="0" applyNumberFormat="1" applyFont="1" applyFill="1" applyBorder="1" applyAlignment="1">
      <x:alignment wrapText="1"/>
    </x:xf>
    <x:xf numFmtId="0" fontId="12" fillId="4" borderId="1" xfId="0" applyNumberFormat="1" applyFont="1" applyFill="1" applyBorder="1" applyAlignment="1">
      <x:alignment horizontal="center" wrapText="1"/>
    </x:xf>
    <x:xf numFmtId="0" fontId="12" fillId="4" borderId="1" xfId="0" applyNumberFormat="1" applyFont="1" applyFill="1" applyBorder="1" applyAlignment="1">
      <x:alignment horizontal="center" vertical="center" wrapText="1"/>
    </x:xf>
    <x:xf numFmtId="202" fontId="0" fillId="4" borderId="0" xfId="0" applyNumberFormat="1" applyFont="1" applyFill="1" applyBorder="1" applyAlignment="1">
      <x:alignment wrapText="1"/>
    </x:xf>
    <x:xf numFmtId="202" fontId="0" fillId="4" borderId="1" xfId="0" applyNumberFormat="1" applyFont="1" applyFill="1" applyBorder="1" applyAlignment="1">
      <x:alignment wrapText="1"/>
    </x:xf>
    <x:xf numFmtId="203" fontId="0" fillId="4" borderId="0" xfId="0" applyNumberFormat="1" applyFont="1" applyFill="1" applyBorder="1"/>
    <x:xf numFmtId="203" fontId="0" fillId="4" borderId="1" xfId="0" applyNumberFormat="1" applyFont="1" applyFill="1" applyBorder="1"/>
    <x:xf numFmtId="202" fontId="0" fillId="4" borderId="0" xfId="0" applyNumberFormat="1" applyFont="1" applyFill="1" applyBorder="1"/>
    <x:xf numFmtId="202" fontId="0" fillId="4" borderId="1" xfId="0" applyNumberFormat="1" applyFont="1" applyFill="1" applyBorder="1"/>
    <x:xf numFmtId="0" fontId="13" fillId="2" borderId="0" xfId="0" applyNumberFormat="1" applyFont="1" applyFill="1" applyBorder="1" applyAlignment="1">
      <x:alignment horizontal="left" vertical="center"/>
    </x:xf>
    <x:xf numFmtId="0" fontId="13" fillId="2" borderId="1" xfId="0" applyNumberFormat="1" applyFont="1" applyFill="1" applyBorder="1" applyAlignment="1">
      <x:alignment horizontal="left" vertical="center"/>
    </x:xf>
    <x:xf numFmtId="0" fontId="12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2" fillId="9" borderId="1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14" fillId="2" borderId="0" xfId="0" applyNumberFormat="1" applyFont="1" applyFill="1" applyBorder="1" applyAlignment="1">
      <x:alignment horizontal="left" vertical="center" wrapText="1"/>
    </x:xf>
    <x:xf numFmtId="0" fontId="14" fillId="2" borderId="1" xfId="0" applyNumberFormat="1" applyFont="1" applyFill="1" applyBorder="1" applyAlignment="1">
      <x:alignment horizontal="left" vertical="center" wrapText="1"/>
    </x:xf>
    <x:xf numFmtId="0" fontId="7" fillId="5" borderId="0" xfId="0" applyNumberFormat="1" applyFont="1" applyFill="1" applyBorder="1" applyAlignment="1">
      <x:alignment horizontal="left" vertical="center" wrapText="0"/>
    </x:xf>
    <x:xf numFmtId="0" fontId="7" fillId="5" borderId="1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  <x:dxfs count="9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7F1D1D"/>
      </x:font>
      <x:fill>
        <x:patternFill patternType="solid">
          <x:bgColor rgb="FEE2E2"/>
        </x:patternFill>
      </x:fill>
    </x:dxf>
    <x:dxf>
      <x:font>
        <x:b/>
        <x:color rgb="9A3412"/>
      </x:font>
      <x:fill>
        <x:patternFill patternType="solid">
          <x:bgColor rgb="FFEDD5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1D4ED8"/>
      </x:font>
      <x:fill>
        <x:patternFill patternType="solid">
          <x:bgColor rgb="DBEAFE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A3412"/>
      </x:font>
      <x:fill>
        <x:patternFill patternType="solid">
          <x:bgColor rgb="FFEDD5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1D4ED8"/>
      </x:font>
      <x:fill>
        <x:patternFill patternType="solid">
          <x:bgColor rgb="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fc6c98791e4198" /><Relationship Type="http://schemas.openxmlformats.org/officeDocument/2006/relationships/theme" Target="/xl/theme/theme1.xml" Id="R5f5f076f8a024570" /><Relationship Type="http://schemas.openxmlformats.org/officeDocument/2006/relationships/sharedStrings" Target="/xl/sharedStrings.xml" Id="Rfb6846ab5be74b3a" /><Relationship Type="http://schemas.openxmlformats.org/officeDocument/2006/relationships/worksheet" Target="/xl/worksheets/sheet1.xml" Id="R5ee055ba5acd48f9" /><Relationship Type="http://schemas.openxmlformats.org/officeDocument/2006/relationships/worksheet" Target="/xl/worksheets/sheet2.xml" Id="Rf3971b2bef2c4de8" /><Relationship Type="http://schemas.openxmlformats.org/officeDocument/2006/relationships/worksheet" Target="/xl/worksheets/sheet3.xml" Id="R49c53d2d833142f8" /><Relationship Type="http://schemas.openxmlformats.org/officeDocument/2006/relationships/worksheet" Target="/xl/worksheets/sheet4.xml" Id="Rdb3b0d3ccb4940b6" /><Relationship Type="http://schemas.openxmlformats.org/officeDocument/2006/relationships/worksheet" Target="/xl/worksheets/sheet5.xml" Id="R3eee64526e4c48e6" /><Relationship Type="http://schemas.openxmlformats.org/officeDocument/2006/relationships/worksheet" Target="/xl/worksheets/sheet6.xml" Id="Rf55a98297bad43f6" /><Relationship Type="http://schemas.openxmlformats.org/officeDocument/2006/relationships/worksheet" Target="/xl/worksheets/sheet7.xml" Id="R7c924cbb67164353" /><Relationship Type="http://schemas.openxmlformats.org/officeDocument/2006/relationships/worksheet" Target="/xl/worksheets/sheet8.xml" Id="R203466d3f3a6406f" /><Relationship Type="http://schemas.openxmlformats.org/officeDocument/2006/relationships/worksheet" Target="/xl/worksheets/sheet9.xml" Id="Rb9574c0ee572490c" /><Relationship Type="http://schemas.openxmlformats.org/officeDocument/2006/relationships/worksheet" Target="/xl/worksheets/sheet10.xml" Id="R630820cd154e48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3661a7812844baf" /><Relationship Type="http://schemas.openxmlformats.org/officeDocument/2006/relationships/chart" Target="/xl/drawings/charts/chart2.xml" Id="Re6a2b18ed23647b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Valor</c:v>
          </c:tx>
          <c:cat>
            <c:strRef>
              <c:f>'08 Dashboard'!$A$17:$A$23</c:f>
              <c:strCache>
                <c:ptCount val="0"/>
              </c:strCache>
            </c:strRef>
          </c:cat>
          <c:val>
            <c:numRef>
              <c:f>'08 Dashboard'!$B$17:$B$23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pieChart>
        <c:ser>
          <c:idx val="0"/>
          <c:order val="0"/>
          <c:tx>
            <c:v>SKUs</c:v>
          </c:tx>
          <c:cat>
            <c:strRef>
              <c:f>'08 Dashboard'!$D$17:$D$21</c:f>
              <c:strCache>
                <c:ptCount val="0"/>
              </c:strCache>
            </c:strRef>
          </c:cat>
          <c:val>
            <c:numRef>
              <c:f>'08 Dashboard'!$E$17:$E$21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6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661a7812844baf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a2b18ed23647b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Productos" displayName="tblProductos" ref="A4:M79" headerRowCount="1">
  <x:tableColumns count="13">
    <x:tableColumn id="1" name="SKU"/>
    <x:tableColumn id="2" name="Producto"/>
    <x:tableColumn id="3" name="Categoría"/>
    <x:tableColumn id="4" name="Unidad"/>
    <x:tableColumn id="5" name="Proveedor principal"/>
    <x:tableColumn id="6" name="Stock inicial"/>
    <x:tableColumn id="7" name="Costo inicial"/>
    <x:tableColumn id="8" name="Stock mínimo"/>
    <x:tableColumn id="9" name="Stock máximo"/>
    <x:tableColumn id="10" name="Lead time días"/>
    <x:tableColumn id="11" name="Consumo diario prom."/>
    <x:tableColumn id="12" name="Ubicación"/>
    <x:tableColumn id="13" name="Activo"/>
  </x:tableColumns>
  <x:tableStyleInfo name="TableStyleMedium2" showRowStripes="1"/>
</x:table>
</file>

<file path=xl/tables/table2.xml><?xml version="1.0" encoding="utf-8"?>
<x:table xmlns:x="http://schemas.openxmlformats.org/spreadsheetml/2006/main" id="2" name="tblMovimientos" displayName="tblMovimientos" ref="A4:M184" headerRowCount="1">
  <x:tableColumns count="13">
    <x:tableColumn id="1" name="Fecha"/>
    <x:tableColumn id="2" name="Tipo"/>
    <x:tableColumn id="3" name="SKU"/>
    <x:tableColumn id="4" name="Producto"/>
    <x:tableColumn id="5" name="Categoría"/>
    <x:tableColumn id="6" name="Documento/Folio"/>
    <x:tableColumn id="7" name="Cantidad"/>
    <x:tableColumn id="8" name="Costo unitario"/>
    <x:tableColumn id="9" name="Entrada"/>
    <x:tableColumn id="10" name="Salida"/>
    <x:tableColumn id="11" name="Importe"/>
    <x:tableColumn id="12" name="Responsable"/>
    <x:tableColumn id="13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3" name="tblInventario" displayName="tblInventario" ref="A4:O79" headerRowCount="1">
  <x:tableColumns count="15">
    <x:tableColumn id="1" name="SKU"/>
    <x:tableColumn id="2" name="Producto"/>
    <x:tableColumn id="3" name="Categoría"/>
    <x:tableColumn id="4" name="Unidad"/>
    <x:tableColumn id="5" name="Stock inicial"/>
    <x:tableColumn id="6" name="Entradas"/>
    <x:tableColumn id="7" name="Salidas"/>
    <x:tableColumn id="8" name="Existencia"/>
    <x:tableColumn id="9" name="Stock mínimo"/>
    <x:tableColumn id="10" name="Stock máximo"/>
    <x:tableColumn id="11" name="Punto reorden"/>
    <x:tableColumn id="12" name="Costo promedio"/>
    <x:tableColumn id="13" name="Valor inventario"/>
    <x:tableColumn id="14" name="Estado"/>
    <x:tableColumn id="15" name="Recomendación"/>
  </x:tableColumns>
  <x:tableStyleInfo name="TableStyleMedium2" showRowStripes="1"/>
</x:table>
</file>

<file path=xl/tables/table4.xml><?xml version="1.0" encoding="utf-8"?>
<x:table xmlns:x="http://schemas.openxmlformats.org/spreadsheetml/2006/main" id="4" name="tblAlertas" displayName="tblAlertas" ref="A4:J79" headerRowCount="1">
  <x:tableColumns count="10">
    <x:tableColumn id="1" name="Prioridad"/>
    <x:tableColumn id="2" name="SKU"/>
    <x:tableColumn id="3" name="Producto"/>
    <x:tableColumn id="4" name="Estado"/>
    <x:tableColumn id="5" name="Existencia"/>
    <x:tableColumn id="6" name="Stock mínimo"/>
    <x:tableColumn id="7" name="Stock máximo"/>
    <x:tableColumn id="8" name="Cantidad sugerida"/>
    <x:tableColumn id="9" name="Valor compra estimado"/>
    <x:tableColumn id="10" name="Acción recomendada"/>
  </x:tableColumns>
  <x:tableStyleInfo name="TableStyleMedium2" showRowStripes="1"/>
</x:table>
</file>

<file path=xl/tables/table5.xml><?xml version="1.0" encoding="utf-8"?>
<x:table xmlns:x="http://schemas.openxmlformats.org/spreadsheetml/2006/main" id="5" name="tblPEPS" displayName="tblPEPS" ref="A5:J65" headerRowCount="1">
  <x:tableColumns count="10">
    <x:tableColumn id="1" name="SKU"/>
    <x:tableColumn id="2" name="Lote"/>
    <x:tableColumn id="3" name="Fecha entrada"/>
    <x:tableColumn id="4" name="Cantidad entrada"/>
    <x:tableColumn id="5" name="Costo unitario"/>
    <x:tableColumn id="6" name="Valor lote"/>
    <x:tableColumn id="7" name="Salidas acumuladas SKU"/>
    <x:tableColumn id="8" name="Entradas previas"/>
    <x:tableColumn id="9" name="Existencia lote PEPS"/>
    <x:tableColumn id="10" name="Valor PEP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8e27b13d7dc447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aefd6948246045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23e5c6c35e394f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5a651edd96644a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dbf172f0625b42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2fd73c6d2a76488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42" customHeight="1">
      <x:c r="A1" s="5" t="str">
        <x:v>Inventario PYME</x:v>
      </x:c>
    </x:row>
    <x:row r="2" ht="28" customHeight="1">
      <x:c r="A2" s="13" t="str">
        <x:v>Plantilla premium editable para controlar entradas, salidas, stock mínimo/máximo, alertas de reposición y valuación de inventario.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</x:row>
    <x:row r="5">
      <x:c r="A5" s="18"/>
      <x:c r="B5" s="23" t="str">
        <x:v>Control completo de inventario para pequeñas y medianas empresas</x:v>
      </x:c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</x:row>
    <x:row r="8">
      <x:c r="A8" s="18"/>
      <x:c r="B8" s="31" t="str">
        <x:v>Registra productos, entradas, salidas, calcula existencias, identifica productos críticos y visualiza el valor de tu inventario en un dashboard ejecutivo.</x:v>
      </x:c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</x:row>
    <x:row r="11">
      <x:c r="A11" s="18"/>
      <x:c r="B11" s="40" t="str">
        <x:v>01
Configura
Empresa, año, moneda y criterios</x:v>
      </x:c>
      <x:c r="C11" s="18"/>
      <x:c r="D11" s="18"/>
      <x:c r="E11" s="40" t="str">
        <x:v>02
Registra
Productos y movimientos</x:v>
      </x:c>
      <x:c r="F11" s="18"/>
      <x:c r="G11" s="18"/>
      <x:c r="H11" s="40" t="str">
        <x:v>03
Analiza
Existencias, reorden y valor</x:v>
      </x:c>
      <x:c r="I11" s="18"/>
      <x:c r="J11" s="18"/>
      <x:c r="K11" s="40" t="str">
        <x:v>04
Decide
Dashboard y alertas</x:v>
      </x:c>
      <x:c r="L11" s="18"/>
      <x:c r="M11" s="18"/>
      <x:c r="N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</x:row>
    <x:row r="17">
      <x:c r="A17" s="18"/>
      <x:c r="B17" s="48" t="str">
        <x:v>Diseñado para ICADEM: herramienta editable para alumnos, consultores y PYMES.</x:v>
      </x:c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</x:row>
  </x:sheetData>
  <x:mergeCells>
    <x:mergeCell ref="A1:N1"/>
    <x:mergeCell ref="A2:N2"/>
    <x:mergeCell ref="B5:M7"/>
    <x:mergeCell ref="B8:M9"/>
    <x:mergeCell ref="B11:D14"/>
    <x:mergeCell ref="E11:G14"/>
    <x:mergeCell ref="H11:J14"/>
    <x:mergeCell ref="K11:M14"/>
    <x:mergeCell ref="B17:M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2" customHeight="1">
      <x:c r="A1" s="5" t="str">
        <x:v>Guía de uso</x:v>
      </x:c>
    </x:row>
    <x:row r="2" ht="28" customHeight="1">
      <x:c r="A2" s="13" t="str">
        <x:v>Sigue el flujo para mantener el inventario ordenado, funcional y fácil de interpretar.</x:v>
      </x:c>
    </x:row>
    <x:row r="4" ht="24" customHeight="1">
      <x:c r="A4" s="56" t="str">
        <x:v>Flujo recomendado</x:v>
      </x:c>
      <x:c r="F4" s="56" t="str">
        <x:v>Leyenda</x:v>
      </x:c>
    </x:row>
    <x:row r="5" ht="26" customHeight="1">
      <x:c r="A5" s="66" t="str">
        <x:v>Paso</x:v>
      </x:c>
      <x:c r="B5" s="66" t="str">
        <x:v>Hoja</x:v>
      </x:c>
      <x:c r="C5" s="66" t="str">
        <x:v>Qué debes hacer</x:v>
      </x:c>
      <x:c r="D5" s="66" t="str">
        <x:v>Resultado</x:v>
      </x:c>
      <x:c r="F5" s="66" t="str">
        <x:v>Color</x:v>
      </x:c>
      <x:c r="G5" s="66" t="str">
        <x:v>Significado</x:v>
      </x:c>
    </x:row>
    <x:row r="6">
      <x:c r="A6" s="74" t="str">
        <x:v>1</x:v>
      </x:c>
      <x:c r="B6" s="74" t="str">
        <x:v>02 Configuración</x:v>
      </x:c>
      <x:c r="C6" s="74" t="str">
        <x:v>Captura empresa, año, moneda y método de valuación.</x:v>
      </x:c>
      <x:c r="D6" s="74" t="str">
        <x:v>Base de cálculo lista.</x:v>
      </x:c>
      <x:c r="F6" s="78" t="str">
        <x:v>Azul claro</x:v>
      </x:c>
      <x:c r="G6" s="78" t="str">
        <x:v>Campo editable</x:v>
      </x:c>
    </x:row>
    <x:row r="7">
      <x:c r="A7" s="74" t="str">
        <x:v>2</x:v>
      </x:c>
      <x:c r="B7" s="74" t="str">
        <x:v>03 Productos</x:v>
      </x:c>
      <x:c r="C7" s="74" t="str">
        <x:v>Registra productos, stock inicial, costos, mínimos y máximos.</x:v>
      </x:c>
      <x:c r="D7" s="74" t="str">
        <x:v>Catálogo maestro.</x:v>
      </x:c>
      <x:c r="F7" s="78" t="str">
        <x:v>Gris claro</x:v>
      </x:c>
      <x:c r="G7" s="78" t="str">
        <x:v>Fórmula automática</x:v>
      </x:c>
    </x:row>
    <x:row r="8">
      <x:c r="A8" s="74" t="str">
        <x:v>3</x:v>
      </x:c>
      <x:c r="B8" s="74" t="str">
        <x:v>04 Movimientos</x:v>
      </x:c>
      <x:c r="C8" s="74" t="str">
        <x:v>Captura cada entrada o salida con fecha, SKU, cantidad y costo.</x:v>
      </x:c>
      <x:c r="D8" s="74" t="str">
        <x:v>Historial operativo.</x:v>
      </x:c>
      <x:c r="F8" s="78" t="str">
        <x:v>Dorado</x:v>
      </x:c>
      <x:c r="G8" s="78" t="str">
        <x:v>Instrucción</x:v>
      </x:c>
    </x:row>
    <x:row r="9">
      <x:c r="A9" s="74" t="str">
        <x:v>4</x:v>
      </x:c>
      <x:c r="B9" s="74" t="str">
        <x:v>05 Inventario</x:v>
      </x:c>
      <x:c r="C9" s="74" t="str">
        <x:v>Revisa existencias, valorización y estado del stock.</x:v>
      </x:c>
      <x:c r="D9" s="74" t="str">
        <x:v>Control actualizado.</x:v>
      </x:c>
      <x:c r="F9" s="78" t="str">
        <x:v>Rojo/Naranja</x:v>
      </x:c>
      <x:c r="G9" s="78" t="str">
        <x:v>Alerta</x:v>
      </x:c>
    </x:row>
    <x:row r="10">
      <x:c r="A10" s="74" t="str">
        <x:v>5</x:v>
      </x:c>
      <x:c r="B10" s="74" t="str">
        <x:v>06 Alertas</x:v>
      </x:c>
      <x:c r="C10" s="74" t="str">
        <x:v>Consulta productos críticos y cantidades sugeridas de compra.</x:v>
      </x:c>
      <x:c r="D10" s="74" t="str">
        <x:v>Reposición planificada.</x:v>
      </x:c>
    </x:row>
    <x:row r="11">
      <x:c r="A11" s="74" t="str">
        <x:v>6</x:v>
      </x:c>
      <x:c r="B11" s="74" t="str">
        <x:v>08 Dashboard</x:v>
      </x:c>
      <x:c r="C11" s="74" t="str">
        <x:v>Monitorea KPIs, gráficas y distribución del inventario.</x:v>
      </x:c>
      <x:c r="D11" s="74" t="str">
        <x:v>Decisiones ejecutivas.</x:v>
      </x:c>
    </x:row>
    <x:row r="14" ht="24" customHeight="1">
      <x:c r="A14" s="56" t="str">
        <x:v>Recomendación</x:v>
      </x:c>
    </x:row>
    <x:row r="15">
      <x:c r="A15" s="82" t="str">
        <x:v>Captura únicamente en las hojas de configuración, productos, movimientos y PEPS. Las demás hojas se actualizan con fórmulas. Evita borrar columnas grises para no romper los cálculos.</x:v>
      </x:c>
    </x:row>
  </x:sheetData>
  <x:mergeCells>
    <x:mergeCell ref="A1:H1"/>
    <x:mergeCell ref="A2:H2"/>
    <x:mergeCell ref="A15:H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42" customHeight="1">
      <x:c r="A1" s="5" t="str">
        <x:v>Configuración general</x:v>
      </x:c>
    </x:row>
    <x:row r="2" ht="28" customHeight="1">
      <x:c r="A2" s="13" t="str">
        <x:v>Personaliza datos de empresa, año de control y criterios financieros.</x:v>
      </x:c>
    </x:row>
    <x:row r="4" ht="24" customHeight="1">
      <x:c r="A4" s="66" t="str">
        <x:v>Campo</x:v>
      </x:c>
      <x:c r="B4" s="66" t="str">
        <x:v>Valor editable</x:v>
      </x:c>
      <x:c r="C4" s="66" t="str">
        <x:v>Descripción</x:v>
      </x:c>
      <x:c r="E4" s="56" t="str">
        <x:v>Indicadores de referencia</x:v>
      </x:c>
    </x:row>
    <x:row r="5" ht="26" customHeight="1">
      <x:c r="A5" s="54" t="str">
        <x:v>Empresa</x:v>
      </x:c>
      <x:c r="B5" s="88" t="str">
        <x:v>Mi Empresa PYME</x:v>
      </x:c>
      <x:c r="C5" s="81" t="str">
        <x:v>Nombre comercial o razón social.</x:v>
      </x:c>
      <x:c r="E5" s="66" t="str">
        <x:v>Indicador</x:v>
      </x:c>
      <x:c r="F5" s="66" t="str">
        <x:v>Criterio</x:v>
      </x:c>
      <x:c r="G5" s="66" t="str">
        <x:v>Uso</x:v>
      </x:c>
    </x:row>
    <x:row r="6">
      <x:c r="A6" s="54" t="str">
        <x:v>Responsable</x:v>
      </x:c>
      <x:c r="B6" s="88" t="str">
        <x:v>Administración</x:v>
      </x:c>
      <x:c r="C6" s="81" t="str">
        <x:v>Persona o área responsable.</x:v>
      </x:c>
      <x:c r="E6" s="94" t="str">
        <x:v>Stock mínimo</x:v>
      </x:c>
      <x:c r="F6" s="94" t="str">
        <x:v>Nivel mínimo aceptable</x:v>
      </x:c>
      <x:c r="G6" s="94" t="str">
        <x:v>Se marca crítico al llegar a este nivel.</x:v>
      </x:c>
    </x:row>
    <x:row r="7">
      <x:c r="A7" s="54" t="str">
        <x:v>Año de control</x:v>
      </x:c>
      <x:c r="B7" s="88" t="n">
        <x:v>2026</x:v>
      </x:c>
      <x:c r="C7" s="81" t="str">
        <x:v>Año principal para dashboard.</x:v>
      </x:c>
      <x:c r="E7" s="94" t="str">
        <x:v>Stock máximo</x:v>
      </x:c>
      <x:c r="F7" s="94" t="str">
        <x:v>Nivel máximo deseado</x:v>
      </x:c>
      <x:c r="G7" s="94" t="str">
        <x:v>Se usa para sugerir cantidad de reposición.</x:v>
      </x:c>
    </x:row>
    <x:row r="8">
      <x:c r="A8" s="54" t="str">
        <x:v>Moneda</x:v>
      </x:c>
      <x:c r="B8" s="88" t="str">
        <x:v>MXN</x:v>
      </x:c>
      <x:c r="C8" s="81" t="str">
        <x:v>Moneda de registro.</x:v>
      </x:c>
      <x:c r="E8" s="94" t="str">
        <x:v>Punto de reorden</x:v>
      </x:c>
      <x:c r="F8" s="94" t="str">
        <x:v>Stock mínimo + consumo diario x lead time</x:v>
      </x:c>
      <x:c r="G8" s="94" t="str">
        <x:v>Indica cuándo volver a comprar.</x:v>
      </x:c>
    </x:row>
    <x:row r="9">
      <x:c r="A9" s="54" t="str">
        <x:v>Método principal</x:v>
      </x:c>
      <x:c r="B9" s="92" t="str">
        <x:v>Promedio</x:v>
      </x:c>
      <x:c r="C9" s="81" t="str">
        <x:v>Selecciona Promedio o PEPS.</x:v>
      </x:c>
      <x:c r="E9" s="94" t="str">
        <x:v>Valuación</x:v>
      </x:c>
      <x:c r="F9" s="94" t="str">
        <x:v>Existencia x costo promedio</x:v>
      </x:c>
      <x:c r="G9" s="94" t="str">
        <x:v>Estima el valor financiero del inventario.</x:v>
      </x:c>
    </x:row>
    <x:row r="10">
      <x:c r="A10" s="54" t="str">
        <x:v>IVA estándar</x:v>
      </x:c>
      <x:c r="B10" s="88" t="n">
        <x:v>0.16</x:v>
      </x:c>
      <x:c r="C10" s="81" t="str">
        <x:v>Referencia fiscal para análisis interno.</x:v>
      </x:c>
    </x:row>
    <x:row r="11">
      <x:c r="A11" s="54" t="str">
        <x:v>Mes de análisis</x:v>
      </x:c>
      <x:c r="B11" s="88" t="str">
        <x:v>Mayo</x:v>
      </x:c>
      <x:c r="C11" s="81" t="str">
        <x:v>Mes para KPIs mensuales.</x:v>
      </x:c>
    </x:row>
  </x:sheetData>
  <x:mergeCells>
    <x:mergeCell ref="A1:G1"/>
    <x:mergeCell ref="A2:G2"/>
  </x:mergeCells>
  <x:dataValidations count="3">
    <x:dataValidation type="list" sqref="B8">
      <x:formula1>"MXN,USD,EUR"</x:formula1>
    </x:dataValidation>
    <x:dataValidation type="list" sqref="B10">
      <x:formula1>"Promedio,PEPS"</x:formula1>
    </x:dataValidation>
    <x:dataValidation type="list" sqref="B11">
      <x:formula1>"Enero,Febrero,Marzo,Abril,Mayo,Junio,Julio,Agosto,Septiembre,Octubre,Noviembre,Diciembre"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0" hidden="0" customWidth="1"/>
    <x:col min="4" max="4" width="1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8" hidden="0" customWidth="1"/>
    <x:col min="13" max="13" width="10" hidden="0" customWidth="1"/>
  </x:cols>
  <x:sheetData>
    <x:row r="1" ht="42" customHeight="1">
      <x:c r="A1" s="5" t="str">
        <x:v>Catálogo de productos</x:v>
      </x:c>
    </x:row>
    <x:row r="2" ht="28" customHeight="1">
      <x:c r="A2" s="13" t="str">
        <x:v>Registra los productos o insumos que deseas controlar. Los datos alimentan todo el inventario.</x:v>
      </x:c>
    </x:row>
    <x:row r="4" ht="26" customHeight="1">
      <x:c r="A4" s="66" t="str">
        <x:v>SKU</x:v>
      </x:c>
      <x:c r="B4" s="66" t="str">
        <x:v>Producto</x:v>
      </x:c>
      <x:c r="C4" s="66" t="str">
        <x:v>Categoría</x:v>
      </x:c>
      <x:c r="D4" s="66" t="str">
        <x:v>Unidad</x:v>
      </x:c>
      <x:c r="E4" s="66" t="str">
        <x:v>Proveedor principal</x:v>
      </x:c>
      <x:c r="F4" s="66" t="str">
        <x:v>Stock inicial</x:v>
      </x:c>
      <x:c r="G4" s="66" t="str">
        <x:v>Costo inicial</x:v>
      </x:c>
      <x:c r="H4" s="66" t="str">
        <x:v>Stock mínimo</x:v>
      </x:c>
      <x:c r="I4" s="66" t="str">
        <x:v>Stock máximo</x:v>
      </x:c>
      <x:c r="J4" s="66" t="str">
        <x:v>Lead time días</x:v>
      </x:c>
      <x:c r="K4" s="66" t="str">
        <x:v>Consumo diario prom.</x:v>
      </x:c>
      <x:c r="L4" s="66" t="str">
        <x:v>Ubicación</x:v>
      </x:c>
      <x:c r="M4" s="66" t="str">
        <x:v>Activo</x:v>
      </x:c>
    </x:row>
    <x:row r="5">
      <x:c r="A5" s="98" t="str">
        <x:v>SKU-001</x:v>
      </x:c>
      <x:c r="B5" s="98" t="str">
        <x:v>Laptop administrativa</x:v>
      </x:c>
      <x:c r="C5" s="98" t="str">
        <x:v>Equipo</x:v>
      </x:c>
      <x:c r="D5" s="98" t="str">
        <x:v>pieza</x:v>
      </x:c>
      <x:c r="E5" s="98" t="str">
        <x:v>Proveedor Norte</x:v>
      </x:c>
      <x:c r="F5" s="102" t="n">
        <x:v>4</x:v>
      </x:c>
      <x:c r="G5" s="104" t="n">
        <x:v>12500</x:v>
      </x:c>
      <x:c r="H5" s="106" t="n">
        <x:v>2</x:v>
      </x:c>
      <x:c r="I5" s="106" t="n">
        <x:v>8</x:v>
      </x:c>
      <x:c r="J5" s="106" t="n">
        <x:v>7</x:v>
      </x:c>
      <x:c r="K5" s="106" t="n">
        <x:v>0.1</x:v>
      </x:c>
      <x:c r="L5" s="98" t="str">
        <x:v>Oficina</x:v>
      </x:c>
      <x:c r="M5" s="98" t="str">
        <x:v>Sí</x:v>
      </x:c>
    </x:row>
    <x:row r="6">
      <x:c r="A6" s="98" t="str">
        <x:v>SKU-002</x:v>
      </x:c>
      <x:c r="B6" s="98" t="str">
        <x:v>Toner impresora</x:v>
      </x:c>
      <x:c r="C6" s="98" t="str">
        <x:v>Consumibles</x:v>
      </x:c>
      <x:c r="D6" s="98" t="str">
        <x:v>pieza</x:v>
      </x:c>
      <x:c r="E6" s="98" t="str">
        <x:v>Proveedor Centro</x:v>
      </x:c>
      <x:c r="F6" s="102" t="n">
        <x:v>10</x:v>
      </x:c>
      <x:c r="G6" s="104" t="n">
        <x:v>780</x:v>
      </x:c>
      <x:c r="H6" s="106" t="n">
        <x:v>4</x:v>
      </x:c>
      <x:c r="I6" s="106" t="n">
        <x:v>20</x:v>
      </x:c>
      <x:c r="J6" s="106" t="n">
        <x:v>5</x:v>
      </x:c>
      <x:c r="K6" s="106" t="n">
        <x:v>0.4</x:v>
      </x:c>
      <x:c r="L6" s="98" t="str">
        <x:v>Almacén A</x:v>
      </x:c>
      <x:c r="M6" s="98" t="str">
        <x:v>Sí</x:v>
      </x:c>
    </x:row>
    <x:row r="7">
      <x:c r="A7" s="98" t="str">
        <x:v>SKU-003</x:v>
      </x:c>
      <x:c r="B7" s="98" t="str">
        <x:v>Caja de empaque</x:v>
      </x:c>
      <x:c r="C7" s="98" t="str">
        <x:v>Empaque</x:v>
      </x:c>
      <x:c r="D7" s="98" t="str">
        <x:v>caja</x:v>
      </x:c>
      <x:c r="E7" s="98" t="str">
        <x:v>Proveedor Local</x:v>
      </x:c>
      <x:c r="F7" s="102" t="n">
        <x:v>120</x:v>
      </x:c>
      <x:c r="G7" s="104" t="n">
        <x:v>22</x:v>
      </x:c>
      <x:c r="H7" s="106" t="n">
        <x:v>50</x:v>
      </x:c>
      <x:c r="I7" s="106" t="n">
        <x:v>300</x:v>
      </x:c>
      <x:c r="J7" s="106" t="n">
        <x:v>3</x:v>
      </x:c>
      <x:c r="K7" s="106" t="n">
        <x:v>8</x:v>
      </x:c>
      <x:c r="L7" s="98" t="str">
        <x:v>Almacén B</x:v>
      </x:c>
      <x:c r="M7" s="98" t="str">
        <x:v>Sí</x:v>
      </x:c>
    </x:row>
    <x:row r="8">
      <x:c r="A8" s="98" t="str">
        <x:v>SKU-004</x:v>
      </x:c>
      <x:c r="B8" s="98" t="str">
        <x:v>Material promocional</x:v>
      </x:c>
      <x:c r="C8" s="98" t="str">
        <x:v>Insumos</x:v>
      </x:c>
      <x:c r="D8" s="98" t="str">
        <x:v>paquete</x:v>
      </x:c>
      <x:c r="E8" s="98" t="str">
        <x:v>Distribuidor Regional</x:v>
      </x:c>
      <x:c r="F8" s="102" t="n">
        <x:v>30</x:v>
      </x:c>
      <x:c r="G8" s="104" t="n">
        <x:v>180</x:v>
      </x:c>
      <x:c r="H8" s="106" t="n">
        <x:v>10</x:v>
      </x:c>
      <x:c r="I8" s="106" t="n">
        <x:v>80</x:v>
      </x:c>
      <x:c r="J8" s="106" t="n">
        <x:v>10</x:v>
      </x:c>
      <x:c r="K8" s="106" t="n">
        <x:v>1</x:v>
      </x:c>
      <x:c r="L8" s="98" t="str">
        <x:v>Marketing</x:v>
      </x:c>
      <x:c r="M8" s="98" t="str">
        <x:v>Sí</x:v>
      </x:c>
    </x:row>
    <x:row r="9">
      <x:c r="A9" s="98" t="str">
        <x:v>SKU-005</x:v>
      </x:c>
      <x:c r="B9" s="98" t="str">
        <x:v>Refacción crítica</x:v>
      </x:c>
      <x:c r="C9" s="98" t="str">
        <x:v>Refacciones</x:v>
      </x:c>
      <x:c r="D9" s="98" t="str">
        <x:v>pieza</x:v>
      </x:c>
      <x:c r="E9" s="98" t="str">
        <x:v>Importadora MX</x:v>
      </x:c>
      <x:c r="F9" s="102" t="n">
        <x:v>6</x:v>
      </x:c>
      <x:c r="G9" s="104" t="n">
        <x:v>1450</x:v>
      </x:c>
      <x:c r="H9" s="106" t="n">
        <x:v>3</x:v>
      </x:c>
      <x:c r="I9" s="106" t="n">
        <x:v>12</x:v>
      </x:c>
      <x:c r="J9" s="106" t="n">
        <x:v>15</x:v>
      </x:c>
      <x:c r="K9" s="106" t="n">
        <x:v>0.2</x:v>
      </x:c>
      <x:c r="L9" s="98" t="str">
        <x:v>Taller</x:v>
      </x:c>
      <x:c r="M9" s="98" t="str">
        <x:v>Sí</x:v>
      </x:c>
    </x:row>
    <x:row r="10">
      <x:c r="A10" s="98" t="str">
        <x:v>SKU-006</x:v>
      </x:c>
      <x:c r="B10" s="98" t="str">
        <x:v>Etiqueta adhesiva</x:v>
      </x:c>
      <x:c r="C10" s="98" t="str">
        <x:v>Empaque</x:v>
      </x:c>
      <x:c r="D10" s="98" t="str">
        <x:v>paquete</x:v>
      </x:c>
      <x:c r="E10" s="98" t="str">
        <x:v>Proveedor Local</x:v>
      </x:c>
      <x:c r="F10" s="102" t="n">
        <x:v>80</x:v>
      </x:c>
      <x:c r="G10" s="104" t="n">
        <x:v>95</x:v>
      </x:c>
      <x:c r="H10" s="106" t="n">
        <x:v>25</x:v>
      </x:c>
      <x:c r="I10" s="106" t="n">
        <x:v>200</x:v>
      </x:c>
      <x:c r="J10" s="106" t="n">
        <x:v>4</x:v>
      </x:c>
      <x:c r="K10" s="106" t="n">
        <x:v>3</x:v>
      </x:c>
      <x:c r="L10" s="98" t="str">
        <x:v>Almacén B</x:v>
      </x:c>
      <x:c r="M10" s="98" t="str">
        <x:v>Sí</x:v>
      </x:c>
    </x:row>
    <x:row r="11">
      <x:c r="A11" s="98"/>
      <x:c r="B11" s="98"/>
      <x:c r="C11" s="98"/>
      <x:c r="D11" s="98"/>
      <x:c r="E11" s="98"/>
      <x:c r="F11" s="102"/>
      <x:c r="G11" s="104"/>
      <x:c r="H11" s="106"/>
      <x:c r="I11" s="106"/>
      <x:c r="J11" s="106"/>
      <x:c r="K11" s="106"/>
      <x:c r="L11" s="98"/>
      <x:c r="M11" s="98"/>
    </x:row>
    <x:row r="12">
      <x:c r="A12" s="98"/>
      <x:c r="B12" s="98"/>
      <x:c r="C12" s="98"/>
      <x:c r="D12" s="98"/>
      <x:c r="E12" s="98"/>
      <x:c r="F12" s="102"/>
      <x:c r="G12" s="104"/>
      <x:c r="H12" s="106"/>
      <x:c r="I12" s="106"/>
      <x:c r="J12" s="106"/>
      <x:c r="K12" s="106"/>
      <x:c r="L12" s="98"/>
      <x:c r="M12" s="98"/>
    </x:row>
    <x:row r="13">
      <x:c r="A13" s="98"/>
      <x:c r="B13" s="98"/>
      <x:c r="C13" s="98"/>
      <x:c r="D13" s="98"/>
      <x:c r="E13" s="98"/>
      <x:c r="F13" s="102"/>
      <x:c r="G13" s="104"/>
      <x:c r="H13" s="106"/>
      <x:c r="I13" s="106"/>
      <x:c r="J13" s="106"/>
      <x:c r="K13" s="106"/>
      <x:c r="L13" s="98"/>
      <x:c r="M13" s="98"/>
    </x:row>
    <x:row r="14">
      <x:c r="A14" s="98"/>
      <x:c r="B14" s="98"/>
      <x:c r="C14" s="98"/>
      <x:c r="D14" s="98"/>
      <x:c r="E14" s="98"/>
      <x:c r="F14" s="102"/>
      <x:c r="G14" s="104"/>
      <x:c r="H14" s="106"/>
      <x:c r="I14" s="106"/>
      <x:c r="J14" s="106"/>
      <x:c r="K14" s="106"/>
      <x:c r="L14" s="98"/>
      <x:c r="M14" s="98"/>
    </x:row>
    <x:row r="15">
      <x:c r="A15" s="98"/>
      <x:c r="B15" s="98"/>
      <x:c r="C15" s="98"/>
      <x:c r="D15" s="98"/>
      <x:c r="E15" s="98"/>
      <x:c r="F15" s="102"/>
      <x:c r="G15" s="104"/>
      <x:c r="H15" s="106"/>
      <x:c r="I15" s="106"/>
      <x:c r="J15" s="106"/>
      <x:c r="K15" s="106"/>
      <x:c r="L15" s="98"/>
      <x:c r="M15" s="98"/>
    </x:row>
    <x:row r="16">
      <x:c r="A16" s="98"/>
      <x:c r="B16" s="98"/>
      <x:c r="C16" s="98"/>
      <x:c r="D16" s="98"/>
      <x:c r="E16" s="98"/>
      <x:c r="F16" s="102"/>
      <x:c r="G16" s="104"/>
      <x:c r="H16" s="106"/>
      <x:c r="I16" s="106"/>
      <x:c r="J16" s="106"/>
      <x:c r="K16" s="106"/>
      <x:c r="L16" s="98"/>
      <x:c r="M16" s="98"/>
    </x:row>
    <x:row r="17">
      <x:c r="A17" s="98"/>
      <x:c r="B17" s="98"/>
      <x:c r="C17" s="98"/>
      <x:c r="D17" s="98"/>
      <x:c r="E17" s="98"/>
      <x:c r="F17" s="102"/>
      <x:c r="G17" s="104"/>
      <x:c r="H17" s="106"/>
      <x:c r="I17" s="106"/>
      <x:c r="J17" s="106"/>
      <x:c r="K17" s="106"/>
      <x:c r="L17" s="98"/>
      <x:c r="M17" s="98"/>
    </x:row>
    <x:row r="18">
      <x:c r="A18" s="98"/>
      <x:c r="B18" s="98"/>
      <x:c r="C18" s="98"/>
      <x:c r="D18" s="98"/>
      <x:c r="E18" s="98"/>
      <x:c r="F18" s="102"/>
      <x:c r="G18" s="104"/>
      <x:c r="H18" s="106"/>
      <x:c r="I18" s="106"/>
      <x:c r="J18" s="106"/>
      <x:c r="K18" s="106"/>
      <x:c r="L18" s="98"/>
      <x:c r="M18" s="98"/>
    </x:row>
    <x:row r="19">
      <x:c r="A19" s="98"/>
      <x:c r="B19" s="98"/>
      <x:c r="C19" s="98"/>
      <x:c r="D19" s="98"/>
      <x:c r="E19" s="98"/>
      <x:c r="F19" s="102"/>
      <x:c r="G19" s="104"/>
      <x:c r="H19" s="106"/>
      <x:c r="I19" s="106"/>
      <x:c r="J19" s="106"/>
      <x:c r="K19" s="106"/>
      <x:c r="L19" s="98"/>
      <x:c r="M19" s="98"/>
    </x:row>
    <x:row r="20">
      <x:c r="A20" s="98"/>
      <x:c r="B20" s="98"/>
      <x:c r="C20" s="98"/>
      <x:c r="D20" s="98"/>
      <x:c r="E20" s="98"/>
      <x:c r="F20" s="102"/>
      <x:c r="G20" s="104"/>
      <x:c r="H20" s="106"/>
      <x:c r="I20" s="106"/>
      <x:c r="J20" s="106"/>
      <x:c r="K20" s="106"/>
      <x:c r="L20" s="98"/>
      <x:c r="M20" s="98"/>
    </x:row>
    <x:row r="21">
      <x:c r="A21" s="98"/>
      <x:c r="B21" s="98"/>
      <x:c r="C21" s="98"/>
      <x:c r="D21" s="98"/>
      <x:c r="E21" s="98"/>
      <x:c r="F21" s="102"/>
      <x:c r="G21" s="104"/>
      <x:c r="H21" s="106"/>
      <x:c r="I21" s="106"/>
      <x:c r="J21" s="106"/>
      <x:c r="K21" s="106"/>
      <x:c r="L21" s="98"/>
      <x:c r="M21" s="98"/>
    </x:row>
    <x:row r="22">
      <x:c r="A22" s="98"/>
      <x:c r="B22" s="98"/>
      <x:c r="C22" s="98"/>
      <x:c r="D22" s="98"/>
      <x:c r="E22" s="98"/>
      <x:c r="F22" s="102"/>
      <x:c r="G22" s="104"/>
      <x:c r="H22" s="106"/>
      <x:c r="I22" s="106"/>
      <x:c r="J22" s="106"/>
      <x:c r="K22" s="106"/>
      <x:c r="L22" s="98"/>
      <x:c r="M22" s="98"/>
    </x:row>
    <x:row r="23">
      <x:c r="A23" s="98"/>
      <x:c r="B23" s="98"/>
      <x:c r="C23" s="98"/>
      <x:c r="D23" s="98"/>
      <x:c r="E23" s="98"/>
      <x:c r="F23" s="102"/>
      <x:c r="G23" s="104"/>
      <x:c r="H23" s="106"/>
      <x:c r="I23" s="106"/>
      <x:c r="J23" s="106"/>
      <x:c r="K23" s="106"/>
      <x:c r="L23" s="98"/>
      <x:c r="M23" s="98"/>
    </x:row>
    <x:row r="24">
      <x:c r="A24" s="98"/>
      <x:c r="B24" s="98"/>
      <x:c r="C24" s="98"/>
      <x:c r="D24" s="98"/>
      <x:c r="E24" s="98"/>
      <x:c r="F24" s="102"/>
      <x:c r="G24" s="104"/>
      <x:c r="H24" s="106"/>
      <x:c r="I24" s="106"/>
      <x:c r="J24" s="106"/>
      <x:c r="K24" s="106"/>
      <x:c r="L24" s="98"/>
      <x:c r="M24" s="98"/>
    </x:row>
    <x:row r="25">
      <x:c r="A25" s="98"/>
      <x:c r="B25" s="98"/>
      <x:c r="C25" s="98"/>
      <x:c r="D25" s="98"/>
      <x:c r="E25" s="98"/>
      <x:c r="F25" s="102"/>
      <x:c r="G25" s="104"/>
      <x:c r="H25" s="106"/>
      <x:c r="I25" s="106"/>
      <x:c r="J25" s="106"/>
      <x:c r="K25" s="106"/>
      <x:c r="L25" s="98"/>
      <x:c r="M25" s="98"/>
    </x:row>
    <x:row r="26">
      <x:c r="A26" s="98"/>
      <x:c r="B26" s="98"/>
      <x:c r="C26" s="98"/>
      <x:c r="D26" s="98"/>
      <x:c r="E26" s="98"/>
      <x:c r="F26" s="102"/>
      <x:c r="G26" s="104"/>
      <x:c r="H26" s="106"/>
      <x:c r="I26" s="106"/>
      <x:c r="J26" s="106"/>
      <x:c r="K26" s="106"/>
      <x:c r="L26" s="98"/>
      <x:c r="M26" s="98"/>
    </x:row>
    <x:row r="27">
      <x:c r="A27" s="98"/>
      <x:c r="B27" s="98"/>
      <x:c r="C27" s="98"/>
      <x:c r="D27" s="98"/>
      <x:c r="E27" s="98"/>
      <x:c r="F27" s="102"/>
      <x:c r="G27" s="104"/>
      <x:c r="H27" s="106"/>
      <x:c r="I27" s="106"/>
      <x:c r="J27" s="106"/>
      <x:c r="K27" s="106"/>
      <x:c r="L27" s="98"/>
      <x:c r="M27" s="98"/>
    </x:row>
    <x:row r="28">
      <x:c r="A28" s="98"/>
      <x:c r="B28" s="98"/>
      <x:c r="C28" s="98"/>
      <x:c r="D28" s="98"/>
      <x:c r="E28" s="98"/>
      <x:c r="F28" s="102"/>
      <x:c r="G28" s="104"/>
      <x:c r="H28" s="106"/>
      <x:c r="I28" s="106"/>
      <x:c r="J28" s="106"/>
      <x:c r="K28" s="106"/>
      <x:c r="L28" s="98"/>
      <x:c r="M28" s="98"/>
    </x:row>
    <x:row r="29">
      <x:c r="A29" s="98"/>
      <x:c r="B29" s="98"/>
      <x:c r="C29" s="98"/>
      <x:c r="D29" s="98"/>
      <x:c r="E29" s="98"/>
      <x:c r="F29" s="102"/>
      <x:c r="G29" s="104"/>
      <x:c r="H29" s="106"/>
      <x:c r="I29" s="106"/>
      <x:c r="J29" s="106"/>
      <x:c r="K29" s="106"/>
      <x:c r="L29" s="98"/>
      <x:c r="M29" s="98"/>
    </x:row>
    <x:row r="30">
      <x:c r="A30" s="98"/>
      <x:c r="B30" s="98"/>
      <x:c r="C30" s="98"/>
      <x:c r="D30" s="98"/>
      <x:c r="E30" s="98"/>
      <x:c r="F30" s="102"/>
      <x:c r="G30" s="104"/>
      <x:c r="H30" s="106"/>
      <x:c r="I30" s="106"/>
      <x:c r="J30" s="106"/>
      <x:c r="K30" s="106"/>
      <x:c r="L30" s="98"/>
      <x:c r="M30" s="98"/>
    </x:row>
    <x:row r="31">
      <x:c r="A31" s="98"/>
      <x:c r="B31" s="98"/>
      <x:c r="C31" s="98"/>
      <x:c r="D31" s="98"/>
      <x:c r="E31" s="98"/>
      <x:c r="F31" s="102"/>
      <x:c r="G31" s="104"/>
      <x:c r="H31" s="106"/>
      <x:c r="I31" s="106"/>
      <x:c r="J31" s="106"/>
      <x:c r="K31" s="106"/>
      <x:c r="L31" s="98"/>
      <x:c r="M31" s="98"/>
    </x:row>
    <x:row r="32">
      <x:c r="A32" s="98"/>
      <x:c r="B32" s="98"/>
      <x:c r="C32" s="98"/>
      <x:c r="D32" s="98"/>
      <x:c r="E32" s="98"/>
      <x:c r="F32" s="102"/>
      <x:c r="G32" s="104"/>
      <x:c r="H32" s="106"/>
      <x:c r="I32" s="106"/>
      <x:c r="J32" s="106"/>
      <x:c r="K32" s="106"/>
      <x:c r="L32" s="98"/>
      <x:c r="M32" s="98"/>
    </x:row>
    <x:row r="33">
      <x:c r="A33" s="98"/>
      <x:c r="B33" s="98"/>
      <x:c r="C33" s="98"/>
      <x:c r="D33" s="98"/>
      <x:c r="E33" s="98"/>
      <x:c r="F33" s="102"/>
      <x:c r="G33" s="104"/>
      <x:c r="H33" s="106"/>
      <x:c r="I33" s="106"/>
      <x:c r="J33" s="106"/>
      <x:c r="K33" s="106"/>
      <x:c r="L33" s="98"/>
      <x:c r="M33" s="98"/>
    </x:row>
    <x:row r="34">
      <x:c r="A34" s="98"/>
      <x:c r="B34" s="98"/>
      <x:c r="C34" s="98"/>
      <x:c r="D34" s="98"/>
      <x:c r="E34" s="98"/>
      <x:c r="F34" s="102"/>
      <x:c r="G34" s="104"/>
      <x:c r="H34" s="106"/>
      <x:c r="I34" s="106"/>
      <x:c r="J34" s="106"/>
      <x:c r="K34" s="106"/>
      <x:c r="L34" s="98"/>
      <x:c r="M34" s="98"/>
    </x:row>
    <x:row r="35">
      <x:c r="A35" s="98"/>
      <x:c r="B35" s="98"/>
      <x:c r="C35" s="98"/>
      <x:c r="D35" s="98"/>
      <x:c r="E35" s="98"/>
      <x:c r="F35" s="102"/>
      <x:c r="G35" s="104"/>
      <x:c r="H35" s="106"/>
      <x:c r="I35" s="106"/>
      <x:c r="J35" s="106"/>
      <x:c r="K35" s="106"/>
      <x:c r="L35" s="98"/>
      <x:c r="M35" s="98"/>
    </x:row>
    <x:row r="36">
      <x:c r="A36" s="98"/>
      <x:c r="B36" s="98"/>
      <x:c r="C36" s="98"/>
      <x:c r="D36" s="98"/>
      <x:c r="E36" s="98"/>
      <x:c r="F36" s="102"/>
      <x:c r="G36" s="104"/>
      <x:c r="H36" s="106"/>
      <x:c r="I36" s="106"/>
      <x:c r="J36" s="106"/>
      <x:c r="K36" s="106"/>
      <x:c r="L36" s="98"/>
      <x:c r="M36" s="98"/>
    </x:row>
    <x:row r="37">
      <x:c r="A37" s="98"/>
      <x:c r="B37" s="98"/>
      <x:c r="C37" s="98"/>
      <x:c r="D37" s="98"/>
      <x:c r="E37" s="98"/>
      <x:c r="F37" s="102"/>
      <x:c r="G37" s="104"/>
      <x:c r="H37" s="106"/>
      <x:c r="I37" s="106"/>
      <x:c r="J37" s="106"/>
      <x:c r="K37" s="106"/>
      <x:c r="L37" s="98"/>
      <x:c r="M37" s="98"/>
    </x:row>
    <x:row r="38">
      <x:c r="A38" s="98"/>
      <x:c r="B38" s="98"/>
      <x:c r="C38" s="98"/>
      <x:c r="D38" s="98"/>
      <x:c r="E38" s="98"/>
      <x:c r="F38" s="102"/>
      <x:c r="G38" s="104"/>
      <x:c r="H38" s="106"/>
      <x:c r="I38" s="106"/>
      <x:c r="J38" s="106"/>
      <x:c r="K38" s="106"/>
      <x:c r="L38" s="98"/>
      <x:c r="M38" s="98"/>
    </x:row>
    <x:row r="39">
      <x:c r="A39" s="98"/>
      <x:c r="B39" s="98"/>
      <x:c r="C39" s="98"/>
      <x:c r="D39" s="98"/>
      <x:c r="E39" s="98"/>
      <x:c r="F39" s="102"/>
      <x:c r="G39" s="104"/>
      <x:c r="H39" s="106"/>
      <x:c r="I39" s="106"/>
      <x:c r="J39" s="106"/>
      <x:c r="K39" s="106"/>
      <x:c r="L39" s="98"/>
      <x:c r="M39" s="98"/>
    </x:row>
    <x:row r="40">
      <x:c r="A40" s="98"/>
      <x:c r="B40" s="98"/>
      <x:c r="C40" s="98"/>
      <x:c r="D40" s="98"/>
      <x:c r="E40" s="98"/>
      <x:c r="F40" s="102"/>
      <x:c r="G40" s="104"/>
      <x:c r="H40" s="106"/>
      <x:c r="I40" s="106"/>
      <x:c r="J40" s="106"/>
      <x:c r="K40" s="106"/>
      <x:c r="L40" s="98"/>
      <x:c r="M40" s="98"/>
    </x:row>
    <x:row r="41">
      <x:c r="A41" s="98"/>
      <x:c r="B41" s="98"/>
      <x:c r="C41" s="98"/>
      <x:c r="D41" s="98"/>
      <x:c r="E41" s="98"/>
      <x:c r="F41" s="102"/>
      <x:c r="G41" s="104"/>
      <x:c r="H41" s="106"/>
      <x:c r="I41" s="106"/>
      <x:c r="J41" s="106"/>
      <x:c r="K41" s="106"/>
      <x:c r="L41" s="98"/>
      <x:c r="M41" s="98"/>
    </x:row>
    <x:row r="42">
      <x:c r="A42" s="98"/>
      <x:c r="B42" s="98"/>
      <x:c r="C42" s="98"/>
      <x:c r="D42" s="98"/>
      <x:c r="E42" s="98"/>
      <x:c r="F42" s="102"/>
      <x:c r="G42" s="104"/>
      <x:c r="H42" s="106"/>
      <x:c r="I42" s="106"/>
      <x:c r="J42" s="106"/>
      <x:c r="K42" s="106"/>
      <x:c r="L42" s="98"/>
      <x:c r="M42" s="98"/>
    </x:row>
    <x:row r="43">
      <x:c r="A43" s="98"/>
      <x:c r="B43" s="98"/>
      <x:c r="C43" s="98"/>
      <x:c r="D43" s="98"/>
      <x:c r="E43" s="98"/>
      <x:c r="F43" s="102"/>
      <x:c r="G43" s="104"/>
      <x:c r="H43" s="106"/>
      <x:c r="I43" s="106"/>
      <x:c r="J43" s="106"/>
      <x:c r="K43" s="106"/>
      <x:c r="L43" s="98"/>
      <x:c r="M43" s="98"/>
    </x:row>
    <x:row r="44">
      <x:c r="A44" s="98"/>
      <x:c r="B44" s="98"/>
      <x:c r="C44" s="98"/>
      <x:c r="D44" s="98"/>
      <x:c r="E44" s="98"/>
      <x:c r="F44" s="102"/>
      <x:c r="G44" s="104"/>
      <x:c r="H44" s="106"/>
      <x:c r="I44" s="106"/>
      <x:c r="J44" s="106"/>
      <x:c r="K44" s="106"/>
      <x:c r="L44" s="98"/>
      <x:c r="M44" s="98"/>
    </x:row>
    <x:row r="45">
      <x:c r="A45" s="98"/>
      <x:c r="B45" s="98"/>
      <x:c r="C45" s="98"/>
      <x:c r="D45" s="98"/>
      <x:c r="E45" s="98"/>
      <x:c r="F45" s="102"/>
      <x:c r="G45" s="104"/>
      <x:c r="H45" s="106"/>
      <x:c r="I45" s="106"/>
      <x:c r="J45" s="106"/>
      <x:c r="K45" s="106"/>
      <x:c r="L45" s="98"/>
      <x:c r="M45" s="98"/>
    </x:row>
    <x:row r="46">
      <x:c r="A46" s="98"/>
      <x:c r="B46" s="98"/>
      <x:c r="C46" s="98"/>
      <x:c r="D46" s="98"/>
      <x:c r="E46" s="98"/>
      <x:c r="F46" s="102"/>
      <x:c r="G46" s="104"/>
      <x:c r="H46" s="106"/>
      <x:c r="I46" s="106"/>
      <x:c r="J46" s="106"/>
      <x:c r="K46" s="106"/>
      <x:c r="L46" s="98"/>
      <x:c r="M46" s="98"/>
    </x:row>
    <x:row r="47">
      <x:c r="A47" s="98"/>
      <x:c r="B47" s="98"/>
      <x:c r="C47" s="98"/>
      <x:c r="D47" s="98"/>
      <x:c r="E47" s="98"/>
      <x:c r="F47" s="102"/>
      <x:c r="G47" s="104"/>
      <x:c r="H47" s="106"/>
      <x:c r="I47" s="106"/>
      <x:c r="J47" s="106"/>
      <x:c r="K47" s="106"/>
      <x:c r="L47" s="98"/>
      <x:c r="M47" s="98"/>
    </x:row>
    <x:row r="48">
      <x:c r="A48" s="98"/>
      <x:c r="B48" s="98"/>
      <x:c r="C48" s="98"/>
      <x:c r="D48" s="98"/>
      <x:c r="E48" s="98"/>
      <x:c r="F48" s="102"/>
      <x:c r="G48" s="104"/>
      <x:c r="H48" s="106"/>
      <x:c r="I48" s="106"/>
      <x:c r="J48" s="106"/>
      <x:c r="K48" s="106"/>
      <x:c r="L48" s="98"/>
      <x:c r="M48" s="98"/>
    </x:row>
    <x:row r="49">
      <x:c r="A49" s="98"/>
      <x:c r="B49" s="98"/>
      <x:c r="C49" s="98"/>
      <x:c r="D49" s="98"/>
      <x:c r="E49" s="98"/>
      <x:c r="F49" s="102"/>
      <x:c r="G49" s="104"/>
      <x:c r="H49" s="106"/>
      <x:c r="I49" s="106"/>
      <x:c r="J49" s="106"/>
      <x:c r="K49" s="106"/>
      <x:c r="L49" s="98"/>
      <x:c r="M49" s="98"/>
    </x:row>
    <x:row r="50">
      <x:c r="A50" s="98"/>
      <x:c r="B50" s="98"/>
      <x:c r="C50" s="98"/>
      <x:c r="D50" s="98"/>
      <x:c r="E50" s="98"/>
      <x:c r="F50" s="102"/>
      <x:c r="G50" s="104"/>
      <x:c r="H50" s="106"/>
      <x:c r="I50" s="106"/>
      <x:c r="J50" s="106"/>
      <x:c r="K50" s="106"/>
      <x:c r="L50" s="98"/>
      <x:c r="M50" s="98"/>
    </x:row>
    <x:row r="51">
      <x:c r="A51" s="98"/>
      <x:c r="B51" s="98"/>
      <x:c r="C51" s="98"/>
      <x:c r="D51" s="98"/>
      <x:c r="E51" s="98"/>
      <x:c r="F51" s="102"/>
      <x:c r="G51" s="104"/>
      <x:c r="H51" s="106"/>
      <x:c r="I51" s="106"/>
      <x:c r="J51" s="106"/>
      <x:c r="K51" s="106"/>
      <x:c r="L51" s="98"/>
      <x:c r="M51" s="98"/>
    </x:row>
    <x:row r="52">
      <x:c r="A52" s="98"/>
      <x:c r="B52" s="98"/>
      <x:c r="C52" s="98"/>
      <x:c r="D52" s="98"/>
      <x:c r="E52" s="98"/>
      <x:c r="F52" s="102"/>
      <x:c r="G52" s="104"/>
      <x:c r="H52" s="106"/>
      <x:c r="I52" s="106"/>
      <x:c r="J52" s="106"/>
      <x:c r="K52" s="106"/>
      <x:c r="L52" s="98"/>
      <x:c r="M52" s="98"/>
    </x:row>
    <x:row r="53">
      <x:c r="A53" s="98"/>
      <x:c r="B53" s="98"/>
      <x:c r="C53" s="98"/>
      <x:c r="D53" s="98"/>
      <x:c r="E53" s="98"/>
      <x:c r="F53" s="102"/>
      <x:c r="G53" s="104"/>
      <x:c r="H53" s="106"/>
      <x:c r="I53" s="106"/>
      <x:c r="J53" s="106"/>
      <x:c r="K53" s="106"/>
      <x:c r="L53" s="98"/>
      <x:c r="M53" s="98"/>
    </x:row>
    <x:row r="54">
      <x:c r="A54" s="98"/>
      <x:c r="B54" s="98"/>
      <x:c r="C54" s="98"/>
      <x:c r="D54" s="98"/>
      <x:c r="E54" s="98"/>
      <x:c r="F54" s="102"/>
      <x:c r="G54" s="104"/>
      <x:c r="H54" s="106"/>
      <x:c r="I54" s="106"/>
      <x:c r="J54" s="106"/>
      <x:c r="K54" s="106"/>
      <x:c r="L54" s="98"/>
      <x:c r="M54" s="98"/>
    </x:row>
    <x:row r="55">
      <x:c r="A55" s="98"/>
      <x:c r="B55" s="98"/>
      <x:c r="C55" s="98"/>
      <x:c r="D55" s="98"/>
      <x:c r="E55" s="98"/>
      <x:c r="F55" s="102"/>
      <x:c r="G55" s="104"/>
      <x:c r="H55" s="106"/>
      <x:c r="I55" s="106"/>
      <x:c r="J55" s="106"/>
      <x:c r="K55" s="106"/>
      <x:c r="L55" s="98"/>
      <x:c r="M55" s="98"/>
    </x:row>
    <x:row r="56">
      <x:c r="A56" s="98"/>
      <x:c r="B56" s="98"/>
      <x:c r="C56" s="98"/>
      <x:c r="D56" s="98"/>
      <x:c r="E56" s="98"/>
      <x:c r="F56" s="102"/>
      <x:c r="G56" s="104"/>
      <x:c r="H56" s="106"/>
      <x:c r="I56" s="106"/>
      <x:c r="J56" s="106"/>
      <x:c r="K56" s="106"/>
      <x:c r="L56" s="98"/>
      <x:c r="M56" s="98"/>
    </x:row>
    <x:row r="57">
      <x:c r="A57" s="98"/>
      <x:c r="B57" s="98"/>
      <x:c r="C57" s="98"/>
      <x:c r="D57" s="98"/>
      <x:c r="E57" s="98"/>
      <x:c r="F57" s="102"/>
      <x:c r="G57" s="104"/>
      <x:c r="H57" s="106"/>
      <x:c r="I57" s="106"/>
      <x:c r="J57" s="106"/>
      <x:c r="K57" s="106"/>
      <x:c r="L57" s="98"/>
      <x:c r="M57" s="98"/>
    </x:row>
    <x:row r="58">
      <x:c r="A58" s="98"/>
      <x:c r="B58" s="98"/>
      <x:c r="C58" s="98"/>
      <x:c r="D58" s="98"/>
      <x:c r="E58" s="98"/>
      <x:c r="F58" s="102"/>
      <x:c r="G58" s="104"/>
      <x:c r="H58" s="106"/>
      <x:c r="I58" s="106"/>
      <x:c r="J58" s="106"/>
      <x:c r="K58" s="106"/>
      <x:c r="L58" s="98"/>
      <x:c r="M58" s="98"/>
    </x:row>
    <x:row r="59">
      <x:c r="A59" s="98"/>
      <x:c r="B59" s="98"/>
      <x:c r="C59" s="98"/>
      <x:c r="D59" s="98"/>
      <x:c r="E59" s="98"/>
      <x:c r="F59" s="102"/>
      <x:c r="G59" s="104"/>
      <x:c r="H59" s="106"/>
      <x:c r="I59" s="106"/>
      <x:c r="J59" s="106"/>
      <x:c r="K59" s="106"/>
      <x:c r="L59" s="98"/>
      <x:c r="M59" s="98"/>
    </x:row>
    <x:row r="60">
      <x:c r="A60" s="98"/>
      <x:c r="B60" s="98"/>
      <x:c r="C60" s="98"/>
      <x:c r="D60" s="98"/>
      <x:c r="E60" s="98"/>
      <x:c r="F60" s="102"/>
      <x:c r="G60" s="104"/>
      <x:c r="H60" s="106"/>
      <x:c r="I60" s="106"/>
      <x:c r="J60" s="106"/>
      <x:c r="K60" s="106"/>
      <x:c r="L60" s="98"/>
      <x:c r="M60" s="98"/>
    </x:row>
    <x:row r="61">
      <x:c r="A61" s="98"/>
      <x:c r="B61" s="98"/>
      <x:c r="C61" s="98"/>
      <x:c r="D61" s="98"/>
      <x:c r="E61" s="98"/>
      <x:c r="F61" s="102"/>
      <x:c r="G61" s="104"/>
      <x:c r="H61" s="106"/>
      <x:c r="I61" s="106"/>
      <x:c r="J61" s="106"/>
      <x:c r="K61" s="106"/>
      <x:c r="L61" s="98"/>
      <x:c r="M61" s="98"/>
    </x:row>
    <x:row r="62">
      <x:c r="A62" s="98"/>
      <x:c r="B62" s="98"/>
      <x:c r="C62" s="98"/>
      <x:c r="D62" s="98"/>
      <x:c r="E62" s="98"/>
      <x:c r="F62" s="102"/>
      <x:c r="G62" s="104"/>
      <x:c r="H62" s="106"/>
      <x:c r="I62" s="106"/>
      <x:c r="J62" s="106"/>
      <x:c r="K62" s="106"/>
      <x:c r="L62" s="98"/>
      <x:c r="M62" s="98"/>
    </x:row>
    <x:row r="63">
      <x:c r="A63" s="98"/>
      <x:c r="B63" s="98"/>
      <x:c r="C63" s="98"/>
      <x:c r="D63" s="98"/>
      <x:c r="E63" s="98"/>
      <x:c r="F63" s="102"/>
      <x:c r="G63" s="104"/>
      <x:c r="H63" s="106"/>
      <x:c r="I63" s="106"/>
      <x:c r="J63" s="106"/>
      <x:c r="K63" s="106"/>
      <x:c r="L63" s="98"/>
      <x:c r="M63" s="98"/>
    </x:row>
    <x:row r="64">
      <x:c r="A64" s="98"/>
      <x:c r="B64" s="98"/>
      <x:c r="C64" s="98"/>
      <x:c r="D64" s="98"/>
      <x:c r="E64" s="98"/>
      <x:c r="F64" s="102"/>
      <x:c r="G64" s="104"/>
      <x:c r="H64" s="106"/>
      <x:c r="I64" s="106"/>
      <x:c r="J64" s="106"/>
      <x:c r="K64" s="106"/>
      <x:c r="L64" s="98"/>
      <x:c r="M64" s="98"/>
    </x:row>
    <x:row r="65">
      <x:c r="A65" s="98"/>
      <x:c r="B65" s="98"/>
      <x:c r="C65" s="98"/>
      <x:c r="D65" s="98"/>
      <x:c r="E65" s="98"/>
      <x:c r="F65" s="102"/>
      <x:c r="G65" s="104"/>
      <x:c r="H65" s="106"/>
      <x:c r="I65" s="106"/>
      <x:c r="J65" s="106"/>
      <x:c r="K65" s="106"/>
      <x:c r="L65" s="98"/>
      <x:c r="M65" s="98"/>
    </x:row>
    <x:row r="66">
      <x:c r="A66" s="98"/>
      <x:c r="B66" s="98"/>
      <x:c r="C66" s="98"/>
      <x:c r="D66" s="98"/>
      <x:c r="E66" s="98"/>
      <x:c r="F66" s="102"/>
      <x:c r="G66" s="104"/>
      <x:c r="H66" s="106"/>
      <x:c r="I66" s="106"/>
      <x:c r="J66" s="106"/>
      <x:c r="K66" s="106"/>
      <x:c r="L66" s="98"/>
      <x:c r="M66" s="98"/>
    </x:row>
    <x:row r="67">
      <x:c r="A67" s="98"/>
      <x:c r="B67" s="98"/>
      <x:c r="C67" s="98"/>
      <x:c r="D67" s="98"/>
      <x:c r="E67" s="98"/>
      <x:c r="F67" s="102"/>
      <x:c r="G67" s="104"/>
      <x:c r="H67" s="106"/>
      <x:c r="I67" s="106"/>
      <x:c r="J67" s="106"/>
      <x:c r="K67" s="106"/>
      <x:c r="L67" s="98"/>
      <x:c r="M67" s="98"/>
    </x:row>
    <x:row r="68">
      <x:c r="A68" s="98"/>
      <x:c r="B68" s="98"/>
      <x:c r="C68" s="98"/>
      <x:c r="D68" s="98"/>
      <x:c r="E68" s="98"/>
      <x:c r="F68" s="102"/>
      <x:c r="G68" s="104"/>
      <x:c r="H68" s="106"/>
      <x:c r="I68" s="106"/>
      <x:c r="J68" s="106"/>
      <x:c r="K68" s="106"/>
      <x:c r="L68" s="98"/>
      <x:c r="M68" s="98"/>
    </x:row>
    <x:row r="69">
      <x:c r="A69" s="98"/>
      <x:c r="B69" s="98"/>
      <x:c r="C69" s="98"/>
      <x:c r="D69" s="98"/>
      <x:c r="E69" s="98"/>
      <x:c r="F69" s="102"/>
      <x:c r="G69" s="104"/>
      <x:c r="H69" s="106"/>
      <x:c r="I69" s="106"/>
      <x:c r="J69" s="106"/>
      <x:c r="K69" s="106"/>
      <x:c r="L69" s="98"/>
      <x:c r="M69" s="98"/>
    </x:row>
    <x:row r="70">
      <x:c r="A70" s="98"/>
      <x:c r="B70" s="98"/>
      <x:c r="C70" s="98"/>
      <x:c r="D70" s="98"/>
      <x:c r="E70" s="98"/>
      <x:c r="F70" s="102"/>
      <x:c r="G70" s="104"/>
      <x:c r="H70" s="106"/>
      <x:c r="I70" s="106"/>
      <x:c r="J70" s="106"/>
      <x:c r="K70" s="106"/>
      <x:c r="L70" s="98"/>
      <x:c r="M70" s="98"/>
    </x:row>
    <x:row r="71">
      <x:c r="A71" s="98"/>
      <x:c r="B71" s="98"/>
      <x:c r="C71" s="98"/>
      <x:c r="D71" s="98"/>
      <x:c r="E71" s="98"/>
      <x:c r="F71" s="102"/>
      <x:c r="G71" s="104"/>
      <x:c r="H71" s="106"/>
      <x:c r="I71" s="106"/>
      <x:c r="J71" s="106"/>
      <x:c r="K71" s="106"/>
      <x:c r="L71" s="98"/>
      <x:c r="M71" s="98"/>
    </x:row>
    <x:row r="72">
      <x:c r="A72" s="98"/>
      <x:c r="B72" s="98"/>
      <x:c r="C72" s="98"/>
      <x:c r="D72" s="98"/>
      <x:c r="E72" s="98"/>
      <x:c r="F72" s="102"/>
      <x:c r="G72" s="104"/>
      <x:c r="H72" s="106"/>
      <x:c r="I72" s="106"/>
      <x:c r="J72" s="106"/>
      <x:c r="K72" s="106"/>
      <x:c r="L72" s="98"/>
      <x:c r="M72" s="98"/>
    </x:row>
    <x:row r="73">
      <x:c r="A73" s="98"/>
      <x:c r="B73" s="98"/>
      <x:c r="C73" s="98"/>
      <x:c r="D73" s="98"/>
      <x:c r="E73" s="98"/>
      <x:c r="F73" s="102"/>
      <x:c r="G73" s="104"/>
      <x:c r="H73" s="106"/>
      <x:c r="I73" s="106"/>
      <x:c r="J73" s="106"/>
      <x:c r="K73" s="106"/>
      <x:c r="L73" s="98"/>
      <x:c r="M73" s="98"/>
    </x:row>
    <x:row r="74">
      <x:c r="A74" s="98"/>
      <x:c r="B74" s="98"/>
      <x:c r="C74" s="98"/>
      <x:c r="D74" s="98"/>
      <x:c r="E74" s="98"/>
      <x:c r="F74" s="102"/>
      <x:c r="G74" s="104"/>
      <x:c r="H74" s="106"/>
      <x:c r="I74" s="106"/>
      <x:c r="J74" s="106"/>
      <x:c r="K74" s="106"/>
      <x:c r="L74" s="98"/>
      <x:c r="M74" s="98"/>
    </x:row>
    <x:row r="75">
      <x:c r="A75" s="98"/>
      <x:c r="B75" s="98"/>
      <x:c r="C75" s="98"/>
      <x:c r="D75" s="98"/>
      <x:c r="E75" s="98"/>
      <x:c r="F75" s="102"/>
      <x:c r="G75" s="104"/>
      <x:c r="H75" s="106"/>
      <x:c r="I75" s="106"/>
      <x:c r="J75" s="106"/>
      <x:c r="K75" s="106"/>
      <x:c r="L75" s="98"/>
      <x:c r="M75" s="98"/>
    </x:row>
    <x:row r="76">
      <x:c r="A76" s="98"/>
      <x:c r="B76" s="98"/>
      <x:c r="C76" s="98"/>
      <x:c r="D76" s="98"/>
      <x:c r="E76" s="98"/>
      <x:c r="F76" s="102"/>
      <x:c r="G76" s="104"/>
      <x:c r="H76" s="106"/>
      <x:c r="I76" s="106"/>
      <x:c r="J76" s="106"/>
      <x:c r="K76" s="106"/>
      <x:c r="L76" s="98"/>
      <x:c r="M76" s="98"/>
    </x:row>
    <x:row r="77">
      <x:c r="A77" s="98"/>
      <x:c r="B77" s="98"/>
      <x:c r="C77" s="98"/>
      <x:c r="D77" s="98"/>
      <x:c r="E77" s="98"/>
      <x:c r="F77" s="102"/>
      <x:c r="G77" s="104"/>
      <x:c r="H77" s="106"/>
      <x:c r="I77" s="106"/>
      <x:c r="J77" s="106"/>
      <x:c r="K77" s="106"/>
      <x:c r="L77" s="98"/>
      <x:c r="M77" s="98"/>
    </x:row>
    <x:row r="78">
      <x:c r="A78" s="98"/>
      <x:c r="B78" s="98"/>
      <x:c r="C78" s="98"/>
      <x:c r="D78" s="98"/>
      <x:c r="E78" s="98"/>
      <x:c r="F78" s="102"/>
      <x:c r="G78" s="104"/>
      <x:c r="H78" s="106"/>
      <x:c r="I78" s="106"/>
      <x:c r="J78" s="106"/>
      <x:c r="K78" s="106"/>
      <x:c r="L78" s="98"/>
      <x:c r="M78" s="98"/>
    </x:row>
    <x:row r="79">
      <x:c r="A79" s="98"/>
      <x:c r="B79" s="98"/>
      <x:c r="C79" s="98"/>
      <x:c r="D79" s="98"/>
      <x:c r="E79" s="98"/>
      <x:c r="F79" s="102"/>
      <x:c r="G79" s="104"/>
      <x:c r="H79" s="106"/>
      <x:c r="I79" s="106"/>
      <x:c r="J79" s="106"/>
      <x:c r="K79" s="106"/>
      <x:c r="L79" s="98"/>
      <x:c r="M79" s="98"/>
    </x:row>
  </x:sheetData>
  <x:mergeCells>
    <x:mergeCell ref="A1:M1"/>
    <x:mergeCell ref="A2:M2"/>
  </x:mergeCells>
  <x:dataValidations count="4">
    <x:dataValidation type="list" sqref="C5:C79">
      <x:formula1>'09 Catálogos'!$A$5:$A$11</x:formula1>
    </x:dataValidation>
    <x:dataValidation type="list" sqref="D5:D79">
      <x:formula1>'09 Catálogos'!$C$5:$C$11</x:formula1>
    </x:dataValidation>
    <x:dataValidation type="list" sqref="E5:E79">
      <x:formula1>'09 Catálogos'!$G$5:$G$9</x:formula1>
    </x:dataValidation>
    <x:dataValidation type="list" sqref="M5:M79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27b13d7dc447d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26" hidden="0" customWidth="1"/>
    <x:col min="5" max="5" width="18" hidden="0" customWidth="1"/>
    <x:col min="6" max="6" width="18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14" hidden="0" customWidth="1"/>
    <x:col min="12" max="12" width="18" hidden="0" customWidth="1"/>
    <x:col min="13" max="13" width="30" hidden="0" customWidth="1"/>
  </x:cols>
  <x:sheetData>
    <x:row r="1" ht="42" customHeight="1">
      <x:c r="A1" s="5" t="str">
        <x:v>Movimientos de inventario</x:v>
      </x:c>
    </x:row>
    <x:row r="2" ht="28" customHeight="1">
      <x:c r="A2" s="13" t="str">
        <x:v>Captura cada entrada o salida. Las columnas grises se calculan automáticamente.</x:v>
      </x:c>
    </x:row>
    <x:row r="4" ht="26" customHeight="1">
      <x:c r="A4" s="66" t="str">
        <x:v>Fecha</x:v>
      </x:c>
      <x:c r="B4" s="66" t="str">
        <x:v>Tipo</x:v>
      </x:c>
      <x:c r="C4" s="66" t="str">
        <x:v>SKU</x:v>
      </x:c>
      <x:c r="D4" s="66" t="str">
        <x:v>Producto</x:v>
      </x:c>
      <x:c r="E4" s="66" t="str">
        <x:v>Categoría</x:v>
      </x:c>
      <x:c r="F4" s="66" t="str">
        <x:v>Documento/Folio</x:v>
      </x:c>
      <x:c r="G4" s="66" t="str">
        <x:v>Cantidad</x:v>
      </x:c>
      <x:c r="H4" s="66" t="str">
        <x:v>Costo unitario</x:v>
      </x:c>
      <x:c r="I4" s="66" t="str">
        <x:v>Entrada</x:v>
      </x:c>
      <x:c r="J4" s="66" t="str">
        <x:v>Salida</x:v>
      </x:c>
      <x:c r="K4" s="66" t="str">
        <x:v>Importe</x:v>
      </x:c>
      <x:c r="L4" s="66" t="str">
        <x:v>Responsable</x:v>
      </x:c>
      <x:c r="M4" s="66" t="str">
        <x:v>Observaciones</x:v>
      </x:c>
    </x:row>
    <x:row r="5">
      <x:c r="A5" s="110" t="n">
        <x:v>46143</x:v>
      </x:c>
      <x:c r="B5" s="98" t="str">
        <x:v>Entrada</x:v>
      </x:c>
      <x:c r="C5" s="98" t="str">
        <x:v>SKU-002</x:v>
      </x:c>
      <x:c r="D5" s="108" t="str">
        <x:f>IF($C5="","",INDEX('03 Productos'!$B$5:$B$79,MATCH($C5,'03 Productos'!$A$5:$A$79,0)))</x:f>
        <x:v>Toner impresora</x:v>
      </x:c>
      <x:c r="E5" s="108" t="str">
        <x:f>IF($C5="","",INDEX('03 Productos'!$C$5:$C$79,MATCH($C5,'03 Productos'!$A$5:$A$79,0)))</x:f>
        <x:v>Consumibles</x:v>
      </x:c>
      <x:c r="F5" s="98" t="str">
        <x:v>OC-0001</x:v>
      </x:c>
      <x:c r="G5" s="106" t="n">
        <x:v>15</x:v>
      </x:c>
      <x:c r="H5" s="104" t="n">
        <x:v>760</x:v>
      </x:c>
      <x:c r="I5" s="112" t="n">
        <x:f>IF(OR($B5="Entrada",$B5="Ajuste entrada"),$G5,0)</x:f>
        <x:v>15</x:v>
      </x:c>
      <x:c r="J5" s="112" t="n">
        <x:f>IF(OR($B5="Salida",$B5="Ajuste salida"),$G5,0)</x:f>
        <x:v>0</x:v>
      </x:c>
      <x:c r="K5" s="114" t="n">
        <x:f>IF($G5="","",$G5*$H5)</x:f>
        <x:v>11400</x:v>
      </x:c>
      <x:c r="L5" s="98" t="str">
        <x:v>Compras</x:v>
      </x:c>
      <x:c r="M5" s="98" t="str">
        <x:v>Compra mensual</x:v>
      </x:c>
    </x:row>
    <x:row r="6">
      <x:c r="A6" s="110" t="n">
        <x:v>46144</x:v>
      </x:c>
      <x:c r="B6" s="98" t="str">
        <x:v>Salida</x:v>
      </x:c>
      <x:c r="C6" s="98" t="str">
        <x:v>SKU-003</x:v>
      </x:c>
      <x:c r="D6" s="108" t="str">
        <x:f>IF($C6="","",INDEX('03 Productos'!$B$5:$B$79,MATCH($C6,'03 Productos'!$A$5:$A$79,0)))</x:f>
        <x:v>Caja de empaque</x:v>
      </x:c>
      <x:c r="E6" s="108" t="str">
        <x:f>IF($C6="","",INDEX('03 Productos'!$C$5:$C$79,MATCH($C6,'03 Productos'!$A$5:$A$79,0)))</x:f>
        <x:v>Empaque</x:v>
      </x:c>
      <x:c r="F6" s="98" t="str">
        <x:v>SAL-0001</x:v>
      </x:c>
      <x:c r="G6" s="106" t="n">
        <x:v>70</x:v>
      </x:c>
      <x:c r="H6" s="104" t="n">
        <x:v>22</x:v>
      </x:c>
      <x:c r="I6" s="112" t="n">
        <x:f>IF(OR($B6="Entrada",$B6="Ajuste entrada"),$G6,0)</x:f>
        <x:v>0</x:v>
      </x:c>
      <x:c r="J6" s="112" t="n">
        <x:f>IF(OR($B6="Salida",$B6="Ajuste salida"),$G6,0)</x:f>
        <x:v>70</x:v>
      </x:c>
      <x:c r="K6" s="114" t="n">
        <x:f>IF($G6="","",$G6*$H6)</x:f>
        <x:v>1540</x:v>
      </x:c>
      <x:c r="L6" s="98" t="str">
        <x:v>Almacén</x:v>
      </x:c>
      <x:c r="M6" s="98" t="str">
        <x:v>Uso operativo</x:v>
      </x:c>
    </x:row>
    <x:row r="7">
      <x:c r="A7" s="110" t="n">
        <x:v>46146</x:v>
      </x:c>
      <x:c r="B7" s="98" t="str">
        <x:v>Entrada</x:v>
      </x:c>
      <x:c r="C7" s="98" t="str">
        <x:v>SKU-005</x:v>
      </x:c>
      <x:c r="D7" s="108" t="str">
        <x:f>IF($C7="","",INDEX('03 Productos'!$B$5:$B$79,MATCH($C7,'03 Productos'!$A$5:$A$79,0)))</x:f>
        <x:v>Refacción crítica</x:v>
      </x:c>
      <x:c r="E7" s="108" t="str">
        <x:f>IF($C7="","",INDEX('03 Productos'!$C$5:$C$79,MATCH($C7,'03 Productos'!$A$5:$A$79,0)))</x:f>
        <x:v>Refacciones</x:v>
      </x:c>
      <x:c r="F7" s="98" t="str">
        <x:v>OC-0002</x:v>
      </x:c>
      <x:c r="G7" s="106" t="n">
        <x:v>4</x:v>
      </x:c>
      <x:c r="H7" s="104" t="n">
        <x:v>1390</x:v>
      </x:c>
      <x:c r="I7" s="112" t="n">
        <x:f>IF(OR($B7="Entrada",$B7="Ajuste entrada"),$G7,0)</x:f>
        <x:v>4</x:v>
      </x:c>
      <x:c r="J7" s="112" t="n">
        <x:f>IF(OR($B7="Salida",$B7="Ajuste salida"),$G7,0)</x:f>
        <x:v>0</x:v>
      </x:c>
      <x:c r="K7" s="114" t="n">
        <x:f>IF($G7="","",$G7*$H7)</x:f>
        <x:v>5560</x:v>
      </x:c>
      <x:c r="L7" s="98" t="str">
        <x:v>Compras</x:v>
      </x:c>
      <x:c r="M7" s="98" t="str">
        <x:v>Reposición</x:v>
      </x:c>
    </x:row>
    <x:row r="8">
      <x:c r="A8" s="110" t="n">
        <x:v>46148</x:v>
      </x:c>
      <x:c r="B8" s="98" t="str">
        <x:v>Salida</x:v>
      </x:c>
      <x:c r="C8" s="98" t="str">
        <x:v>SKU-002</x:v>
      </x:c>
      <x:c r="D8" s="108" t="str">
        <x:f>IF($C8="","",INDEX('03 Productos'!$B$5:$B$79,MATCH($C8,'03 Productos'!$A$5:$A$79,0)))</x:f>
        <x:v>Toner impresora</x:v>
      </x:c>
      <x:c r="E8" s="108" t="str">
        <x:f>IF($C8="","",INDEX('03 Productos'!$C$5:$C$79,MATCH($C8,'03 Productos'!$A$5:$A$79,0)))</x:f>
        <x:v>Consumibles</x:v>
      </x:c>
      <x:c r="F8" s="98" t="str">
        <x:v>SAL-0002</x:v>
      </x:c>
      <x:c r="G8" s="106" t="n">
        <x:v>8</x:v>
      </x:c>
      <x:c r="H8" s="104" t="n">
        <x:v>760</x:v>
      </x:c>
      <x:c r="I8" s="112" t="n">
        <x:f>IF(OR($B8="Entrada",$B8="Ajuste entrada"),$G8,0)</x:f>
        <x:v>0</x:v>
      </x:c>
      <x:c r="J8" s="112" t="n">
        <x:f>IF(OR($B8="Salida",$B8="Ajuste salida"),$G8,0)</x:f>
        <x:v>8</x:v>
      </x:c>
      <x:c r="K8" s="114" t="n">
        <x:f>IF($G8="","",$G8*$H8)</x:f>
        <x:v>6080</x:v>
      </x:c>
      <x:c r="L8" s="98" t="str">
        <x:v>Operaciones</x:v>
      </x:c>
      <x:c r="M8" s="98" t="str">
        <x:v>Consumo oficina</x:v>
      </x:c>
    </x:row>
    <x:row r="9">
      <x:c r="A9" s="110" t="n">
        <x:v>46150</x:v>
      </x:c>
      <x:c r="B9" s="98" t="str">
        <x:v>Salida</x:v>
      </x:c>
      <x:c r="C9" s="98" t="str">
        <x:v>SKU-004</x:v>
      </x:c>
      <x:c r="D9" s="108" t="str">
        <x:f>IF($C9="","",INDEX('03 Productos'!$B$5:$B$79,MATCH($C9,'03 Productos'!$A$5:$A$79,0)))</x:f>
        <x:v>Material promocional</x:v>
      </x:c>
      <x:c r="E9" s="108" t="str">
        <x:f>IF($C9="","",INDEX('03 Productos'!$C$5:$C$79,MATCH($C9,'03 Productos'!$A$5:$A$79,0)))</x:f>
        <x:v>Insumos</x:v>
      </x:c>
      <x:c r="F9" s="98" t="str">
        <x:v>SAL-0003</x:v>
      </x:c>
      <x:c r="G9" s="106" t="n">
        <x:v>12</x:v>
      </x:c>
      <x:c r="H9" s="104" t="n">
        <x:v>180</x:v>
      </x:c>
      <x:c r="I9" s="112" t="n">
        <x:f>IF(OR($B9="Entrada",$B9="Ajuste entrada"),$G9,0)</x:f>
        <x:v>0</x:v>
      </x:c>
      <x:c r="J9" s="112" t="n">
        <x:f>IF(OR($B9="Salida",$B9="Ajuste salida"),$G9,0)</x:f>
        <x:v>12</x:v>
      </x:c>
      <x:c r="K9" s="114" t="n">
        <x:f>IF($G9="","",$G9*$H9)</x:f>
        <x:v>2160</x:v>
      </x:c>
      <x:c r="L9" s="98" t="str">
        <x:v>Marketing</x:v>
      </x:c>
      <x:c r="M9" s="98" t="str">
        <x:v>Evento</x:v>
      </x:c>
    </x:row>
    <x:row r="10">
      <x:c r="A10" s="110" t="n">
        <x:v>46151</x:v>
      </x:c>
      <x:c r="B10" s="98" t="str">
        <x:v>Entrada</x:v>
      </x:c>
      <x:c r="C10" s="98" t="str">
        <x:v>SKU-006</x:v>
      </x:c>
      <x:c r="D10" s="108" t="str">
        <x:f>IF($C10="","",INDEX('03 Productos'!$B$5:$B$79,MATCH($C10,'03 Productos'!$A$5:$A$79,0)))</x:f>
        <x:v>Etiqueta adhesiva</x:v>
      </x:c>
      <x:c r="E10" s="108" t="str">
        <x:f>IF($C10="","",INDEX('03 Productos'!$C$5:$C$79,MATCH($C10,'03 Productos'!$A$5:$A$79,0)))</x:f>
        <x:v>Empaque</x:v>
      </x:c>
      <x:c r="F10" s="98" t="str">
        <x:v>OC-0003</x:v>
      </x:c>
      <x:c r="G10" s="106" t="n">
        <x:v>80</x:v>
      </x:c>
      <x:c r="H10" s="104" t="n">
        <x:v>92</x:v>
      </x:c>
      <x:c r="I10" s="112" t="n">
        <x:f>IF(OR($B10="Entrada",$B10="Ajuste entrada"),$G10,0)</x:f>
        <x:v>80</x:v>
      </x:c>
      <x:c r="J10" s="112" t="n">
        <x:f>IF(OR($B10="Salida",$B10="Ajuste salida"),$G10,0)</x:f>
        <x:v>0</x:v>
      </x:c>
      <x:c r="K10" s="114" t="n">
        <x:f>IF($G10="","",$G10*$H10)</x:f>
        <x:v>7360</x:v>
      </x:c>
      <x:c r="L10" s="98" t="str">
        <x:v>Compras</x:v>
      </x:c>
      <x:c r="M10" s="98" t="str">
        <x:v>Compra promocional</x:v>
      </x:c>
    </x:row>
    <x:row r="11">
      <x:c r="A11" s="110"/>
      <x:c r="B11" s="98"/>
      <x:c r="C11" s="98"/>
      <x:c r="D11" s="108" t="str">
        <x:f>IF($C11="","",INDEX('03 Productos'!$B$5:$B$79,MATCH($C11,'03 Productos'!$A$5:$A$79,0)))</x:f>
      </x:c>
      <x:c r="E11" s="108" t="str">
        <x:f>IF($C11="","",INDEX('03 Productos'!$C$5:$C$79,MATCH($C11,'03 Productos'!$A$5:$A$79,0)))</x:f>
      </x:c>
      <x:c r="F11" s="98"/>
      <x:c r="G11" s="106"/>
      <x:c r="H11" s="104"/>
      <x:c r="I11" s="112" t="n">
        <x:f>IF(OR($B11="Entrada",$B11="Ajuste entrada"),$G11,0)</x:f>
        <x:v>0</x:v>
      </x:c>
      <x:c r="J11" s="112" t="n">
        <x:f>IF(OR($B11="Salida",$B11="Ajuste salida"),$G11,0)</x:f>
        <x:v>0</x:v>
      </x:c>
      <x:c r="K11" s="114" t="str">
        <x:f>IF($G11="","",$G11*$H11)</x:f>
      </x:c>
      <x:c r="L11" s="98"/>
      <x:c r="M11" s="98"/>
    </x:row>
    <x:row r="12">
      <x:c r="A12" s="110"/>
      <x:c r="B12" s="98"/>
      <x:c r="C12" s="98"/>
      <x:c r="D12" s="108" t="str">
        <x:f>IF($C12="","",INDEX('03 Productos'!$B$5:$B$79,MATCH($C12,'03 Productos'!$A$5:$A$79,0)))</x:f>
      </x:c>
      <x:c r="E12" s="108" t="str">
        <x:f>IF($C12="","",INDEX('03 Productos'!$C$5:$C$79,MATCH($C12,'03 Productos'!$A$5:$A$79,0)))</x:f>
      </x:c>
      <x:c r="F12" s="98"/>
      <x:c r="G12" s="106"/>
      <x:c r="H12" s="104"/>
      <x:c r="I12" s="112" t="n">
        <x:f>IF(OR($B12="Entrada",$B12="Ajuste entrada"),$G12,0)</x:f>
        <x:v>0</x:v>
      </x:c>
      <x:c r="J12" s="112" t="n">
        <x:f>IF(OR($B12="Salida",$B12="Ajuste salida"),$G12,0)</x:f>
        <x:v>0</x:v>
      </x:c>
      <x:c r="K12" s="114" t="str">
        <x:f>IF($G12="","",$G12*$H12)</x:f>
      </x:c>
      <x:c r="L12" s="98"/>
      <x:c r="M12" s="98"/>
    </x:row>
    <x:row r="13">
      <x:c r="A13" s="110"/>
      <x:c r="B13" s="98"/>
      <x:c r="C13" s="98"/>
      <x:c r="D13" s="108" t="str">
        <x:f>IF($C13="","",INDEX('03 Productos'!$B$5:$B$79,MATCH($C13,'03 Productos'!$A$5:$A$79,0)))</x:f>
      </x:c>
      <x:c r="E13" s="108" t="str">
        <x:f>IF($C13="","",INDEX('03 Productos'!$C$5:$C$79,MATCH($C13,'03 Productos'!$A$5:$A$79,0)))</x:f>
      </x:c>
      <x:c r="F13" s="98"/>
      <x:c r="G13" s="106"/>
      <x:c r="H13" s="104"/>
      <x:c r="I13" s="112" t="n">
        <x:f>IF(OR($B13="Entrada",$B13="Ajuste entrada"),$G13,0)</x:f>
        <x:v>0</x:v>
      </x:c>
      <x:c r="J13" s="112" t="n">
        <x:f>IF(OR($B13="Salida",$B13="Ajuste salida"),$G13,0)</x:f>
        <x:v>0</x:v>
      </x:c>
      <x:c r="K13" s="114" t="str">
        <x:f>IF($G13="","",$G13*$H13)</x:f>
      </x:c>
      <x:c r="L13" s="98"/>
      <x:c r="M13" s="98"/>
    </x:row>
    <x:row r="14">
      <x:c r="A14" s="110"/>
      <x:c r="B14" s="98"/>
      <x:c r="C14" s="98"/>
      <x:c r="D14" s="108" t="str">
        <x:f>IF($C14="","",INDEX('03 Productos'!$B$5:$B$79,MATCH($C14,'03 Productos'!$A$5:$A$79,0)))</x:f>
      </x:c>
      <x:c r="E14" s="108" t="str">
        <x:f>IF($C14="","",INDEX('03 Productos'!$C$5:$C$79,MATCH($C14,'03 Productos'!$A$5:$A$79,0)))</x:f>
      </x:c>
      <x:c r="F14" s="98"/>
      <x:c r="G14" s="106"/>
      <x:c r="H14" s="104"/>
      <x:c r="I14" s="112" t="n">
        <x:f>IF(OR($B14="Entrada",$B14="Ajuste entrada"),$G14,0)</x:f>
        <x:v>0</x:v>
      </x:c>
      <x:c r="J14" s="112" t="n">
        <x:f>IF(OR($B14="Salida",$B14="Ajuste salida"),$G14,0)</x:f>
        <x:v>0</x:v>
      </x:c>
      <x:c r="K14" s="114" t="str">
        <x:f>IF($G14="","",$G14*$H14)</x:f>
      </x:c>
      <x:c r="L14" s="98"/>
      <x:c r="M14" s="98"/>
    </x:row>
    <x:row r="15">
      <x:c r="A15" s="110"/>
      <x:c r="B15" s="98"/>
      <x:c r="C15" s="98"/>
      <x:c r="D15" s="108" t="str">
        <x:f>IF($C15="","",INDEX('03 Productos'!$B$5:$B$79,MATCH($C15,'03 Productos'!$A$5:$A$79,0)))</x:f>
      </x:c>
      <x:c r="E15" s="108" t="str">
        <x:f>IF($C15="","",INDEX('03 Productos'!$C$5:$C$79,MATCH($C15,'03 Productos'!$A$5:$A$79,0)))</x:f>
      </x:c>
      <x:c r="F15" s="98"/>
      <x:c r="G15" s="106"/>
      <x:c r="H15" s="104"/>
      <x:c r="I15" s="112" t="n">
        <x:f>IF(OR($B15="Entrada",$B15="Ajuste entrada"),$G15,0)</x:f>
        <x:v>0</x:v>
      </x:c>
      <x:c r="J15" s="112" t="n">
        <x:f>IF(OR($B15="Salida",$B15="Ajuste salida"),$G15,0)</x:f>
        <x:v>0</x:v>
      </x:c>
      <x:c r="K15" s="114" t="str">
        <x:f>IF($G15="","",$G15*$H15)</x:f>
      </x:c>
      <x:c r="L15" s="98"/>
      <x:c r="M15" s="98"/>
    </x:row>
    <x:row r="16">
      <x:c r="A16" s="110"/>
      <x:c r="B16" s="98"/>
      <x:c r="C16" s="98"/>
      <x:c r="D16" s="108" t="str">
        <x:f>IF($C16="","",INDEX('03 Productos'!$B$5:$B$79,MATCH($C16,'03 Productos'!$A$5:$A$79,0)))</x:f>
      </x:c>
      <x:c r="E16" s="108" t="str">
        <x:f>IF($C16="","",INDEX('03 Productos'!$C$5:$C$79,MATCH($C16,'03 Productos'!$A$5:$A$79,0)))</x:f>
      </x:c>
      <x:c r="F16" s="98"/>
      <x:c r="G16" s="106"/>
      <x:c r="H16" s="104"/>
      <x:c r="I16" s="112" t="n">
        <x:f>IF(OR($B16="Entrada",$B16="Ajuste entrada"),$G16,0)</x:f>
        <x:v>0</x:v>
      </x:c>
      <x:c r="J16" s="112" t="n">
        <x:f>IF(OR($B16="Salida",$B16="Ajuste salida"),$G16,0)</x:f>
        <x:v>0</x:v>
      </x:c>
      <x:c r="K16" s="114" t="str">
        <x:f>IF($G16="","",$G16*$H16)</x:f>
      </x:c>
      <x:c r="L16" s="98"/>
      <x:c r="M16" s="98"/>
    </x:row>
    <x:row r="17">
      <x:c r="A17" s="110"/>
      <x:c r="B17" s="98"/>
      <x:c r="C17" s="98"/>
      <x:c r="D17" s="108" t="str">
        <x:f>IF($C17="","",INDEX('03 Productos'!$B$5:$B$79,MATCH($C17,'03 Productos'!$A$5:$A$79,0)))</x:f>
      </x:c>
      <x:c r="E17" s="108" t="str">
        <x:f>IF($C17="","",INDEX('03 Productos'!$C$5:$C$79,MATCH($C17,'03 Productos'!$A$5:$A$79,0)))</x:f>
      </x:c>
      <x:c r="F17" s="98"/>
      <x:c r="G17" s="106"/>
      <x:c r="H17" s="104"/>
      <x:c r="I17" s="112" t="n">
        <x:f>IF(OR($B17="Entrada",$B17="Ajuste entrada"),$G17,0)</x:f>
        <x:v>0</x:v>
      </x:c>
      <x:c r="J17" s="112" t="n">
        <x:f>IF(OR($B17="Salida",$B17="Ajuste salida"),$G17,0)</x:f>
        <x:v>0</x:v>
      </x:c>
      <x:c r="K17" s="114" t="str">
        <x:f>IF($G17="","",$G17*$H17)</x:f>
      </x:c>
      <x:c r="L17" s="98"/>
      <x:c r="M17" s="98"/>
    </x:row>
    <x:row r="18">
      <x:c r="A18" s="110"/>
      <x:c r="B18" s="98"/>
      <x:c r="C18" s="98"/>
      <x:c r="D18" s="108" t="str">
        <x:f>IF($C18="","",INDEX('03 Productos'!$B$5:$B$79,MATCH($C18,'03 Productos'!$A$5:$A$79,0)))</x:f>
      </x:c>
      <x:c r="E18" s="108" t="str">
        <x:f>IF($C18="","",INDEX('03 Productos'!$C$5:$C$79,MATCH($C18,'03 Productos'!$A$5:$A$79,0)))</x:f>
      </x:c>
      <x:c r="F18" s="98"/>
      <x:c r="G18" s="106"/>
      <x:c r="H18" s="104"/>
      <x:c r="I18" s="112" t="n">
        <x:f>IF(OR($B18="Entrada",$B18="Ajuste entrada"),$G18,0)</x:f>
        <x:v>0</x:v>
      </x:c>
      <x:c r="J18" s="112" t="n">
        <x:f>IF(OR($B18="Salida",$B18="Ajuste salida"),$G18,0)</x:f>
        <x:v>0</x:v>
      </x:c>
      <x:c r="K18" s="114" t="str">
        <x:f>IF($G18="","",$G18*$H18)</x:f>
      </x:c>
      <x:c r="L18" s="98"/>
      <x:c r="M18" s="98"/>
    </x:row>
    <x:row r="19">
      <x:c r="A19" s="110"/>
      <x:c r="B19" s="98"/>
      <x:c r="C19" s="98"/>
      <x:c r="D19" s="108" t="str">
        <x:f>IF($C19="","",INDEX('03 Productos'!$B$5:$B$79,MATCH($C19,'03 Productos'!$A$5:$A$79,0)))</x:f>
      </x:c>
      <x:c r="E19" s="108" t="str">
        <x:f>IF($C19="","",INDEX('03 Productos'!$C$5:$C$79,MATCH($C19,'03 Productos'!$A$5:$A$79,0)))</x:f>
      </x:c>
      <x:c r="F19" s="98"/>
      <x:c r="G19" s="106"/>
      <x:c r="H19" s="104"/>
      <x:c r="I19" s="112" t="n">
        <x:f>IF(OR($B19="Entrada",$B19="Ajuste entrada"),$G19,0)</x:f>
        <x:v>0</x:v>
      </x:c>
      <x:c r="J19" s="112" t="n">
        <x:f>IF(OR($B19="Salida",$B19="Ajuste salida"),$G19,0)</x:f>
        <x:v>0</x:v>
      </x:c>
      <x:c r="K19" s="114" t="str">
        <x:f>IF($G19="","",$G19*$H19)</x:f>
      </x:c>
      <x:c r="L19" s="98"/>
      <x:c r="M19" s="98"/>
    </x:row>
    <x:row r="20">
      <x:c r="A20" s="110"/>
      <x:c r="B20" s="98"/>
      <x:c r="C20" s="98"/>
      <x:c r="D20" s="108" t="str">
        <x:f>IF($C20="","",INDEX('03 Productos'!$B$5:$B$79,MATCH($C20,'03 Productos'!$A$5:$A$79,0)))</x:f>
      </x:c>
      <x:c r="E20" s="108" t="str">
        <x:f>IF($C20="","",INDEX('03 Productos'!$C$5:$C$79,MATCH($C20,'03 Productos'!$A$5:$A$79,0)))</x:f>
      </x:c>
      <x:c r="F20" s="98"/>
      <x:c r="G20" s="106"/>
      <x:c r="H20" s="104"/>
      <x:c r="I20" s="112" t="n">
        <x:f>IF(OR($B20="Entrada",$B20="Ajuste entrada"),$G20,0)</x:f>
        <x:v>0</x:v>
      </x:c>
      <x:c r="J20" s="112" t="n">
        <x:f>IF(OR($B20="Salida",$B20="Ajuste salida"),$G20,0)</x:f>
        <x:v>0</x:v>
      </x:c>
      <x:c r="K20" s="114" t="str">
        <x:f>IF($G20="","",$G20*$H20)</x:f>
      </x:c>
      <x:c r="L20" s="98"/>
      <x:c r="M20" s="98"/>
    </x:row>
    <x:row r="21">
      <x:c r="A21" s="110"/>
      <x:c r="B21" s="98"/>
      <x:c r="C21" s="98"/>
      <x:c r="D21" s="108" t="str">
        <x:f>IF($C21="","",INDEX('03 Productos'!$B$5:$B$79,MATCH($C21,'03 Productos'!$A$5:$A$79,0)))</x:f>
      </x:c>
      <x:c r="E21" s="108" t="str">
        <x:f>IF($C21="","",INDEX('03 Productos'!$C$5:$C$79,MATCH($C21,'03 Productos'!$A$5:$A$79,0)))</x:f>
      </x:c>
      <x:c r="F21" s="98"/>
      <x:c r="G21" s="106"/>
      <x:c r="H21" s="104"/>
      <x:c r="I21" s="112" t="n">
        <x:f>IF(OR($B21="Entrada",$B21="Ajuste entrada"),$G21,0)</x:f>
        <x:v>0</x:v>
      </x:c>
      <x:c r="J21" s="112" t="n">
        <x:f>IF(OR($B21="Salida",$B21="Ajuste salida"),$G21,0)</x:f>
        <x:v>0</x:v>
      </x:c>
      <x:c r="K21" s="114" t="str">
        <x:f>IF($G21="","",$G21*$H21)</x:f>
      </x:c>
      <x:c r="L21" s="98"/>
      <x:c r="M21" s="98"/>
    </x:row>
    <x:row r="22">
      <x:c r="A22" s="110"/>
      <x:c r="B22" s="98"/>
      <x:c r="C22" s="98"/>
      <x:c r="D22" s="108" t="str">
        <x:f>IF($C22="","",INDEX('03 Productos'!$B$5:$B$79,MATCH($C22,'03 Productos'!$A$5:$A$79,0)))</x:f>
      </x:c>
      <x:c r="E22" s="108" t="str">
        <x:f>IF($C22="","",INDEX('03 Productos'!$C$5:$C$79,MATCH($C22,'03 Productos'!$A$5:$A$79,0)))</x:f>
      </x:c>
      <x:c r="F22" s="98"/>
      <x:c r="G22" s="106"/>
      <x:c r="H22" s="104"/>
      <x:c r="I22" s="112" t="n">
        <x:f>IF(OR($B22="Entrada",$B22="Ajuste entrada"),$G22,0)</x:f>
        <x:v>0</x:v>
      </x:c>
      <x:c r="J22" s="112" t="n">
        <x:f>IF(OR($B22="Salida",$B22="Ajuste salida"),$G22,0)</x:f>
        <x:v>0</x:v>
      </x:c>
      <x:c r="K22" s="114" t="str">
        <x:f>IF($G22="","",$G22*$H22)</x:f>
      </x:c>
      <x:c r="L22" s="98"/>
      <x:c r="M22" s="98"/>
    </x:row>
    <x:row r="23">
      <x:c r="A23" s="110"/>
      <x:c r="B23" s="98"/>
      <x:c r="C23" s="98"/>
      <x:c r="D23" s="108" t="str">
        <x:f>IF($C23="","",INDEX('03 Productos'!$B$5:$B$79,MATCH($C23,'03 Productos'!$A$5:$A$79,0)))</x:f>
      </x:c>
      <x:c r="E23" s="108" t="str">
        <x:f>IF($C23="","",INDEX('03 Productos'!$C$5:$C$79,MATCH($C23,'03 Productos'!$A$5:$A$79,0)))</x:f>
      </x:c>
      <x:c r="F23" s="98"/>
      <x:c r="G23" s="106"/>
      <x:c r="H23" s="104"/>
      <x:c r="I23" s="112" t="n">
        <x:f>IF(OR($B23="Entrada",$B23="Ajuste entrada"),$G23,0)</x:f>
        <x:v>0</x:v>
      </x:c>
      <x:c r="J23" s="112" t="n">
        <x:f>IF(OR($B23="Salida",$B23="Ajuste salida"),$G23,0)</x:f>
        <x:v>0</x:v>
      </x:c>
      <x:c r="K23" s="114" t="str">
        <x:f>IF($G23="","",$G23*$H23)</x:f>
      </x:c>
      <x:c r="L23" s="98"/>
      <x:c r="M23" s="98"/>
    </x:row>
    <x:row r="24">
      <x:c r="A24" s="110"/>
      <x:c r="B24" s="98"/>
      <x:c r="C24" s="98"/>
      <x:c r="D24" s="108" t="str">
        <x:f>IF($C24="","",INDEX('03 Productos'!$B$5:$B$79,MATCH($C24,'03 Productos'!$A$5:$A$79,0)))</x:f>
      </x:c>
      <x:c r="E24" s="108" t="str">
        <x:f>IF($C24="","",INDEX('03 Productos'!$C$5:$C$79,MATCH($C24,'03 Productos'!$A$5:$A$79,0)))</x:f>
      </x:c>
      <x:c r="F24" s="98"/>
      <x:c r="G24" s="106"/>
      <x:c r="H24" s="104"/>
      <x:c r="I24" s="112" t="n">
        <x:f>IF(OR($B24="Entrada",$B24="Ajuste entrada"),$G24,0)</x:f>
        <x:v>0</x:v>
      </x:c>
      <x:c r="J24" s="112" t="n">
        <x:f>IF(OR($B24="Salida",$B24="Ajuste salida"),$G24,0)</x:f>
        <x:v>0</x:v>
      </x:c>
      <x:c r="K24" s="114" t="str">
        <x:f>IF($G24="","",$G24*$H24)</x:f>
      </x:c>
      <x:c r="L24" s="98"/>
      <x:c r="M24" s="98"/>
    </x:row>
    <x:row r="25">
      <x:c r="A25" s="110"/>
      <x:c r="B25" s="98"/>
      <x:c r="C25" s="98"/>
      <x:c r="D25" s="108" t="str">
        <x:f>IF($C25="","",INDEX('03 Productos'!$B$5:$B$79,MATCH($C25,'03 Productos'!$A$5:$A$79,0)))</x:f>
      </x:c>
      <x:c r="E25" s="108" t="str">
        <x:f>IF($C25="","",INDEX('03 Productos'!$C$5:$C$79,MATCH($C25,'03 Productos'!$A$5:$A$79,0)))</x:f>
      </x:c>
      <x:c r="F25" s="98"/>
      <x:c r="G25" s="106"/>
      <x:c r="H25" s="104"/>
      <x:c r="I25" s="112" t="n">
        <x:f>IF(OR($B25="Entrada",$B25="Ajuste entrada"),$G25,0)</x:f>
        <x:v>0</x:v>
      </x:c>
      <x:c r="J25" s="112" t="n">
        <x:f>IF(OR($B25="Salida",$B25="Ajuste salida"),$G25,0)</x:f>
        <x:v>0</x:v>
      </x:c>
      <x:c r="K25" s="114" t="str">
        <x:f>IF($G25="","",$G25*$H25)</x:f>
      </x:c>
      <x:c r="L25" s="98"/>
      <x:c r="M25" s="98"/>
    </x:row>
    <x:row r="26">
      <x:c r="A26" s="110"/>
      <x:c r="B26" s="98"/>
      <x:c r="C26" s="98"/>
      <x:c r="D26" s="108" t="str">
        <x:f>IF($C26="","",INDEX('03 Productos'!$B$5:$B$79,MATCH($C26,'03 Productos'!$A$5:$A$79,0)))</x:f>
      </x:c>
      <x:c r="E26" s="108" t="str">
        <x:f>IF($C26="","",INDEX('03 Productos'!$C$5:$C$79,MATCH($C26,'03 Productos'!$A$5:$A$79,0)))</x:f>
      </x:c>
      <x:c r="F26" s="98"/>
      <x:c r="G26" s="106"/>
      <x:c r="H26" s="104"/>
      <x:c r="I26" s="112" t="n">
        <x:f>IF(OR($B26="Entrada",$B26="Ajuste entrada"),$G26,0)</x:f>
        <x:v>0</x:v>
      </x:c>
      <x:c r="J26" s="112" t="n">
        <x:f>IF(OR($B26="Salida",$B26="Ajuste salida"),$G26,0)</x:f>
        <x:v>0</x:v>
      </x:c>
      <x:c r="K26" s="114" t="str">
        <x:f>IF($G26="","",$G26*$H26)</x:f>
      </x:c>
      <x:c r="L26" s="98"/>
      <x:c r="M26" s="98"/>
    </x:row>
    <x:row r="27">
      <x:c r="A27" s="110"/>
      <x:c r="B27" s="98"/>
      <x:c r="C27" s="98"/>
      <x:c r="D27" s="108" t="str">
        <x:f>IF($C27="","",INDEX('03 Productos'!$B$5:$B$79,MATCH($C27,'03 Productos'!$A$5:$A$79,0)))</x:f>
      </x:c>
      <x:c r="E27" s="108" t="str">
        <x:f>IF($C27="","",INDEX('03 Productos'!$C$5:$C$79,MATCH($C27,'03 Productos'!$A$5:$A$79,0)))</x:f>
      </x:c>
      <x:c r="F27" s="98"/>
      <x:c r="G27" s="106"/>
      <x:c r="H27" s="104"/>
      <x:c r="I27" s="112" t="n">
        <x:f>IF(OR($B27="Entrada",$B27="Ajuste entrada"),$G27,0)</x:f>
        <x:v>0</x:v>
      </x:c>
      <x:c r="J27" s="112" t="n">
        <x:f>IF(OR($B27="Salida",$B27="Ajuste salida"),$G27,0)</x:f>
        <x:v>0</x:v>
      </x:c>
      <x:c r="K27" s="114" t="str">
        <x:f>IF($G27="","",$G27*$H27)</x:f>
      </x:c>
      <x:c r="L27" s="98"/>
      <x:c r="M27" s="98"/>
    </x:row>
    <x:row r="28">
      <x:c r="A28" s="110"/>
      <x:c r="B28" s="98"/>
      <x:c r="C28" s="98"/>
      <x:c r="D28" s="108" t="str">
        <x:f>IF($C28="","",INDEX('03 Productos'!$B$5:$B$79,MATCH($C28,'03 Productos'!$A$5:$A$79,0)))</x:f>
      </x:c>
      <x:c r="E28" s="108" t="str">
        <x:f>IF($C28="","",INDEX('03 Productos'!$C$5:$C$79,MATCH($C28,'03 Productos'!$A$5:$A$79,0)))</x:f>
      </x:c>
      <x:c r="F28" s="98"/>
      <x:c r="G28" s="106"/>
      <x:c r="H28" s="104"/>
      <x:c r="I28" s="112" t="n">
        <x:f>IF(OR($B28="Entrada",$B28="Ajuste entrada"),$G28,0)</x:f>
        <x:v>0</x:v>
      </x:c>
      <x:c r="J28" s="112" t="n">
        <x:f>IF(OR($B28="Salida",$B28="Ajuste salida"),$G28,0)</x:f>
        <x:v>0</x:v>
      </x:c>
      <x:c r="K28" s="114" t="str">
        <x:f>IF($G28="","",$G28*$H28)</x:f>
      </x:c>
      <x:c r="L28" s="98"/>
      <x:c r="M28" s="98"/>
    </x:row>
    <x:row r="29">
      <x:c r="A29" s="110"/>
      <x:c r="B29" s="98"/>
      <x:c r="C29" s="98"/>
      <x:c r="D29" s="108" t="str">
        <x:f>IF($C29="","",INDEX('03 Productos'!$B$5:$B$79,MATCH($C29,'03 Productos'!$A$5:$A$79,0)))</x:f>
      </x:c>
      <x:c r="E29" s="108" t="str">
        <x:f>IF($C29="","",INDEX('03 Productos'!$C$5:$C$79,MATCH($C29,'03 Productos'!$A$5:$A$79,0)))</x:f>
      </x:c>
      <x:c r="F29" s="98"/>
      <x:c r="G29" s="106"/>
      <x:c r="H29" s="104"/>
      <x:c r="I29" s="112" t="n">
        <x:f>IF(OR($B29="Entrada",$B29="Ajuste entrada"),$G29,0)</x:f>
        <x:v>0</x:v>
      </x:c>
      <x:c r="J29" s="112" t="n">
        <x:f>IF(OR($B29="Salida",$B29="Ajuste salida"),$G29,0)</x:f>
        <x:v>0</x:v>
      </x:c>
      <x:c r="K29" s="114" t="str">
        <x:f>IF($G29="","",$G29*$H29)</x:f>
      </x:c>
      <x:c r="L29" s="98"/>
      <x:c r="M29" s="98"/>
    </x:row>
    <x:row r="30">
      <x:c r="A30" s="110"/>
      <x:c r="B30" s="98"/>
      <x:c r="C30" s="98"/>
      <x:c r="D30" s="108" t="str">
        <x:f>IF($C30="","",INDEX('03 Productos'!$B$5:$B$79,MATCH($C30,'03 Productos'!$A$5:$A$79,0)))</x:f>
      </x:c>
      <x:c r="E30" s="108" t="str">
        <x:f>IF($C30="","",INDEX('03 Productos'!$C$5:$C$79,MATCH($C30,'03 Productos'!$A$5:$A$79,0)))</x:f>
      </x:c>
      <x:c r="F30" s="98"/>
      <x:c r="G30" s="106"/>
      <x:c r="H30" s="104"/>
      <x:c r="I30" s="112" t="n">
        <x:f>IF(OR($B30="Entrada",$B30="Ajuste entrada"),$G30,0)</x:f>
        <x:v>0</x:v>
      </x:c>
      <x:c r="J30" s="112" t="n">
        <x:f>IF(OR($B30="Salida",$B30="Ajuste salida"),$G30,0)</x:f>
        <x:v>0</x:v>
      </x:c>
      <x:c r="K30" s="114" t="str">
        <x:f>IF($G30="","",$G30*$H30)</x:f>
      </x:c>
      <x:c r="L30" s="98"/>
      <x:c r="M30" s="98"/>
    </x:row>
    <x:row r="31">
      <x:c r="A31" s="110"/>
      <x:c r="B31" s="98"/>
      <x:c r="C31" s="98"/>
      <x:c r="D31" s="108" t="str">
        <x:f>IF($C31="","",INDEX('03 Productos'!$B$5:$B$79,MATCH($C31,'03 Productos'!$A$5:$A$79,0)))</x:f>
      </x:c>
      <x:c r="E31" s="108" t="str">
        <x:f>IF($C31="","",INDEX('03 Productos'!$C$5:$C$79,MATCH($C31,'03 Productos'!$A$5:$A$79,0)))</x:f>
      </x:c>
      <x:c r="F31" s="98"/>
      <x:c r="G31" s="106"/>
      <x:c r="H31" s="104"/>
      <x:c r="I31" s="112" t="n">
        <x:f>IF(OR($B31="Entrada",$B31="Ajuste entrada"),$G31,0)</x:f>
        <x:v>0</x:v>
      </x:c>
      <x:c r="J31" s="112" t="n">
        <x:f>IF(OR($B31="Salida",$B31="Ajuste salida"),$G31,0)</x:f>
        <x:v>0</x:v>
      </x:c>
      <x:c r="K31" s="114" t="str">
        <x:f>IF($G31="","",$G31*$H31)</x:f>
      </x:c>
      <x:c r="L31" s="98"/>
      <x:c r="M31" s="98"/>
    </x:row>
    <x:row r="32">
      <x:c r="A32" s="110"/>
      <x:c r="B32" s="98"/>
      <x:c r="C32" s="98"/>
      <x:c r="D32" s="108" t="str">
        <x:f>IF($C32="","",INDEX('03 Productos'!$B$5:$B$79,MATCH($C32,'03 Productos'!$A$5:$A$79,0)))</x:f>
      </x:c>
      <x:c r="E32" s="108" t="str">
        <x:f>IF($C32="","",INDEX('03 Productos'!$C$5:$C$79,MATCH($C32,'03 Productos'!$A$5:$A$79,0)))</x:f>
      </x:c>
      <x:c r="F32" s="98"/>
      <x:c r="G32" s="106"/>
      <x:c r="H32" s="104"/>
      <x:c r="I32" s="112" t="n">
        <x:f>IF(OR($B32="Entrada",$B32="Ajuste entrada"),$G32,0)</x:f>
        <x:v>0</x:v>
      </x:c>
      <x:c r="J32" s="112" t="n">
        <x:f>IF(OR($B32="Salida",$B32="Ajuste salida"),$G32,0)</x:f>
        <x:v>0</x:v>
      </x:c>
      <x:c r="K32" s="114" t="str">
        <x:f>IF($G32="","",$G32*$H32)</x:f>
      </x:c>
      <x:c r="L32" s="98"/>
      <x:c r="M32" s="98"/>
    </x:row>
    <x:row r="33">
      <x:c r="A33" s="110"/>
      <x:c r="B33" s="98"/>
      <x:c r="C33" s="98"/>
      <x:c r="D33" s="108" t="str">
        <x:f>IF($C33="","",INDEX('03 Productos'!$B$5:$B$79,MATCH($C33,'03 Productos'!$A$5:$A$79,0)))</x:f>
      </x:c>
      <x:c r="E33" s="108" t="str">
        <x:f>IF($C33="","",INDEX('03 Productos'!$C$5:$C$79,MATCH($C33,'03 Productos'!$A$5:$A$79,0)))</x:f>
      </x:c>
      <x:c r="F33" s="98"/>
      <x:c r="G33" s="106"/>
      <x:c r="H33" s="104"/>
      <x:c r="I33" s="112" t="n">
        <x:f>IF(OR($B33="Entrada",$B33="Ajuste entrada"),$G33,0)</x:f>
        <x:v>0</x:v>
      </x:c>
      <x:c r="J33" s="112" t="n">
        <x:f>IF(OR($B33="Salida",$B33="Ajuste salida"),$G33,0)</x:f>
        <x:v>0</x:v>
      </x:c>
      <x:c r="K33" s="114" t="str">
        <x:f>IF($G33="","",$G33*$H33)</x:f>
      </x:c>
      <x:c r="L33" s="98"/>
      <x:c r="M33" s="98"/>
    </x:row>
    <x:row r="34">
      <x:c r="A34" s="110"/>
      <x:c r="B34" s="98"/>
      <x:c r="C34" s="98"/>
      <x:c r="D34" s="108" t="str">
        <x:f>IF($C34="","",INDEX('03 Productos'!$B$5:$B$79,MATCH($C34,'03 Productos'!$A$5:$A$79,0)))</x:f>
      </x:c>
      <x:c r="E34" s="108" t="str">
        <x:f>IF($C34="","",INDEX('03 Productos'!$C$5:$C$79,MATCH($C34,'03 Productos'!$A$5:$A$79,0)))</x:f>
      </x:c>
      <x:c r="F34" s="98"/>
      <x:c r="G34" s="106"/>
      <x:c r="H34" s="104"/>
      <x:c r="I34" s="112" t="n">
        <x:f>IF(OR($B34="Entrada",$B34="Ajuste entrada"),$G34,0)</x:f>
        <x:v>0</x:v>
      </x:c>
      <x:c r="J34" s="112" t="n">
        <x:f>IF(OR($B34="Salida",$B34="Ajuste salida"),$G34,0)</x:f>
        <x:v>0</x:v>
      </x:c>
      <x:c r="K34" s="114" t="str">
        <x:f>IF($G34="","",$G34*$H34)</x:f>
      </x:c>
      <x:c r="L34" s="98"/>
      <x:c r="M34" s="98"/>
    </x:row>
    <x:row r="35">
      <x:c r="A35" s="110"/>
      <x:c r="B35" s="98"/>
      <x:c r="C35" s="98"/>
      <x:c r="D35" s="108" t="str">
        <x:f>IF($C35="","",INDEX('03 Productos'!$B$5:$B$79,MATCH($C35,'03 Productos'!$A$5:$A$79,0)))</x:f>
      </x:c>
      <x:c r="E35" s="108" t="str">
        <x:f>IF($C35="","",INDEX('03 Productos'!$C$5:$C$79,MATCH($C35,'03 Productos'!$A$5:$A$79,0)))</x:f>
      </x:c>
      <x:c r="F35" s="98"/>
      <x:c r="G35" s="106"/>
      <x:c r="H35" s="104"/>
      <x:c r="I35" s="112" t="n">
        <x:f>IF(OR($B35="Entrada",$B35="Ajuste entrada"),$G35,0)</x:f>
        <x:v>0</x:v>
      </x:c>
      <x:c r="J35" s="112" t="n">
        <x:f>IF(OR($B35="Salida",$B35="Ajuste salida"),$G35,0)</x:f>
        <x:v>0</x:v>
      </x:c>
      <x:c r="K35" s="114" t="str">
        <x:f>IF($G35="","",$G35*$H35)</x:f>
      </x:c>
      <x:c r="L35" s="98"/>
      <x:c r="M35" s="98"/>
    </x:row>
    <x:row r="36">
      <x:c r="A36" s="110"/>
      <x:c r="B36" s="98"/>
      <x:c r="C36" s="98"/>
      <x:c r="D36" s="108" t="str">
        <x:f>IF($C36="","",INDEX('03 Productos'!$B$5:$B$79,MATCH($C36,'03 Productos'!$A$5:$A$79,0)))</x:f>
      </x:c>
      <x:c r="E36" s="108" t="str">
        <x:f>IF($C36="","",INDEX('03 Productos'!$C$5:$C$79,MATCH($C36,'03 Productos'!$A$5:$A$79,0)))</x:f>
      </x:c>
      <x:c r="F36" s="98"/>
      <x:c r="G36" s="106"/>
      <x:c r="H36" s="104"/>
      <x:c r="I36" s="112" t="n">
        <x:f>IF(OR($B36="Entrada",$B36="Ajuste entrada"),$G36,0)</x:f>
        <x:v>0</x:v>
      </x:c>
      <x:c r="J36" s="112" t="n">
        <x:f>IF(OR($B36="Salida",$B36="Ajuste salida"),$G36,0)</x:f>
        <x:v>0</x:v>
      </x:c>
      <x:c r="K36" s="114" t="str">
        <x:f>IF($G36="","",$G36*$H36)</x:f>
      </x:c>
      <x:c r="L36" s="98"/>
      <x:c r="M36" s="98"/>
    </x:row>
    <x:row r="37">
      <x:c r="A37" s="110"/>
      <x:c r="B37" s="98"/>
      <x:c r="C37" s="98"/>
      <x:c r="D37" s="108" t="str">
        <x:f>IF($C37="","",INDEX('03 Productos'!$B$5:$B$79,MATCH($C37,'03 Productos'!$A$5:$A$79,0)))</x:f>
      </x:c>
      <x:c r="E37" s="108" t="str">
        <x:f>IF($C37="","",INDEX('03 Productos'!$C$5:$C$79,MATCH($C37,'03 Productos'!$A$5:$A$79,0)))</x:f>
      </x:c>
      <x:c r="F37" s="98"/>
      <x:c r="G37" s="106"/>
      <x:c r="H37" s="104"/>
      <x:c r="I37" s="112" t="n">
        <x:f>IF(OR($B37="Entrada",$B37="Ajuste entrada"),$G37,0)</x:f>
        <x:v>0</x:v>
      </x:c>
      <x:c r="J37" s="112" t="n">
        <x:f>IF(OR($B37="Salida",$B37="Ajuste salida"),$G37,0)</x:f>
        <x:v>0</x:v>
      </x:c>
      <x:c r="K37" s="114" t="str">
        <x:f>IF($G37="","",$G37*$H37)</x:f>
      </x:c>
      <x:c r="L37" s="98"/>
      <x:c r="M37" s="98"/>
    </x:row>
    <x:row r="38">
      <x:c r="A38" s="110"/>
      <x:c r="B38" s="98"/>
      <x:c r="C38" s="98"/>
      <x:c r="D38" s="108" t="str">
        <x:f>IF($C38="","",INDEX('03 Productos'!$B$5:$B$79,MATCH($C38,'03 Productos'!$A$5:$A$79,0)))</x:f>
      </x:c>
      <x:c r="E38" s="108" t="str">
        <x:f>IF($C38="","",INDEX('03 Productos'!$C$5:$C$79,MATCH($C38,'03 Productos'!$A$5:$A$79,0)))</x:f>
      </x:c>
      <x:c r="F38" s="98"/>
      <x:c r="G38" s="106"/>
      <x:c r="H38" s="104"/>
      <x:c r="I38" s="112" t="n">
        <x:f>IF(OR($B38="Entrada",$B38="Ajuste entrada"),$G38,0)</x:f>
        <x:v>0</x:v>
      </x:c>
      <x:c r="J38" s="112" t="n">
        <x:f>IF(OR($B38="Salida",$B38="Ajuste salida"),$G38,0)</x:f>
        <x:v>0</x:v>
      </x:c>
      <x:c r="K38" s="114" t="str">
        <x:f>IF($G38="","",$G38*$H38)</x:f>
      </x:c>
      <x:c r="L38" s="98"/>
      <x:c r="M38" s="98"/>
    </x:row>
    <x:row r="39">
      <x:c r="A39" s="110"/>
      <x:c r="B39" s="98"/>
      <x:c r="C39" s="98"/>
      <x:c r="D39" s="108" t="str">
        <x:f>IF($C39="","",INDEX('03 Productos'!$B$5:$B$79,MATCH($C39,'03 Productos'!$A$5:$A$79,0)))</x:f>
      </x:c>
      <x:c r="E39" s="108" t="str">
        <x:f>IF($C39="","",INDEX('03 Productos'!$C$5:$C$79,MATCH($C39,'03 Productos'!$A$5:$A$79,0)))</x:f>
      </x:c>
      <x:c r="F39" s="98"/>
      <x:c r="G39" s="106"/>
      <x:c r="H39" s="104"/>
      <x:c r="I39" s="112" t="n">
        <x:f>IF(OR($B39="Entrada",$B39="Ajuste entrada"),$G39,0)</x:f>
        <x:v>0</x:v>
      </x:c>
      <x:c r="J39" s="112" t="n">
        <x:f>IF(OR($B39="Salida",$B39="Ajuste salida"),$G39,0)</x:f>
        <x:v>0</x:v>
      </x:c>
      <x:c r="K39" s="114" t="str">
        <x:f>IF($G39="","",$G39*$H39)</x:f>
      </x:c>
      <x:c r="L39" s="98"/>
      <x:c r="M39" s="98"/>
    </x:row>
    <x:row r="40">
      <x:c r="A40" s="110"/>
      <x:c r="B40" s="98"/>
      <x:c r="C40" s="98"/>
      <x:c r="D40" s="108" t="str">
        <x:f>IF($C40="","",INDEX('03 Productos'!$B$5:$B$79,MATCH($C40,'03 Productos'!$A$5:$A$79,0)))</x:f>
      </x:c>
      <x:c r="E40" s="108" t="str">
        <x:f>IF($C40="","",INDEX('03 Productos'!$C$5:$C$79,MATCH($C40,'03 Productos'!$A$5:$A$79,0)))</x:f>
      </x:c>
      <x:c r="F40" s="98"/>
      <x:c r="G40" s="106"/>
      <x:c r="H40" s="104"/>
      <x:c r="I40" s="112" t="n">
        <x:f>IF(OR($B40="Entrada",$B40="Ajuste entrada"),$G40,0)</x:f>
        <x:v>0</x:v>
      </x:c>
      <x:c r="J40" s="112" t="n">
        <x:f>IF(OR($B40="Salida",$B40="Ajuste salida"),$G40,0)</x:f>
        <x:v>0</x:v>
      </x:c>
      <x:c r="K40" s="114" t="str">
        <x:f>IF($G40="","",$G40*$H40)</x:f>
      </x:c>
      <x:c r="L40" s="98"/>
      <x:c r="M40" s="98"/>
    </x:row>
    <x:row r="41">
      <x:c r="A41" s="110"/>
      <x:c r="B41" s="98"/>
      <x:c r="C41" s="98"/>
      <x:c r="D41" s="108" t="str">
        <x:f>IF($C41="","",INDEX('03 Productos'!$B$5:$B$79,MATCH($C41,'03 Productos'!$A$5:$A$79,0)))</x:f>
      </x:c>
      <x:c r="E41" s="108" t="str">
        <x:f>IF($C41="","",INDEX('03 Productos'!$C$5:$C$79,MATCH($C41,'03 Productos'!$A$5:$A$79,0)))</x:f>
      </x:c>
      <x:c r="F41" s="98"/>
      <x:c r="G41" s="106"/>
      <x:c r="H41" s="104"/>
      <x:c r="I41" s="112" t="n">
        <x:f>IF(OR($B41="Entrada",$B41="Ajuste entrada"),$G41,0)</x:f>
        <x:v>0</x:v>
      </x:c>
      <x:c r="J41" s="112" t="n">
        <x:f>IF(OR($B41="Salida",$B41="Ajuste salida"),$G41,0)</x:f>
        <x:v>0</x:v>
      </x:c>
      <x:c r="K41" s="114" t="str">
        <x:f>IF($G41="","",$G41*$H41)</x:f>
      </x:c>
      <x:c r="L41" s="98"/>
      <x:c r="M41" s="98"/>
    </x:row>
    <x:row r="42">
      <x:c r="A42" s="110"/>
      <x:c r="B42" s="98"/>
      <x:c r="C42" s="98"/>
      <x:c r="D42" s="108" t="str">
        <x:f>IF($C42="","",INDEX('03 Productos'!$B$5:$B$79,MATCH($C42,'03 Productos'!$A$5:$A$79,0)))</x:f>
      </x:c>
      <x:c r="E42" s="108" t="str">
        <x:f>IF($C42="","",INDEX('03 Productos'!$C$5:$C$79,MATCH($C42,'03 Productos'!$A$5:$A$79,0)))</x:f>
      </x:c>
      <x:c r="F42" s="98"/>
      <x:c r="G42" s="106"/>
      <x:c r="H42" s="104"/>
      <x:c r="I42" s="112" t="n">
        <x:f>IF(OR($B42="Entrada",$B42="Ajuste entrada"),$G42,0)</x:f>
        <x:v>0</x:v>
      </x:c>
      <x:c r="J42" s="112" t="n">
        <x:f>IF(OR($B42="Salida",$B42="Ajuste salida"),$G42,0)</x:f>
        <x:v>0</x:v>
      </x:c>
      <x:c r="K42" s="114" t="str">
        <x:f>IF($G42="","",$G42*$H42)</x:f>
      </x:c>
      <x:c r="L42" s="98"/>
      <x:c r="M42" s="98"/>
    </x:row>
    <x:row r="43">
      <x:c r="A43" s="110"/>
      <x:c r="B43" s="98"/>
      <x:c r="C43" s="98"/>
      <x:c r="D43" s="108" t="str">
        <x:f>IF($C43="","",INDEX('03 Productos'!$B$5:$B$79,MATCH($C43,'03 Productos'!$A$5:$A$79,0)))</x:f>
      </x:c>
      <x:c r="E43" s="108" t="str">
        <x:f>IF($C43="","",INDEX('03 Productos'!$C$5:$C$79,MATCH($C43,'03 Productos'!$A$5:$A$79,0)))</x:f>
      </x:c>
      <x:c r="F43" s="98"/>
      <x:c r="G43" s="106"/>
      <x:c r="H43" s="104"/>
      <x:c r="I43" s="112" t="n">
        <x:f>IF(OR($B43="Entrada",$B43="Ajuste entrada"),$G43,0)</x:f>
        <x:v>0</x:v>
      </x:c>
      <x:c r="J43" s="112" t="n">
        <x:f>IF(OR($B43="Salida",$B43="Ajuste salida"),$G43,0)</x:f>
        <x:v>0</x:v>
      </x:c>
      <x:c r="K43" s="114" t="str">
        <x:f>IF($G43="","",$G43*$H43)</x:f>
      </x:c>
      <x:c r="L43" s="98"/>
      <x:c r="M43" s="98"/>
    </x:row>
    <x:row r="44">
      <x:c r="A44" s="110"/>
      <x:c r="B44" s="98"/>
      <x:c r="C44" s="98"/>
      <x:c r="D44" s="108" t="str">
        <x:f>IF($C44="","",INDEX('03 Productos'!$B$5:$B$79,MATCH($C44,'03 Productos'!$A$5:$A$79,0)))</x:f>
      </x:c>
      <x:c r="E44" s="108" t="str">
        <x:f>IF($C44="","",INDEX('03 Productos'!$C$5:$C$79,MATCH($C44,'03 Productos'!$A$5:$A$79,0)))</x:f>
      </x:c>
      <x:c r="F44" s="98"/>
      <x:c r="G44" s="106"/>
      <x:c r="H44" s="104"/>
      <x:c r="I44" s="112" t="n">
        <x:f>IF(OR($B44="Entrada",$B44="Ajuste entrada"),$G44,0)</x:f>
        <x:v>0</x:v>
      </x:c>
      <x:c r="J44" s="112" t="n">
        <x:f>IF(OR($B44="Salida",$B44="Ajuste salida"),$G44,0)</x:f>
        <x:v>0</x:v>
      </x:c>
      <x:c r="K44" s="114" t="str">
        <x:f>IF($G44="","",$G44*$H44)</x:f>
      </x:c>
      <x:c r="L44" s="98"/>
      <x:c r="M44" s="98"/>
    </x:row>
    <x:row r="45">
      <x:c r="A45" s="110"/>
      <x:c r="B45" s="98"/>
      <x:c r="C45" s="98"/>
      <x:c r="D45" s="108" t="str">
        <x:f>IF($C45="","",INDEX('03 Productos'!$B$5:$B$79,MATCH($C45,'03 Productos'!$A$5:$A$79,0)))</x:f>
      </x:c>
      <x:c r="E45" s="108" t="str">
        <x:f>IF($C45="","",INDEX('03 Productos'!$C$5:$C$79,MATCH($C45,'03 Productos'!$A$5:$A$79,0)))</x:f>
      </x:c>
      <x:c r="F45" s="98"/>
      <x:c r="G45" s="106"/>
      <x:c r="H45" s="104"/>
      <x:c r="I45" s="112" t="n">
        <x:f>IF(OR($B45="Entrada",$B45="Ajuste entrada"),$G45,0)</x:f>
        <x:v>0</x:v>
      </x:c>
      <x:c r="J45" s="112" t="n">
        <x:f>IF(OR($B45="Salida",$B45="Ajuste salida"),$G45,0)</x:f>
        <x:v>0</x:v>
      </x:c>
      <x:c r="K45" s="114" t="str">
        <x:f>IF($G45="","",$G45*$H45)</x:f>
      </x:c>
      <x:c r="L45" s="98"/>
      <x:c r="M45" s="98"/>
    </x:row>
    <x:row r="46">
      <x:c r="A46" s="110"/>
      <x:c r="B46" s="98"/>
      <x:c r="C46" s="98"/>
      <x:c r="D46" s="108" t="str">
        <x:f>IF($C46="","",INDEX('03 Productos'!$B$5:$B$79,MATCH($C46,'03 Productos'!$A$5:$A$79,0)))</x:f>
      </x:c>
      <x:c r="E46" s="108" t="str">
        <x:f>IF($C46="","",INDEX('03 Productos'!$C$5:$C$79,MATCH($C46,'03 Productos'!$A$5:$A$79,0)))</x:f>
      </x:c>
      <x:c r="F46" s="98"/>
      <x:c r="G46" s="106"/>
      <x:c r="H46" s="104"/>
      <x:c r="I46" s="112" t="n">
        <x:f>IF(OR($B46="Entrada",$B46="Ajuste entrada"),$G46,0)</x:f>
        <x:v>0</x:v>
      </x:c>
      <x:c r="J46" s="112" t="n">
        <x:f>IF(OR($B46="Salida",$B46="Ajuste salida"),$G46,0)</x:f>
        <x:v>0</x:v>
      </x:c>
      <x:c r="K46" s="114" t="str">
        <x:f>IF($G46="","",$G46*$H46)</x:f>
      </x:c>
      <x:c r="L46" s="98"/>
      <x:c r="M46" s="98"/>
    </x:row>
    <x:row r="47">
      <x:c r="A47" s="110"/>
      <x:c r="B47" s="98"/>
      <x:c r="C47" s="98"/>
      <x:c r="D47" s="108" t="str">
        <x:f>IF($C47="","",INDEX('03 Productos'!$B$5:$B$79,MATCH($C47,'03 Productos'!$A$5:$A$79,0)))</x:f>
      </x:c>
      <x:c r="E47" s="108" t="str">
        <x:f>IF($C47="","",INDEX('03 Productos'!$C$5:$C$79,MATCH($C47,'03 Productos'!$A$5:$A$79,0)))</x:f>
      </x:c>
      <x:c r="F47" s="98"/>
      <x:c r="G47" s="106"/>
      <x:c r="H47" s="104"/>
      <x:c r="I47" s="112" t="n">
        <x:f>IF(OR($B47="Entrada",$B47="Ajuste entrada"),$G47,0)</x:f>
        <x:v>0</x:v>
      </x:c>
      <x:c r="J47" s="112" t="n">
        <x:f>IF(OR($B47="Salida",$B47="Ajuste salida"),$G47,0)</x:f>
        <x:v>0</x:v>
      </x:c>
      <x:c r="K47" s="114" t="str">
        <x:f>IF($G47="","",$G47*$H47)</x:f>
      </x:c>
      <x:c r="L47" s="98"/>
      <x:c r="M47" s="98"/>
    </x:row>
    <x:row r="48">
      <x:c r="A48" s="110"/>
      <x:c r="B48" s="98"/>
      <x:c r="C48" s="98"/>
      <x:c r="D48" s="108" t="str">
        <x:f>IF($C48="","",INDEX('03 Productos'!$B$5:$B$79,MATCH($C48,'03 Productos'!$A$5:$A$79,0)))</x:f>
      </x:c>
      <x:c r="E48" s="108" t="str">
        <x:f>IF($C48="","",INDEX('03 Productos'!$C$5:$C$79,MATCH($C48,'03 Productos'!$A$5:$A$79,0)))</x:f>
      </x:c>
      <x:c r="F48" s="98"/>
      <x:c r="G48" s="106"/>
      <x:c r="H48" s="104"/>
      <x:c r="I48" s="112" t="n">
        <x:f>IF(OR($B48="Entrada",$B48="Ajuste entrada"),$G48,0)</x:f>
        <x:v>0</x:v>
      </x:c>
      <x:c r="J48" s="112" t="n">
        <x:f>IF(OR($B48="Salida",$B48="Ajuste salida"),$G48,0)</x:f>
        <x:v>0</x:v>
      </x:c>
      <x:c r="K48" s="114" t="str">
        <x:f>IF($G48="","",$G48*$H48)</x:f>
      </x:c>
      <x:c r="L48" s="98"/>
      <x:c r="M48" s="98"/>
    </x:row>
    <x:row r="49">
      <x:c r="A49" s="110"/>
      <x:c r="B49" s="98"/>
      <x:c r="C49" s="98"/>
      <x:c r="D49" s="108" t="str">
        <x:f>IF($C49="","",INDEX('03 Productos'!$B$5:$B$79,MATCH($C49,'03 Productos'!$A$5:$A$79,0)))</x:f>
      </x:c>
      <x:c r="E49" s="108" t="str">
        <x:f>IF($C49="","",INDEX('03 Productos'!$C$5:$C$79,MATCH($C49,'03 Productos'!$A$5:$A$79,0)))</x:f>
      </x:c>
      <x:c r="F49" s="98"/>
      <x:c r="G49" s="106"/>
      <x:c r="H49" s="104"/>
      <x:c r="I49" s="112" t="n">
        <x:f>IF(OR($B49="Entrada",$B49="Ajuste entrada"),$G49,0)</x:f>
        <x:v>0</x:v>
      </x:c>
      <x:c r="J49" s="112" t="n">
        <x:f>IF(OR($B49="Salida",$B49="Ajuste salida"),$G49,0)</x:f>
        <x:v>0</x:v>
      </x:c>
      <x:c r="K49" s="114" t="str">
        <x:f>IF($G49="","",$G49*$H49)</x:f>
      </x:c>
      <x:c r="L49" s="98"/>
      <x:c r="M49" s="98"/>
    </x:row>
    <x:row r="50">
      <x:c r="A50" s="110"/>
      <x:c r="B50" s="98"/>
      <x:c r="C50" s="98"/>
      <x:c r="D50" s="108" t="str">
        <x:f>IF($C50="","",INDEX('03 Productos'!$B$5:$B$79,MATCH($C50,'03 Productos'!$A$5:$A$79,0)))</x:f>
      </x:c>
      <x:c r="E50" s="108" t="str">
        <x:f>IF($C50="","",INDEX('03 Productos'!$C$5:$C$79,MATCH($C50,'03 Productos'!$A$5:$A$79,0)))</x:f>
      </x:c>
      <x:c r="F50" s="98"/>
      <x:c r="G50" s="106"/>
      <x:c r="H50" s="104"/>
      <x:c r="I50" s="112" t="n">
        <x:f>IF(OR($B50="Entrada",$B50="Ajuste entrada"),$G50,0)</x:f>
        <x:v>0</x:v>
      </x:c>
      <x:c r="J50" s="112" t="n">
        <x:f>IF(OR($B50="Salida",$B50="Ajuste salida"),$G50,0)</x:f>
        <x:v>0</x:v>
      </x:c>
      <x:c r="K50" s="114" t="str">
        <x:f>IF($G50="","",$G50*$H50)</x:f>
      </x:c>
      <x:c r="L50" s="98"/>
      <x:c r="M50" s="98"/>
    </x:row>
    <x:row r="51">
      <x:c r="A51" s="110"/>
      <x:c r="B51" s="98"/>
      <x:c r="C51" s="98"/>
      <x:c r="D51" s="108" t="str">
        <x:f>IF($C51="","",INDEX('03 Productos'!$B$5:$B$79,MATCH($C51,'03 Productos'!$A$5:$A$79,0)))</x:f>
      </x:c>
      <x:c r="E51" s="108" t="str">
        <x:f>IF($C51="","",INDEX('03 Productos'!$C$5:$C$79,MATCH($C51,'03 Productos'!$A$5:$A$79,0)))</x:f>
      </x:c>
      <x:c r="F51" s="98"/>
      <x:c r="G51" s="106"/>
      <x:c r="H51" s="104"/>
      <x:c r="I51" s="112" t="n">
        <x:f>IF(OR($B51="Entrada",$B51="Ajuste entrada"),$G51,0)</x:f>
        <x:v>0</x:v>
      </x:c>
      <x:c r="J51" s="112" t="n">
        <x:f>IF(OR($B51="Salida",$B51="Ajuste salida"),$G51,0)</x:f>
        <x:v>0</x:v>
      </x:c>
      <x:c r="K51" s="114" t="str">
        <x:f>IF($G51="","",$G51*$H51)</x:f>
      </x:c>
      <x:c r="L51" s="98"/>
      <x:c r="M51" s="98"/>
    </x:row>
    <x:row r="52">
      <x:c r="A52" s="110"/>
      <x:c r="B52" s="98"/>
      <x:c r="C52" s="98"/>
      <x:c r="D52" s="108" t="str">
        <x:f>IF($C52="","",INDEX('03 Productos'!$B$5:$B$79,MATCH($C52,'03 Productos'!$A$5:$A$79,0)))</x:f>
      </x:c>
      <x:c r="E52" s="108" t="str">
        <x:f>IF($C52="","",INDEX('03 Productos'!$C$5:$C$79,MATCH($C52,'03 Productos'!$A$5:$A$79,0)))</x:f>
      </x:c>
      <x:c r="F52" s="98"/>
      <x:c r="G52" s="106"/>
      <x:c r="H52" s="104"/>
      <x:c r="I52" s="112" t="n">
        <x:f>IF(OR($B52="Entrada",$B52="Ajuste entrada"),$G52,0)</x:f>
        <x:v>0</x:v>
      </x:c>
      <x:c r="J52" s="112" t="n">
        <x:f>IF(OR($B52="Salida",$B52="Ajuste salida"),$G52,0)</x:f>
        <x:v>0</x:v>
      </x:c>
      <x:c r="K52" s="114" t="str">
        <x:f>IF($G52="","",$G52*$H52)</x:f>
      </x:c>
      <x:c r="L52" s="98"/>
      <x:c r="M52" s="98"/>
    </x:row>
    <x:row r="53">
      <x:c r="A53" s="110"/>
      <x:c r="B53" s="98"/>
      <x:c r="C53" s="98"/>
      <x:c r="D53" s="108" t="str">
        <x:f>IF($C53="","",INDEX('03 Productos'!$B$5:$B$79,MATCH($C53,'03 Productos'!$A$5:$A$79,0)))</x:f>
      </x:c>
      <x:c r="E53" s="108" t="str">
        <x:f>IF($C53="","",INDEX('03 Productos'!$C$5:$C$79,MATCH($C53,'03 Productos'!$A$5:$A$79,0)))</x:f>
      </x:c>
      <x:c r="F53" s="98"/>
      <x:c r="G53" s="106"/>
      <x:c r="H53" s="104"/>
      <x:c r="I53" s="112" t="n">
        <x:f>IF(OR($B53="Entrada",$B53="Ajuste entrada"),$G53,0)</x:f>
        <x:v>0</x:v>
      </x:c>
      <x:c r="J53" s="112" t="n">
        <x:f>IF(OR($B53="Salida",$B53="Ajuste salida"),$G53,0)</x:f>
        <x:v>0</x:v>
      </x:c>
      <x:c r="K53" s="114" t="str">
        <x:f>IF($G53="","",$G53*$H53)</x:f>
      </x:c>
      <x:c r="L53" s="98"/>
      <x:c r="M53" s="98"/>
    </x:row>
    <x:row r="54">
      <x:c r="A54" s="110"/>
      <x:c r="B54" s="98"/>
      <x:c r="C54" s="98"/>
      <x:c r="D54" s="108" t="str">
        <x:f>IF($C54="","",INDEX('03 Productos'!$B$5:$B$79,MATCH($C54,'03 Productos'!$A$5:$A$79,0)))</x:f>
      </x:c>
      <x:c r="E54" s="108" t="str">
        <x:f>IF($C54="","",INDEX('03 Productos'!$C$5:$C$79,MATCH($C54,'03 Productos'!$A$5:$A$79,0)))</x:f>
      </x:c>
      <x:c r="F54" s="98"/>
      <x:c r="G54" s="106"/>
      <x:c r="H54" s="104"/>
      <x:c r="I54" s="112" t="n">
        <x:f>IF(OR($B54="Entrada",$B54="Ajuste entrada"),$G54,0)</x:f>
        <x:v>0</x:v>
      </x:c>
      <x:c r="J54" s="112" t="n">
        <x:f>IF(OR($B54="Salida",$B54="Ajuste salida"),$G54,0)</x:f>
        <x:v>0</x:v>
      </x:c>
      <x:c r="K54" s="114" t="str">
        <x:f>IF($G54="","",$G54*$H54)</x:f>
      </x:c>
      <x:c r="L54" s="98"/>
      <x:c r="M54" s="98"/>
    </x:row>
    <x:row r="55">
      <x:c r="A55" s="110"/>
      <x:c r="B55" s="98"/>
      <x:c r="C55" s="98"/>
      <x:c r="D55" s="108" t="str">
        <x:f>IF($C55="","",INDEX('03 Productos'!$B$5:$B$79,MATCH($C55,'03 Productos'!$A$5:$A$79,0)))</x:f>
      </x:c>
      <x:c r="E55" s="108" t="str">
        <x:f>IF($C55="","",INDEX('03 Productos'!$C$5:$C$79,MATCH($C55,'03 Productos'!$A$5:$A$79,0)))</x:f>
      </x:c>
      <x:c r="F55" s="98"/>
      <x:c r="G55" s="106"/>
      <x:c r="H55" s="104"/>
      <x:c r="I55" s="112" t="n">
        <x:f>IF(OR($B55="Entrada",$B55="Ajuste entrada"),$G55,0)</x:f>
        <x:v>0</x:v>
      </x:c>
      <x:c r="J55" s="112" t="n">
        <x:f>IF(OR($B55="Salida",$B55="Ajuste salida"),$G55,0)</x:f>
        <x:v>0</x:v>
      </x:c>
      <x:c r="K55" s="114" t="str">
        <x:f>IF($G55="","",$G55*$H55)</x:f>
      </x:c>
      <x:c r="L55" s="98"/>
      <x:c r="M55" s="98"/>
    </x:row>
    <x:row r="56">
      <x:c r="A56" s="110"/>
      <x:c r="B56" s="98"/>
      <x:c r="C56" s="98"/>
      <x:c r="D56" s="108" t="str">
        <x:f>IF($C56="","",INDEX('03 Productos'!$B$5:$B$79,MATCH($C56,'03 Productos'!$A$5:$A$79,0)))</x:f>
      </x:c>
      <x:c r="E56" s="108" t="str">
        <x:f>IF($C56="","",INDEX('03 Productos'!$C$5:$C$79,MATCH($C56,'03 Productos'!$A$5:$A$79,0)))</x:f>
      </x:c>
      <x:c r="F56" s="98"/>
      <x:c r="G56" s="106"/>
      <x:c r="H56" s="104"/>
      <x:c r="I56" s="112" t="n">
        <x:f>IF(OR($B56="Entrada",$B56="Ajuste entrada"),$G56,0)</x:f>
        <x:v>0</x:v>
      </x:c>
      <x:c r="J56" s="112" t="n">
        <x:f>IF(OR($B56="Salida",$B56="Ajuste salida"),$G56,0)</x:f>
        <x:v>0</x:v>
      </x:c>
      <x:c r="K56" s="114" t="str">
        <x:f>IF($G56="","",$G56*$H56)</x:f>
      </x:c>
      <x:c r="L56" s="98"/>
      <x:c r="M56" s="98"/>
    </x:row>
    <x:row r="57">
      <x:c r="A57" s="110"/>
      <x:c r="B57" s="98"/>
      <x:c r="C57" s="98"/>
      <x:c r="D57" s="108" t="str">
        <x:f>IF($C57="","",INDEX('03 Productos'!$B$5:$B$79,MATCH($C57,'03 Productos'!$A$5:$A$79,0)))</x:f>
      </x:c>
      <x:c r="E57" s="108" t="str">
        <x:f>IF($C57="","",INDEX('03 Productos'!$C$5:$C$79,MATCH($C57,'03 Productos'!$A$5:$A$79,0)))</x:f>
      </x:c>
      <x:c r="F57" s="98"/>
      <x:c r="G57" s="106"/>
      <x:c r="H57" s="104"/>
      <x:c r="I57" s="112" t="n">
        <x:f>IF(OR($B57="Entrada",$B57="Ajuste entrada"),$G57,0)</x:f>
        <x:v>0</x:v>
      </x:c>
      <x:c r="J57" s="112" t="n">
        <x:f>IF(OR($B57="Salida",$B57="Ajuste salida"),$G57,0)</x:f>
        <x:v>0</x:v>
      </x:c>
      <x:c r="K57" s="114" t="str">
        <x:f>IF($G57="","",$G57*$H57)</x:f>
      </x:c>
      <x:c r="L57" s="98"/>
      <x:c r="M57" s="98"/>
    </x:row>
    <x:row r="58">
      <x:c r="A58" s="110"/>
      <x:c r="B58" s="98"/>
      <x:c r="C58" s="98"/>
      <x:c r="D58" s="108" t="str">
        <x:f>IF($C58="","",INDEX('03 Productos'!$B$5:$B$79,MATCH($C58,'03 Productos'!$A$5:$A$79,0)))</x:f>
      </x:c>
      <x:c r="E58" s="108" t="str">
        <x:f>IF($C58="","",INDEX('03 Productos'!$C$5:$C$79,MATCH($C58,'03 Productos'!$A$5:$A$79,0)))</x:f>
      </x:c>
      <x:c r="F58" s="98"/>
      <x:c r="G58" s="106"/>
      <x:c r="H58" s="104"/>
      <x:c r="I58" s="112" t="n">
        <x:f>IF(OR($B58="Entrada",$B58="Ajuste entrada"),$G58,0)</x:f>
        <x:v>0</x:v>
      </x:c>
      <x:c r="J58" s="112" t="n">
        <x:f>IF(OR($B58="Salida",$B58="Ajuste salida"),$G58,0)</x:f>
        <x:v>0</x:v>
      </x:c>
      <x:c r="K58" s="114" t="str">
        <x:f>IF($G58="","",$G58*$H58)</x:f>
      </x:c>
      <x:c r="L58" s="98"/>
      <x:c r="M58" s="98"/>
    </x:row>
    <x:row r="59">
      <x:c r="A59" s="110"/>
      <x:c r="B59" s="98"/>
      <x:c r="C59" s="98"/>
      <x:c r="D59" s="108" t="str">
        <x:f>IF($C59="","",INDEX('03 Productos'!$B$5:$B$79,MATCH($C59,'03 Productos'!$A$5:$A$79,0)))</x:f>
      </x:c>
      <x:c r="E59" s="108" t="str">
        <x:f>IF($C59="","",INDEX('03 Productos'!$C$5:$C$79,MATCH($C59,'03 Productos'!$A$5:$A$79,0)))</x:f>
      </x:c>
      <x:c r="F59" s="98"/>
      <x:c r="G59" s="106"/>
      <x:c r="H59" s="104"/>
      <x:c r="I59" s="112" t="n">
        <x:f>IF(OR($B59="Entrada",$B59="Ajuste entrada"),$G59,0)</x:f>
        <x:v>0</x:v>
      </x:c>
      <x:c r="J59" s="112" t="n">
        <x:f>IF(OR($B59="Salida",$B59="Ajuste salida"),$G59,0)</x:f>
        <x:v>0</x:v>
      </x:c>
      <x:c r="K59" s="114" t="str">
        <x:f>IF($G59="","",$G59*$H59)</x:f>
      </x:c>
      <x:c r="L59" s="98"/>
      <x:c r="M59" s="98"/>
    </x:row>
    <x:row r="60">
      <x:c r="A60" s="110"/>
      <x:c r="B60" s="98"/>
      <x:c r="C60" s="98"/>
      <x:c r="D60" s="108" t="str">
        <x:f>IF($C60="","",INDEX('03 Productos'!$B$5:$B$79,MATCH($C60,'03 Productos'!$A$5:$A$79,0)))</x:f>
      </x:c>
      <x:c r="E60" s="108" t="str">
        <x:f>IF($C60="","",INDEX('03 Productos'!$C$5:$C$79,MATCH($C60,'03 Productos'!$A$5:$A$79,0)))</x:f>
      </x:c>
      <x:c r="F60" s="98"/>
      <x:c r="G60" s="106"/>
      <x:c r="H60" s="104"/>
      <x:c r="I60" s="112" t="n">
        <x:f>IF(OR($B60="Entrada",$B60="Ajuste entrada"),$G60,0)</x:f>
        <x:v>0</x:v>
      </x:c>
      <x:c r="J60" s="112" t="n">
        <x:f>IF(OR($B60="Salida",$B60="Ajuste salida"),$G60,0)</x:f>
        <x:v>0</x:v>
      </x:c>
      <x:c r="K60" s="114" t="str">
        <x:f>IF($G60="","",$G60*$H60)</x:f>
      </x:c>
      <x:c r="L60" s="98"/>
      <x:c r="M60" s="98"/>
    </x:row>
    <x:row r="61">
      <x:c r="A61" s="110"/>
      <x:c r="B61" s="98"/>
      <x:c r="C61" s="98"/>
      <x:c r="D61" s="108" t="str">
        <x:f>IF($C61="","",INDEX('03 Productos'!$B$5:$B$79,MATCH($C61,'03 Productos'!$A$5:$A$79,0)))</x:f>
      </x:c>
      <x:c r="E61" s="108" t="str">
        <x:f>IF($C61="","",INDEX('03 Productos'!$C$5:$C$79,MATCH($C61,'03 Productos'!$A$5:$A$79,0)))</x:f>
      </x:c>
      <x:c r="F61" s="98"/>
      <x:c r="G61" s="106"/>
      <x:c r="H61" s="104"/>
      <x:c r="I61" s="112" t="n">
        <x:f>IF(OR($B61="Entrada",$B61="Ajuste entrada"),$G61,0)</x:f>
        <x:v>0</x:v>
      </x:c>
      <x:c r="J61" s="112" t="n">
        <x:f>IF(OR($B61="Salida",$B61="Ajuste salida"),$G61,0)</x:f>
        <x:v>0</x:v>
      </x:c>
      <x:c r="K61" s="114" t="str">
        <x:f>IF($G61="","",$G61*$H61)</x:f>
      </x:c>
      <x:c r="L61" s="98"/>
      <x:c r="M61" s="98"/>
    </x:row>
    <x:row r="62">
      <x:c r="A62" s="110"/>
      <x:c r="B62" s="98"/>
      <x:c r="C62" s="98"/>
      <x:c r="D62" s="108" t="str">
        <x:f>IF($C62="","",INDEX('03 Productos'!$B$5:$B$79,MATCH($C62,'03 Productos'!$A$5:$A$79,0)))</x:f>
      </x:c>
      <x:c r="E62" s="108" t="str">
        <x:f>IF($C62="","",INDEX('03 Productos'!$C$5:$C$79,MATCH($C62,'03 Productos'!$A$5:$A$79,0)))</x:f>
      </x:c>
      <x:c r="F62" s="98"/>
      <x:c r="G62" s="106"/>
      <x:c r="H62" s="104"/>
      <x:c r="I62" s="112" t="n">
        <x:f>IF(OR($B62="Entrada",$B62="Ajuste entrada"),$G62,0)</x:f>
        <x:v>0</x:v>
      </x:c>
      <x:c r="J62" s="112" t="n">
        <x:f>IF(OR($B62="Salida",$B62="Ajuste salida"),$G62,0)</x:f>
        <x:v>0</x:v>
      </x:c>
      <x:c r="K62" s="114" t="str">
        <x:f>IF($G62="","",$G62*$H62)</x:f>
      </x:c>
      <x:c r="L62" s="98"/>
      <x:c r="M62" s="98"/>
    </x:row>
    <x:row r="63">
      <x:c r="A63" s="110"/>
      <x:c r="B63" s="98"/>
      <x:c r="C63" s="98"/>
      <x:c r="D63" s="108" t="str">
        <x:f>IF($C63="","",INDEX('03 Productos'!$B$5:$B$79,MATCH($C63,'03 Productos'!$A$5:$A$79,0)))</x:f>
      </x:c>
      <x:c r="E63" s="108" t="str">
        <x:f>IF($C63="","",INDEX('03 Productos'!$C$5:$C$79,MATCH($C63,'03 Productos'!$A$5:$A$79,0)))</x:f>
      </x:c>
      <x:c r="F63" s="98"/>
      <x:c r="G63" s="106"/>
      <x:c r="H63" s="104"/>
      <x:c r="I63" s="112" t="n">
        <x:f>IF(OR($B63="Entrada",$B63="Ajuste entrada"),$G63,0)</x:f>
        <x:v>0</x:v>
      </x:c>
      <x:c r="J63" s="112" t="n">
        <x:f>IF(OR($B63="Salida",$B63="Ajuste salida"),$G63,0)</x:f>
        <x:v>0</x:v>
      </x:c>
      <x:c r="K63" s="114" t="str">
        <x:f>IF($G63="","",$G63*$H63)</x:f>
      </x:c>
      <x:c r="L63" s="98"/>
      <x:c r="M63" s="98"/>
    </x:row>
    <x:row r="64">
      <x:c r="A64" s="110"/>
      <x:c r="B64" s="98"/>
      <x:c r="C64" s="98"/>
      <x:c r="D64" s="108" t="str">
        <x:f>IF($C64="","",INDEX('03 Productos'!$B$5:$B$79,MATCH($C64,'03 Productos'!$A$5:$A$79,0)))</x:f>
      </x:c>
      <x:c r="E64" s="108" t="str">
        <x:f>IF($C64="","",INDEX('03 Productos'!$C$5:$C$79,MATCH($C64,'03 Productos'!$A$5:$A$79,0)))</x:f>
      </x:c>
      <x:c r="F64" s="98"/>
      <x:c r="G64" s="106"/>
      <x:c r="H64" s="104"/>
      <x:c r="I64" s="112" t="n">
        <x:f>IF(OR($B64="Entrada",$B64="Ajuste entrada"),$G64,0)</x:f>
        <x:v>0</x:v>
      </x:c>
      <x:c r="J64" s="112" t="n">
        <x:f>IF(OR($B64="Salida",$B64="Ajuste salida"),$G64,0)</x:f>
        <x:v>0</x:v>
      </x:c>
      <x:c r="K64" s="114" t="str">
        <x:f>IF($G64="","",$G64*$H64)</x:f>
      </x:c>
      <x:c r="L64" s="98"/>
      <x:c r="M64" s="98"/>
    </x:row>
    <x:row r="65">
      <x:c r="A65" s="110"/>
      <x:c r="B65" s="98"/>
      <x:c r="C65" s="98"/>
      <x:c r="D65" s="108" t="str">
        <x:f>IF($C65="","",INDEX('03 Productos'!$B$5:$B$79,MATCH($C65,'03 Productos'!$A$5:$A$79,0)))</x:f>
      </x:c>
      <x:c r="E65" s="108" t="str">
        <x:f>IF($C65="","",INDEX('03 Productos'!$C$5:$C$79,MATCH($C65,'03 Productos'!$A$5:$A$79,0)))</x:f>
      </x:c>
      <x:c r="F65" s="98"/>
      <x:c r="G65" s="106"/>
      <x:c r="H65" s="104"/>
      <x:c r="I65" s="112" t="n">
        <x:f>IF(OR($B65="Entrada",$B65="Ajuste entrada"),$G65,0)</x:f>
        <x:v>0</x:v>
      </x:c>
      <x:c r="J65" s="112" t="n">
        <x:f>IF(OR($B65="Salida",$B65="Ajuste salida"),$G65,0)</x:f>
        <x:v>0</x:v>
      </x:c>
      <x:c r="K65" s="114" t="str">
        <x:f>IF($G65="","",$G65*$H65)</x:f>
      </x:c>
      <x:c r="L65" s="98"/>
      <x:c r="M65" s="98"/>
    </x:row>
    <x:row r="66">
      <x:c r="A66" s="110"/>
      <x:c r="B66" s="98"/>
      <x:c r="C66" s="98"/>
      <x:c r="D66" s="108" t="str">
        <x:f>IF($C66="","",INDEX('03 Productos'!$B$5:$B$79,MATCH($C66,'03 Productos'!$A$5:$A$79,0)))</x:f>
      </x:c>
      <x:c r="E66" s="108" t="str">
        <x:f>IF($C66="","",INDEX('03 Productos'!$C$5:$C$79,MATCH($C66,'03 Productos'!$A$5:$A$79,0)))</x:f>
      </x:c>
      <x:c r="F66" s="98"/>
      <x:c r="G66" s="106"/>
      <x:c r="H66" s="104"/>
      <x:c r="I66" s="112" t="n">
        <x:f>IF(OR($B66="Entrada",$B66="Ajuste entrada"),$G66,0)</x:f>
        <x:v>0</x:v>
      </x:c>
      <x:c r="J66" s="112" t="n">
        <x:f>IF(OR($B66="Salida",$B66="Ajuste salida"),$G66,0)</x:f>
        <x:v>0</x:v>
      </x:c>
      <x:c r="K66" s="114" t="str">
        <x:f>IF($G66="","",$G66*$H66)</x:f>
      </x:c>
      <x:c r="L66" s="98"/>
      <x:c r="M66" s="98"/>
    </x:row>
    <x:row r="67">
      <x:c r="A67" s="110"/>
      <x:c r="B67" s="98"/>
      <x:c r="C67" s="98"/>
      <x:c r="D67" s="108" t="str">
        <x:f>IF($C67="","",INDEX('03 Productos'!$B$5:$B$79,MATCH($C67,'03 Productos'!$A$5:$A$79,0)))</x:f>
      </x:c>
      <x:c r="E67" s="108" t="str">
        <x:f>IF($C67="","",INDEX('03 Productos'!$C$5:$C$79,MATCH($C67,'03 Productos'!$A$5:$A$79,0)))</x:f>
      </x:c>
      <x:c r="F67" s="98"/>
      <x:c r="G67" s="106"/>
      <x:c r="H67" s="104"/>
      <x:c r="I67" s="112" t="n">
        <x:f>IF(OR($B67="Entrada",$B67="Ajuste entrada"),$G67,0)</x:f>
        <x:v>0</x:v>
      </x:c>
      <x:c r="J67" s="112" t="n">
        <x:f>IF(OR($B67="Salida",$B67="Ajuste salida"),$G67,0)</x:f>
        <x:v>0</x:v>
      </x:c>
      <x:c r="K67" s="114" t="str">
        <x:f>IF($G67="","",$G67*$H67)</x:f>
      </x:c>
      <x:c r="L67" s="98"/>
      <x:c r="M67" s="98"/>
    </x:row>
    <x:row r="68">
      <x:c r="A68" s="110"/>
      <x:c r="B68" s="98"/>
      <x:c r="C68" s="98"/>
      <x:c r="D68" s="108" t="str">
        <x:f>IF($C68="","",INDEX('03 Productos'!$B$5:$B$79,MATCH($C68,'03 Productos'!$A$5:$A$79,0)))</x:f>
      </x:c>
      <x:c r="E68" s="108" t="str">
        <x:f>IF($C68="","",INDEX('03 Productos'!$C$5:$C$79,MATCH($C68,'03 Productos'!$A$5:$A$79,0)))</x:f>
      </x:c>
      <x:c r="F68" s="98"/>
      <x:c r="G68" s="106"/>
      <x:c r="H68" s="104"/>
      <x:c r="I68" s="112" t="n">
        <x:f>IF(OR($B68="Entrada",$B68="Ajuste entrada"),$G68,0)</x:f>
        <x:v>0</x:v>
      </x:c>
      <x:c r="J68" s="112" t="n">
        <x:f>IF(OR($B68="Salida",$B68="Ajuste salida"),$G68,0)</x:f>
        <x:v>0</x:v>
      </x:c>
      <x:c r="K68" s="114" t="str">
        <x:f>IF($G68="","",$G68*$H68)</x:f>
      </x:c>
      <x:c r="L68" s="98"/>
      <x:c r="M68" s="98"/>
    </x:row>
    <x:row r="69">
      <x:c r="A69" s="110"/>
      <x:c r="B69" s="98"/>
      <x:c r="C69" s="98"/>
      <x:c r="D69" s="108" t="str">
        <x:f>IF($C69="","",INDEX('03 Productos'!$B$5:$B$79,MATCH($C69,'03 Productos'!$A$5:$A$79,0)))</x:f>
      </x:c>
      <x:c r="E69" s="108" t="str">
        <x:f>IF($C69="","",INDEX('03 Productos'!$C$5:$C$79,MATCH($C69,'03 Productos'!$A$5:$A$79,0)))</x:f>
      </x:c>
      <x:c r="F69" s="98"/>
      <x:c r="G69" s="106"/>
      <x:c r="H69" s="104"/>
      <x:c r="I69" s="112" t="n">
        <x:f>IF(OR($B69="Entrada",$B69="Ajuste entrada"),$G69,0)</x:f>
        <x:v>0</x:v>
      </x:c>
      <x:c r="J69" s="112" t="n">
        <x:f>IF(OR($B69="Salida",$B69="Ajuste salida"),$G69,0)</x:f>
        <x:v>0</x:v>
      </x:c>
      <x:c r="K69" s="114" t="str">
        <x:f>IF($G69="","",$G69*$H69)</x:f>
      </x:c>
      <x:c r="L69" s="98"/>
      <x:c r="M69" s="98"/>
    </x:row>
    <x:row r="70">
      <x:c r="A70" s="110"/>
      <x:c r="B70" s="98"/>
      <x:c r="C70" s="98"/>
      <x:c r="D70" s="108" t="str">
        <x:f>IF($C70="","",INDEX('03 Productos'!$B$5:$B$79,MATCH($C70,'03 Productos'!$A$5:$A$79,0)))</x:f>
      </x:c>
      <x:c r="E70" s="108" t="str">
        <x:f>IF($C70="","",INDEX('03 Productos'!$C$5:$C$79,MATCH($C70,'03 Productos'!$A$5:$A$79,0)))</x:f>
      </x:c>
      <x:c r="F70" s="98"/>
      <x:c r="G70" s="106"/>
      <x:c r="H70" s="104"/>
      <x:c r="I70" s="112" t="n">
        <x:f>IF(OR($B70="Entrada",$B70="Ajuste entrada"),$G70,0)</x:f>
        <x:v>0</x:v>
      </x:c>
      <x:c r="J70" s="112" t="n">
        <x:f>IF(OR($B70="Salida",$B70="Ajuste salida"),$G70,0)</x:f>
        <x:v>0</x:v>
      </x:c>
      <x:c r="K70" s="114" t="str">
        <x:f>IF($G70="","",$G70*$H70)</x:f>
      </x:c>
      <x:c r="L70" s="98"/>
      <x:c r="M70" s="98"/>
    </x:row>
    <x:row r="71">
      <x:c r="A71" s="110"/>
      <x:c r="B71" s="98"/>
      <x:c r="C71" s="98"/>
      <x:c r="D71" s="108" t="str">
        <x:f>IF($C71="","",INDEX('03 Productos'!$B$5:$B$79,MATCH($C71,'03 Productos'!$A$5:$A$79,0)))</x:f>
      </x:c>
      <x:c r="E71" s="108" t="str">
        <x:f>IF($C71="","",INDEX('03 Productos'!$C$5:$C$79,MATCH($C71,'03 Productos'!$A$5:$A$79,0)))</x:f>
      </x:c>
      <x:c r="F71" s="98"/>
      <x:c r="G71" s="106"/>
      <x:c r="H71" s="104"/>
      <x:c r="I71" s="112" t="n">
        <x:f>IF(OR($B71="Entrada",$B71="Ajuste entrada"),$G71,0)</x:f>
        <x:v>0</x:v>
      </x:c>
      <x:c r="J71" s="112" t="n">
        <x:f>IF(OR($B71="Salida",$B71="Ajuste salida"),$G71,0)</x:f>
        <x:v>0</x:v>
      </x:c>
      <x:c r="K71" s="114" t="str">
        <x:f>IF($G71="","",$G71*$H71)</x:f>
      </x:c>
      <x:c r="L71" s="98"/>
      <x:c r="M71" s="98"/>
    </x:row>
    <x:row r="72">
      <x:c r="A72" s="110"/>
      <x:c r="B72" s="98"/>
      <x:c r="C72" s="98"/>
      <x:c r="D72" s="108" t="str">
        <x:f>IF($C72="","",INDEX('03 Productos'!$B$5:$B$79,MATCH($C72,'03 Productos'!$A$5:$A$79,0)))</x:f>
      </x:c>
      <x:c r="E72" s="108" t="str">
        <x:f>IF($C72="","",INDEX('03 Productos'!$C$5:$C$79,MATCH($C72,'03 Productos'!$A$5:$A$79,0)))</x:f>
      </x:c>
      <x:c r="F72" s="98"/>
      <x:c r="G72" s="106"/>
      <x:c r="H72" s="104"/>
      <x:c r="I72" s="112" t="n">
        <x:f>IF(OR($B72="Entrada",$B72="Ajuste entrada"),$G72,0)</x:f>
        <x:v>0</x:v>
      </x:c>
      <x:c r="J72" s="112" t="n">
        <x:f>IF(OR($B72="Salida",$B72="Ajuste salida"),$G72,0)</x:f>
        <x:v>0</x:v>
      </x:c>
      <x:c r="K72" s="114" t="str">
        <x:f>IF($G72="","",$G72*$H72)</x:f>
      </x:c>
      <x:c r="L72" s="98"/>
      <x:c r="M72" s="98"/>
    </x:row>
    <x:row r="73">
      <x:c r="A73" s="110"/>
      <x:c r="B73" s="98"/>
      <x:c r="C73" s="98"/>
      <x:c r="D73" s="108" t="str">
        <x:f>IF($C73="","",INDEX('03 Productos'!$B$5:$B$79,MATCH($C73,'03 Productos'!$A$5:$A$79,0)))</x:f>
      </x:c>
      <x:c r="E73" s="108" t="str">
        <x:f>IF($C73="","",INDEX('03 Productos'!$C$5:$C$79,MATCH($C73,'03 Productos'!$A$5:$A$79,0)))</x:f>
      </x:c>
      <x:c r="F73" s="98"/>
      <x:c r="G73" s="106"/>
      <x:c r="H73" s="104"/>
      <x:c r="I73" s="112" t="n">
        <x:f>IF(OR($B73="Entrada",$B73="Ajuste entrada"),$G73,0)</x:f>
        <x:v>0</x:v>
      </x:c>
      <x:c r="J73" s="112" t="n">
        <x:f>IF(OR($B73="Salida",$B73="Ajuste salida"),$G73,0)</x:f>
        <x:v>0</x:v>
      </x:c>
      <x:c r="K73" s="114" t="str">
        <x:f>IF($G73="","",$G73*$H73)</x:f>
      </x:c>
      <x:c r="L73" s="98"/>
      <x:c r="M73" s="98"/>
    </x:row>
    <x:row r="74">
      <x:c r="A74" s="110"/>
      <x:c r="B74" s="98"/>
      <x:c r="C74" s="98"/>
      <x:c r="D74" s="108" t="str">
        <x:f>IF($C74="","",INDEX('03 Productos'!$B$5:$B$79,MATCH($C74,'03 Productos'!$A$5:$A$79,0)))</x:f>
      </x:c>
      <x:c r="E74" s="108" t="str">
        <x:f>IF($C74="","",INDEX('03 Productos'!$C$5:$C$79,MATCH($C74,'03 Productos'!$A$5:$A$79,0)))</x:f>
      </x:c>
      <x:c r="F74" s="98"/>
      <x:c r="G74" s="106"/>
      <x:c r="H74" s="104"/>
      <x:c r="I74" s="112" t="n">
        <x:f>IF(OR($B74="Entrada",$B74="Ajuste entrada"),$G74,0)</x:f>
        <x:v>0</x:v>
      </x:c>
      <x:c r="J74" s="112" t="n">
        <x:f>IF(OR($B74="Salida",$B74="Ajuste salida"),$G74,0)</x:f>
        <x:v>0</x:v>
      </x:c>
      <x:c r="K74" s="114" t="str">
        <x:f>IF($G74="","",$G74*$H74)</x:f>
      </x:c>
      <x:c r="L74" s="98"/>
      <x:c r="M74" s="98"/>
    </x:row>
    <x:row r="75">
      <x:c r="A75" s="110"/>
      <x:c r="B75" s="98"/>
      <x:c r="C75" s="98"/>
      <x:c r="D75" s="108" t="str">
        <x:f>IF($C75="","",INDEX('03 Productos'!$B$5:$B$79,MATCH($C75,'03 Productos'!$A$5:$A$79,0)))</x:f>
      </x:c>
      <x:c r="E75" s="108" t="str">
        <x:f>IF($C75="","",INDEX('03 Productos'!$C$5:$C$79,MATCH($C75,'03 Productos'!$A$5:$A$79,0)))</x:f>
      </x:c>
      <x:c r="F75" s="98"/>
      <x:c r="G75" s="106"/>
      <x:c r="H75" s="104"/>
      <x:c r="I75" s="112" t="n">
        <x:f>IF(OR($B75="Entrada",$B75="Ajuste entrada"),$G75,0)</x:f>
        <x:v>0</x:v>
      </x:c>
      <x:c r="J75" s="112" t="n">
        <x:f>IF(OR($B75="Salida",$B75="Ajuste salida"),$G75,0)</x:f>
        <x:v>0</x:v>
      </x:c>
      <x:c r="K75" s="114" t="str">
        <x:f>IF($G75="","",$G75*$H75)</x:f>
      </x:c>
      <x:c r="L75" s="98"/>
      <x:c r="M75" s="98"/>
    </x:row>
    <x:row r="76">
      <x:c r="A76" s="110"/>
      <x:c r="B76" s="98"/>
      <x:c r="C76" s="98"/>
      <x:c r="D76" s="108" t="str">
        <x:f>IF($C76="","",INDEX('03 Productos'!$B$5:$B$79,MATCH($C76,'03 Productos'!$A$5:$A$79,0)))</x:f>
      </x:c>
      <x:c r="E76" s="108" t="str">
        <x:f>IF($C76="","",INDEX('03 Productos'!$C$5:$C$79,MATCH($C76,'03 Productos'!$A$5:$A$79,0)))</x:f>
      </x:c>
      <x:c r="F76" s="98"/>
      <x:c r="G76" s="106"/>
      <x:c r="H76" s="104"/>
      <x:c r="I76" s="112" t="n">
        <x:f>IF(OR($B76="Entrada",$B76="Ajuste entrada"),$G76,0)</x:f>
        <x:v>0</x:v>
      </x:c>
      <x:c r="J76" s="112" t="n">
        <x:f>IF(OR($B76="Salida",$B76="Ajuste salida"),$G76,0)</x:f>
        <x:v>0</x:v>
      </x:c>
      <x:c r="K76" s="114" t="str">
        <x:f>IF($G76="","",$G76*$H76)</x:f>
      </x:c>
      <x:c r="L76" s="98"/>
      <x:c r="M76" s="98"/>
    </x:row>
    <x:row r="77">
      <x:c r="A77" s="110"/>
      <x:c r="B77" s="98"/>
      <x:c r="C77" s="98"/>
      <x:c r="D77" s="108" t="str">
        <x:f>IF($C77="","",INDEX('03 Productos'!$B$5:$B$79,MATCH($C77,'03 Productos'!$A$5:$A$79,0)))</x:f>
      </x:c>
      <x:c r="E77" s="108" t="str">
        <x:f>IF($C77="","",INDEX('03 Productos'!$C$5:$C$79,MATCH($C77,'03 Productos'!$A$5:$A$79,0)))</x:f>
      </x:c>
      <x:c r="F77" s="98"/>
      <x:c r="G77" s="106"/>
      <x:c r="H77" s="104"/>
      <x:c r="I77" s="112" t="n">
        <x:f>IF(OR($B77="Entrada",$B77="Ajuste entrada"),$G77,0)</x:f>
        <x:v>0</x:v>
      </x:c>
      <x:c r="J77" s="112" t="n">
        <x:f>IF(OR($B77="Salida",$B77="Ajuste salida"),$G77,0)</x:f>
        <x:v>0</x:v>
      </x:c>
      <x:c r="K77" s="114" t="str">
        <x:f>IF($G77="","",$G77*$H77)</x:f>
      </x:c>
      <x:c r="L77" s="98"/>
      <x:c r="M77" s="98"/>
    </x:row>
    <x:row r="78">
      <x:c r="A78" s="110"/>
      <x:c r="B78" s="98"/>
      <x:c r="C78" s="98"/>
      <x:c r="D78" s="108" t="str">
        <x:f>IF($C78="","",INDEX('03 Productos'!$B$5:$B$79,MATCH($C78,'03 Productos'!$A$5:$A$79,0)))</x:f>
      </x:c>
      <x:c r="E78" s="108" t="str">
        <x:f>IF($C78="","",INDEX('03 Productos'!$C$5:$C$79,MATCH($C78,'03 Productos'!$A$5:$A$79,0)))</x:f>
      </x:c>
      <x:c r="F78" s="98"/>
      <x:c r="G78" s="106"/>
      <x:c r="H78" s="104"/>
      <x:c r="I78" s="112" t="n">
        <x:f>IF(OR($B78="Entrada",$B78="Ajuste entrada"),$G78,0)</x:f>
        <x:v>0</x:v>
      </x:c>
      <x:c r="J78" s="112" t="n">
        <x:f>IF(OR($B78="Salida",$B78="Ajuste salida"),$G78,0)</x:f>
        <x:v>0</x:v>
      </x:c>
      <x:c r="K78" s="114" t="str">
        <x:f>IF($G78="","",$G78*$H78)</x:f>
      </x:c>
      <x:c r="L78" s="98"/>
      <x:c r="M78" s="98"/>
    </x:row>
    <x:row r="79">
      <x:c r="A79" s="110"/>
      <x:c r="B79" s="98"/>
      <x:c r="C79" s="98"/>
      <x:c r="D79" s="108" t="str">
        <x:f>IF($C79="","",INDEX('03 Productos'!$B$5:$B$79,MATCH($C79,'03 Productos'!$A$5:$A$79,0)))</x:f>
      </x:c>
      <x:c r="E79" s="108" t="str">
        <x:f>IF($C79="","",INDEX('03 Productos'!$C$5:$C$79,MATCH($C79,'03 Productos'!$A$5:$A$79,0)))</x:f>
      </x:c>
      <x:c r="F79" s="98"/>
      <x:c r="G79" s="106"/>
      <x:c r="H79" s="104"/>
      <x:c r="I79" s="112" t="n">
        <x:f>IF(OR($B79="Entrada",$B79="Ajuste entrada"),$G79,0)</x:f>
        <x:v>0</x:v>
      </x:c>
      <x:c r="J79" s="112" t="n">
        <x:f>IF(OR($B79="Salida",$B79="Ajuste salida"),$G79,0)</x:f>
        <x:v>0</x:v>
      </x:c>
      <x:c r="K79" s="114" t="str">
        <x:f>IF($G79="","",$G79*$H79)</x:f>
      </x:c>
      <x:c r="L79" s="98"/>
      <x:c r="M79" s="98"/>
    </x:row>
    <x:row r="80">
      <x:c r="A80" s="110"/>
      <x:c r="B80" s="98"/>
      <x:c r="C80" s="98"/>
      <x:c r="D80" s="108" t="str">
        <x:f>IF($C80="","",INDEX('03 Productos'!$B$5:$B$79,MATCH($C80,'03 Productos'!$A$5:$A$79,0)))</x:f>
      </x:c>
      <x:c r="E80" s="108" t="str">
        <x:f>IF($C80="","",INDEX('03 Productos'!$C$5:$C$79,MATCH($C80,'03 Productos'!$A$5:$A$79,0)))</x:f>
      </x:c>
      <x:c r="F80" s="98"/>
      <x:c r="G80" s="106"/>
      <x:c r="H80" s="104"/>
      <x:c r="I80" s="112" t="n">
        <x:f>IF(OR($B80="Entrada",$B80="Ajuste entrada"),$G80,0)</x:f>
        <x:v>0</x:v>
      </x:c>
      <x:c r="J80" s="112" t="n">
        <x:f>IF(OR($B80="Salida",$B80="Ajuste salida"),$G80,0)</x:f>
        <x:v>0</x:v>
      </x:c>
      <x:c r="K80" s="114" t="str">
        <x:f>IF($G80="","",$G80*$H80)</x:f>
      </x:c>
      <x:c r="L80" s="98"/>
      <x:c r="M80" s="98"/>
    </x:row>
    <x:row r="81">
      <x:c r="A81" s="110"/>
      <x:c r="B81" s="98"/>
      <x:c r="C81" s="98"/>
      <x:c r="D81" s="108" t="str">
        <x:f>IF($C81="","",INDEX('03 Productos'!$B$5:$B$79,MATCH($C81,'03 Productos'!$A$5:$A$79,0)))</x:f>
      </x:c>
      <x:c r="E81" s="108" t="str">
        <x:f>IF($C81="","",INDEX('03 Productos'!$C$5:$C$79,MATCH($C81,'03 Productos'!$A$5:$A$79,0)))</x:f>
      </x:c>
      <x:c r="F81" s="98"/>
      <x:c r="G81" s="106"/>
      <x:c r="H81" s="104"/>
      <x:c r="I81" s="112" t="n">
        <x:f>IF(OR($B81="Entrada",$B81="Ajuste entrada"),$G81,0)</x:f>
        <x:v>0</x:v>
      </x:c>
      <x:c r="J81" s="112" t="n">
        <x:f>IF(OR($B81="Salida",$B81="Ajuste salida"),$G81,0)</x:f>
        <x:v>0</x:v>
      </x:c>
      <x:c r="K81" s="114" t="str">
        <x:f>IF($G81="","",$G81*$H81)</x:f>
      </x:c>
      <x:c r="L81" s="98"/>
      <x:c r="M81" s="98"/>
    </x:row>
    <x:row r="82">
      <x:c r="A82" s="110"/>
      <x:c r="B82" s="98"/>
      <x:c r="C82" s="98"/>
      <x:c r="D82" s="108" t="str">
        <x:f>IF($C82="","",INDEX('03 Productos'!$B$5:$B$79,MATCH($C82,'03 Productos'!$A$5:$A$79,0)))</x:f>
      </x:c>
      <x:c r="E82" s="108" t="str">
        <x:f>IF($C82="","",INDEX('03 Productos'!$C$5:$C$79,MATCH($C82,'03 Productos'!$A$5:$A$79,0)))</x:f>
      </x:c>
      <x:c r="F82" s="98"/>
      <x:c r="G82" s="106"/>
      <x:c r="H82" s="104"/>
      <x:c r="I82" s="112" t="n">
        <x:f>IF(OR($B82="Entrada",$B82="Ajuste entrada"),$G82,0)</x:f>
        <x:v>0</x:v>
      </x:c>
      <x:c r="J82" s="112" t="n">
        <x:f>IF(OR($B82="Salida",$B82="Ajuste salida"),$G82,0)</x:f>
        <x:v>0</x:v>
      </x:c>
      <x:c r="K82" s="114" t="str">
        <x:f>IF($G82="","",$G82*$H82)</x:f>
      </x:c>
      <x:c r="L82" s="98"/>
      <x:c r="M82" s="98"/>
    </x:row>
    <x:row r="83">
      <x:c r="A83" s="110"/>
      <x:c r="B83" s="98"/>
      <x:c r="C83" s="98"/>
      <x:c r="D83" s="108" t="str">
        <x:f>IF($C83="","",INDEX('03 Productos'!$B$5:$B$79,MATCH($C83,'03 Productos'!$A$5:$A$79,0)))</x:f>
      </x:c>
      <x:c r="E83" s="108" t="str">
        <x:f>IF($C83="","",INDEX('03 Productos'!$C$5:$C$79,MATCH($C83,'03 Productos'!$A$5:$A$79,0)))</x:f>
      </x:c>
      <x:c r="F83" s="98"/>
      <x:c r="G83" s="106"/>
      <x:c r="H83" s="104"/>
      <x:c r="I83" s="112" t="n">
        <x:f>IF(OR($B83="Entrada",$B83="Ajuste entrada"),$G83,0)</x:f>
        <x:v>0</x:v>
      </x:c>
      <x:c r="J83" s="112" t="n">
        <x:f>IF(OR($B83="Salida",$B83="Ajuste salida"),$G83,0)</x:f>
        <x:v>0</x:v>
      </x:c>
      <x:c r="K83" s="114" t="str">
        <x:f>IF($G83="","",$G83*$H83)</x:f>
      </x:c>
      <x:c r="L83" s="98"/>
      <x:c r="M83" s="98"/>
    </x:row>
    <x:row r="84">
      <x:c r="A84" s="110"/>
      <x:c r="B84" s="98"/>
      <x:c r="C84" s="98"/>
      <x:c r="D84" s="108" t="str">
        <x:f>IF($C84="","",INDEX('03 Productos'!$B$5:$B$79,MATCH($C84,'03 Productos'!$A$5:$A$79,0)))</x:f>
      </x:c>
      <x:c r="E84" s="108" t="str">
        <x:f>IF($C84="","",INDEX('03 Productos'!$C$5:$C$79,MATCH($C84,'03 Productos'!$A$5:$A$79,0)))</x:f>
      </x:c>
      <x:c r="F84" s="98"/>
      <x:c r="G84" s="106"/>
      <x:c r="H84" s="104"/>
      <x:c r="I84" s="112" t="n">
        <x:f>IF(OR($B84="Entrada",$B84="Ajuste entrada"),$G84,0)</x:f>
        <x:v>0</x:v>
      </x:c>
      <x:c r="J84" s="112" t="n">
        <x:f>IF(OR($B84="Salida",$B84="Ajuste salida"),$G84,0)</x:f>
        <x:v>0</x:v>
      </x:c>
      <x:c r="K84" s="114" t="str">
        <x:f>IF($G84="","",$G84*$H84)</x:f>
      </x:c>
      <x:c r="L84" s="98"/>
      <x:c r="M84" s="98"/>
    </x:row>
    <x:row r="85">
      <x:c r="A85" s="110"/>
      <x:c r="B85" s="98"/>
      <x:c r="C85" s="98"/>
      <x:c r="D85" s="108" t="str">
        <x:f>IF($C85="","",INDEX('03 Productos'!$B$5:$B$79,MATCH($C85,'03 Productos'!$A$5:$A$79,0)))</x:f>
      </x:c>
      <x:c r="E85" s="108" t="str">
        <x:f>IF($C85="","",INDEX('03 Productos'!$C$5:$C$79,MATCH($C85,'03 Productos'!$A$5:$A$79,0)))</x:f>
      </x:c>
      <x:c r="F85" s="98"/>
      <x:c r="G85" s="106"/>
      <x:c r="H85" s="104"/>
      <x:c r="I85" s="112" t="n">
        <x:f>IF(OR($B85="Entrada",$B85="Ajuste entrada"),$G85,0)</x:f>
        <x:v>0</x:v>
      </x:c>
      <x:c r="J85" s="112" t="n">
        <x:f>IF(OR($B85="Salida",$B85="Ajuste salida"),$G85,0)</x:f>
        <x:v>0</x:v>
      </x:c>
      <x:c r="K85" s="114" t="str">
        <x:f>IF($G85="","",$G85*$H85)</x:f>
      </x:c>
      <x:c r="L85" s="98"/>
      <x:c r="M85" s="98"/>
    </x:row>
    <x:row r="86">
      <x:c r="A86" s="110"/>
      <x:c r="B86" s="98"/>
      <x:c r="C86" s="98"/>
      <x:c r="D86" s="108" t="str">
        <x:f>IF($C86="","",INDEX('03 Productos'!$B$5:$B$79,MATCH($C86,'03 Productos'!$A$5:$A$79,0)))</x:f>
      </x:c>
      <x:c r="E86" s="108" t="str">
        <x:f>IF($C86="","",INDEX('03 Productos'!$C$5:$C$79,MATCH($C86,'03 Productos'!$A$5:$A$79,0)))</x:f>
      </x:c>
      <x:c r="F86" s="98"/>
      <x:c r="G86" s="106"/>
      <x:c r="H86" s="104"/>
      <x:c r="I86" s="112" t="n">
        <x:f>IF(OR($B86="Entrada",$B86="Ajuste entrada"),$G86,0)</x:f>
        <x:v>0</x:v>
      </x:c>
      <x:c r="J86" s="112" t="n">
        <x:f>IF(OR($B86="Salida",$B86="Ajuste salida"),$G86,0)</x:f>
        <x:v>0</x:v>
      </x:c>
      <x:c r="K86" s="114" t="str">
        <x:f>IF($G86="","",$G86*$H86)</x:f>
      </x:c>
      <x:c r="L86" s="98"/>
      <x:c r="M86" s="98"/>
    </x:row>
    <x:row r="87">
      <x:c r="A87" s="110"/>
      <x:c r="B87" s="98"/>
      <x:c r="C87" s="98"/>
      <x:c r="D87" s="108" t="str">
        <x:f>IF($C87="","",INDEX('03 Productos'!$B$5:$B$79,MATCH($C87,'03 Productos'!$A$5:$A$79,0)))</x:f>
      </x:c>
      <x:c r="E87" s="108" t="str">
        <x:f>IF($C87="","",INDEX('03 Productos'!$C$5:$C$79,MATCH($C87,'03 Productos'!$A$5:$A$79,0)))</x:f>
      </x:c>
      <x:c r="F87" s="98"/>
      <x:c r="G87" s="106"/>
      <x:c r="H87" s="104"/>
      <x:c r="I87" s="112" t="n">
        <x:f>IF(OR($B87="Entrada",$B87="Ajuste entrada"),$G87,0)</x:f>
        <x:v>0</x:v>
      </x:c>
      <x:c r="J87" s="112" t="n">
        <x:f>IF(OR($B87="Salida",$B87="Ajuste salida"),$G87,0)</x:f>
        <x:v>0</x:v>
      </x:c>
      <x:c r="K87" s="114" t="str">
        <x:f>IF($G87="","",$G87*$H87)</x:f>
      </x:c>
      <x:c r="L87" s="98"/>
      <x:c r="M87" s="98"/>
    </x:row>
    <x:row r="88">
      <x:c r="A88" s="110"/>
      <x:c r="B88" s="98"/>
      <x:c r="C88" s="98"/>
      <x:c r="D88" s="108" t="str">
        <x:f>IF($C88="","",INDEX('03 Productos'!$B$5:$B$79,MATCH($C88,'03 Productos'!$A$5:$A$79,0)))</x:f>
      </x:c>
      <x:c r="E88" s="108" t="str">
        <x:f>IF($C88="","",INDEX('03 Productos'!$C$5:$C$79,MATCH($C88,'03 Productos'!$A$5:$A$79,0)))</x:f>
      </x:c>
      <x:c r="F88" s="98"/>
      <x:c r="G88" s="106"/>
      <x:c r="H88" s="104"/>
      <x:c r="I88" s="112" t="n">
        <x:f>IF(OR($B88="Entrada",$B88="Ajuste entrada"),$G88,0)</x:f>
        <x:v>0</x:v>
      </x:c>
      <x:c r="J88" s="112" t="n">
        <x:f>IF(OR($B88="Salida",$B88="Ajuste salida"),$G88,0)</x:f>
        <x:v>0</x:v>
      </x:c>
      <x:c r="K88" s="114" t="str">
        <x:f>IF($G88="","",$G88*$H88)</x:f>
      </x:c>
      <x:c r="L88" s="98"/>
      <x:c r="M88" s="98"/>
    </x:row>
    <x:row r="89">
      <x:c r="A89" s="110"/>
      <x:c r="B89" s="98"/>
      <x:c r="C89" s="98"/>
      <x:c r="D89" s="108" t="str">
        <x:f>IF($C89="","",INDEX('03 Productos'!$B$5:$B$79,MATCH($C89,'03 Productos'!$A$5:$A$79,0)))</x:f>
      </x:c>
      <x:c r="E89" s="108" t="str">
        <x:f>IF($C89="","",INDEX('03 Productos'!$C$5:$C$79,MATCH($C89,'03 Productos'!$A$5:$A$79,0)))</x:f>
      </x:c>
      <x:c r="F89" s="98"/>
      <x:c r="G89" s="106"/>
      <x:c r="H89" s="104"/>
      <x:c r="I89" s="112" t="n">
        <x:f>IF(OR($B89="Entrada",$B89="Ajuste entrada"),$G89,0)</x:f>
        <x:v>0</x:v>
      </x:c>
      <x:c r="J89" s="112" t="n">
        <x:f>IF(OR($B89="Salida",$B89="Ajuste salida"),$G89,0)</x:f>
        <x:v>0</x:v>
      </x:c>
      <x:c r="K89" s="114" t="str">
        <x:f>IF($G89="","",$G89*$H89)</x:f>
      </x:c>
      <x:c r="L89" s="98"/>
      <x:c r="M89" s="98"/>
    </x:row>
    <x:row r="90">
      <x:c r="A90" s="110"/>
      <x:c r="B90" s="98"/>
      <x:c r="C90" s="98"/>
      <x:c r="D90" s="108" t="str">
        <x:f>IF($C90="","",INDEX('03 Productos'!$B$5:$B$79,MATCH($C90,'03 Productos'!$A$5:$A$79,0)))</x:f>
      </x:c>
      <x:c r="E90" s="108" t="str">
        <x:f>IF($C90="","",INDEX('03 Productos'!$C$5:$C$79,MATCH($C90,'03 Productos'!$A$5:$A$79,0)))</x:f>
      </x:c>
      <x:c r="F90" s="98"/>
      <x:c r="G90" s="106"/>
      <x:c r="H90" s="104"/>
      <x:c r="I90" s="112" t="n">
        <x:f>IF(OR($B90="Entrada",$B90="Ajuste entrada"),$G90,0)</x:f>
        <x:v>0</x:v>
      </x:c>
      <x:c r="J90" s="112" t="n">
        <x:f>IF(OR($B90="Salida",$B90="Ajuste salida"),$G90,0)</x:f>
        <x:v>0</x:v>
      </x:c>
      <x:c r="K90" s="114" t="str">
        <x:f>IF($G90="","",$G90*$H90)</x:f>
      </x:c>
      <x:c r="L90" s="98"/>
      <x:c r="M90" s="98"/>
    </x:row>
    <x:row r="91">
      <x:c r="A91" s="110"/>
      <x:c r="B91" s="98"/>
      <x:c r="C91" s="98"/>
      <x:c r="D91" s="108" t="str">
        <x:f>IF($C91="","",INDEX('03 Productos'!$B$5:$B$79,MATCH($C91,'03 Productos'!$A$5:$A$79,0)))</x:f>
      </x:c>
      <x:c r="E91" s="108" t="str">
        <x:f>IF($C91="","",INDEX('03 Productos'!$C$5:$C$79,MATCH($C91,'03 Productos'!$A$5:$A$79,0)))</x:f>
      </x:c>
      <x:c r="F91" s="98"/>
      <x:c r="G91" s="106"/>
      <x:c r="H91" s="104"/>
      <x:c r="I91" s="112" t="n">
        <x:f>IF(OR($B91="Entrada",$B91="Ajuste entrada"),$G91,0)</x:f>
        <x:v>0</x:v>
      </x:c>
      <x:c r="J91" s="112" t="n">
        <x:f>IF(OR($B91="Salida",$B91="Ajuste salida"),$G91,0)</x:f>
        <x:v>0</x:v>
      </x:c>
      <x:c r="K91" s="114" t="str">
        <x:f>IF($G91="","",$G91*$H91)</x:f>
      </x:c>
      <x:c r="L91" s="98"/>
      <x:c r="M91" s="98"/>
    </x:row>
    <x:row r="92">
      <x:c r="A92" s="110"/>
      <x:c r="B92" s="98"/>
      <x:c r="C92" s="98"/>
      <x:c r="D92" s="108" t="str">
        <x:f>IF($C92="","",INDEX('03 Productos'!$B$5:$B$79,MATCH($C92,'03 Productos'!$A$5:$A$79,0)))</x:f>
      </x:c>
      <x:c r="E92" s="108" t="str">
        <x:f>IF($C92="","",INDEX('03 Productos'!$C$5:$C$79,MATCH($C92,'03 Productos'!$A$5:$A$79,0)))</x:f>
      </x:c>
      <x:c r="F92" s="98"/>
      <x:c r="G92" s="106"/>
      <x:c r="H92" s="104"/>
      <x:c r="I92" s="112" t="n">
        <x:f>IF(OR($B92="Entrada",$B92="Ajuste entrada"),$G92,0)</x:f>
        <x:v>0</x:v>
      </x:c>
      <x:c r="J92" s="112" t="n">
        <x:f>IF(OR($B92="Salida",$B92="Ajuste salida"),$G92,0)</x:f>
        <x:v>0</x:v>
      </x:c>
      <x:c r="K92" s="114" t="str">
        <x:f>IF($G92="","",$G92*$H92)</x:f>
      </x:c>
      <x:c r="L92" s="98"/>
      <x:c r="M92" s="98"/>
    </x:row>
    <x:row r="93">
      <x:c r="A93" s="110"/>
      <x:c r="B93" s="98"/>
      <x:c r="C93" s="98"/>
      <x:c r="D93" s="108" t="str">
        <x:f>IF($C93="","",INDEX('03 Productos'!$B$5:$B$79,MATCH($C93,'03 Productos'!$A$5:$A$79,0)))</x:f>
      </x:c>
      <x:c r="E93" s="108" t="str">
        <x:f>IF($C93="","",INDEX('03 Productos'!$C$5:$C$79,MATCH($C93,'03 Productos'!$A$5:$A$79,0)))</x:f>
      </x:c>
      <x:c r="F93" s="98"/>
      <x:c r="G93" s="106"/>
      <x:c r="H93" s="104"/>
      <x:c r="I93" s="112" t="n">
        <x:f>IF(OR($B93="Entrada",$B93="Ajuste entrada"),$G93,0)</x:f>
        <x:v>0</x:v>
      </x:c>
      <x:c r="J93" s="112" t="n">
        <x:f>IF(OR($B93="Salida",$B93="Ajuste salida"),$G93,0)</x:f>
        <x:v>0</x:v>
      </x:c>
      <x:c r="K93" s="114" t="str">
        <x:f>IF($G93="","",$G93*$H93)</x:f>
      </x:c>
      <x:c r="L93" s="98"/>
      <x:c r="M93" s="98"/>
    </x:row>
    <x:row r="94">
      <x:c r="A94" s="110"/>
      <x:c r="B94" s="98"/>
      <x:c r="C94" s="98"/>
      <x:c r="D94" s="108" t="str">
        <x:f>IF($C94="","",INDEX('03 Productos'!$B$5:$B$79,MATCH($C94,'03 Productos'!$A$5:$A$79,0)))</x:f>
      </x:c>
      <x:c r="E94" s="108" t="str">
        <x:f>IF($C94="","",INDEX('03 Productos'!$C$5:$C$79,MATCH($C94,'03 Productos'!$A$5:$A$79,0)))</x:f>
      </x:c>
      <x:c r="F94" s="98"/>
      <x:c r="G94" s="106"/>
      <x:c r="H94" s="104"/>
      <x:c r="I94" s="112" t="n">
        <x:f>IF(OR($B94="Entrada",$B94="Ajuste entrada"),$G94,0)</x:f>
        <x:v>0</x:v>
      </x:c>
      <x:c r="J94" s="112" t="n">
        <x:f>IF(OR($B94="Salida",$B94="Ajuste salida"),$G94,0)</x:f>
        <x:v>0</x:v>
      </x:c>
      <x:c r="K94" s="114" t="str">
        <x:f>IF($G94="","",$G94*$H94)</x:f>
      </x:c>
      <x:c r="L94" s="98"/>
      <x:c r="M94" s="98"/>
    </x:row>
    <x:row r="95">
      <x:c r="A95" s="110"/>
      <x:c r="B95" s="98"/>
      <x:c r="C95" s="98"/>
      <x:c r="D95" s="108" t="str">
        <x:f>IF($C95="","",INDEX('03 Productos'!$B$5:$B$79,MATCH($C95,'03 Productos'!$A$5:$A$79,0)))</x:f>
      </x:c>
      <x:c r="E95" s="108" t="str">
        <x:f>IF($C95="","",INDEX('03 Productos'!$C$5:$C$79,MATCH($C95,'03 Productos'!$A$5:$A$79,0)))</x:f>
      </x:c>
      <x:c r="F95" s="98"/>
      <x:c r="G95" s="106"/>
      <x:c r="H95" s="104"/>
      <x:c r="I95" s="112" t="n">
        <x:f>IF(OR($B95="Entrada",$B95="Ajuste entrada"),$G95,0)</x:f>
        <x:v>0</x:v>
      </x:c>
      <x:c r="J95" s="112" t="n">
        <x:f>IF(OR($B95="Salida",$B95="Ajuste salida"),$G95,0)</x:f>
        <x:v>0</x:v>
      </x:c>
      <x:c r="K95" s="114" t="str">
        <x:f>IF($G95="","",$G95*$H95)</x:f>
      </x:c>
      <x:c r="L95" s="98"/>
      <x:c r="M95" s="98"/>
    </x:row>
    <x:row r="96">
      <x:c r="A96" s="110"/>
      <x:c r="B96" s="98"/>
      <x:c r="C96" s="98"/>
      <x:c r="D96" s="108" t="str">
        <x:f>IF($C96="","",INDEX('03 Productos'!$B$5:$B$79,MATCH($C96,'03 Productos'!$A$5:$A$79,0)))</x:f>
      </x:c>
      <x:c r="E96" s="108" t="str">
        <x:f>IF($C96="","",INDEX('03 Productos'!$C$5:$C$79,MATCH($C96,'03 Productos'!$A$5:$A$79,0)))</x:f>
      </x:c>
      <x:c r="F96" s="98"/>
      <x:c r="G96" s="106"/>
      <x:c r="H96" s="104"/>
      <x:c r="I96" s="112" t="n">
        <x:f>IF(OR($B96="Entrada",$B96="Ajuste entrada"),$G96,0)</x:f>
        <x:v>0</x:v>
      </x:c>
      <x:c r="J96" s="112" t="n">
        <x:f>IF(OR($B96="Salida",$B96="Ajuste salida"),$G96,0)</x:f>
        <x:v>0</x:v>
      </x:c>
      <x:c r="K96" s="114" t="str">
        <x:f>IF($G96="","",$G96*$H96)</x:f>
      </x:c>
      <x:c r="L96" s="98"/>
      <x:c r="M96" s="98"/>
    </x:row>
    <x:row r="97">
      <x:c r="A97" s="110"/>
      <x:c r="B97" s="98"/>
      <x:c r="C97" s="98"/>
      <x:c r="D97" s="108" t="str">
        <x:f>IF($C97="","",INDEX('03 Productos'!$B$5:$B$79,MATCH($C97,'03 Productos'!$A$5:$A$79,0)))</x:f>
      </x:c>
      <x:c r="E97" s="108" t="str">
        <x:f>IF($C97="","",INDEX('03 Productos'!$C$5:$C$79,MATCH($C97,'03 Productos'!$A$5:$A$79,0)))</x:f>
      </x:c>
      <x:c r="F97" s="98"/>
      <x:c r="G97" s="106"/>
      <x:c r="H97" s="104"/>
      <x:c r="I97" s="112" t="n">
        <x:f>IF(OR($B97="Entrada",$B97="Ajuste entrada"),$G97,0)</x:f>
        <x:v>0</x:v>
      </x:c>
      <x:c r="J97" s="112" t="n">
        <x:f>IF(OR($B97="Salida",$B97="Ajuste salida"),$G97,0)</x:f>
        <x:v>0</x:v>
      </x:c>
      <x:c r="K97" s="114" t="str">
        <x:f>IF($G97="","",$G97*$H97)</x:f>
      </x:c>
      <x:c r="L97" s="98"/>
      <x:c r="M97" s="98"/>
    </x:row>
    <x:row r="98">
      <x:c r="A98" s="110"/>
      <x:c r="B98" s="98"/>
      <x:c r="C98" s="98"/>
      <x:c r="D98" s="108" t="str">
        <x:f>IF($C98="","",INDEX('03 Productos'!$B$5:$B$79,MATCH($C98,'03 Productos'!$A$5:$A$79,0)))</x:f>
      </x:c>
      <x:c r="E98" s="108" t="str">
        <x:f>IF($C98="","",INDEX('03 Productos'!$C$5:$C$79,MATCH($C98,'03 Productos'!$A$5:$A$79,0)))</x:f>
      </x:c>
      <x:c r="F98" s="98"/>
      <x:c r="G98" s="106"/>
      <x:c r="H98" s="104"/>
      <x:c r="I98" s="112" t="n">
        <x:f>IF(OR($B98="Entrada",$B98="Ajuste entrada"),$G98,0)</x:f>
        <x:v>0</x:v>
      </x:c>
      <x:c r="J98" s="112" t="n">
        <x:f>IF(OR($B98="Salida",$B98="Ajuste salida"),$G98,0)</x:f>
        <x:v>0</x:v>
      </x:c>
      <x:c r="K98" s="114" t="str">
        <x:f>IF($G98="","",$G98*$H98)</x:f>
      </x:c>
      <x:c r="L98" s="98"/>
      <x:c r="M98" s="98"/>
    </x:row>
    <x:row r="99">
      <x:c r="A99" s="110"/>
      <x:c r="B99" s="98"/>
      <x:c r="C99" s="98"/>
      <x:c r="D99" s="108" t="str">
        <x:f>IF($C99="","",INDEX('03 Productos'!$B$5:$B$79,MATCH($C99,'03 Productos'!$A$5:$A$79,0)))</x:f>
      </x:c>
      <x:c r="E99" s="108" t="str">
        <x:f>IF($C99="","",INDEX('03 Productos'!$C$5:$C$79,MATCH($C99,'03 Productos'!$A$5:$A$79,0)))</x:f>
      </x:c>
      <x:c r="F99" s="98"/>
      <x:c r="G99" s="106"/>
      <x:c r="H99" s="104"/>
      <x:c r="I99" s="112" t="n">
        <x:f>IF(OR($B99="Entrada",$B99="Ajuste entrada"),$G99,0)</x:f>
        <x:v>0</x:v>
      </x:c>
      <x:c r="J99" s="112" t="n">
        <x:f>IF(OR($B99="Salida",$B99="Ajuste salida"),$G99,0)</x:f>
        <x:v>0</x:v>
      </x:c>
      <x:c r="K99" s="114" t="str">
        <x:f>IF($G99="","",$G99*$H99)</x:f>
      </x:c>
      <x:c r="L99" s="98"/>
      <x:c r="M99" s="98"/>
    </x:row>
    <x:row r="100">
      <x:c r="A100" s="110"/>
      <x:c r="B100" s="98"/>
      <x:c r="C100" s="98"/>
      <x:c r="D100" s="108" t="str">
        <x:f>IF($C100="","",INDEX('03 Productos'!$B$5:$B$79,MATCH($C100,'03 Productos'!$A$5:$A$79,0)))</x:f>
      </x:c>
      <x:c r="E100" s="108" t="str">
        <x:f>IF($C100="","",INDEX('03 Productos'!$C$5:$C$79,MATCH($C100,'03 Productos'!$A$5:$A$79,0)))</x:f>
      </x:c>
      <x:c r="F100" s="98"/>
      <x:c r="G100" s="106"/>
      <x:c r="H100" s="104"/>
      <x:c r="I100" s="112" t="n">
        <x:f>IF(OR($B100="Entrada",$B100="Ajuste entrada"),$G100,0)</x:f>
        <x:v>0</x:v>
      </x:c>
      <x:c r="J100" s="112" t="n">
        <x:f>IF(OR($B100="Salida",$B100="Ajuste salida"),$G100,0)</x:f>
        <x:v>0</x:v>
      </x:c>
      <x:c r="K100" s="114" t="str">
        <x:f>IF($G100="","",$G100*$H100)</x:f>
      </x:c>
      <x:c r="L100" s="98"/>
      <x:c r="M100" s="98"/>
    </x:row>
    <x:row r="101">
      <x:c r="A101" s="110"/>
      <x:c r="B101" s="98"/>
      <x:c r="C101" s="98"/>
      <x:c r="D101" s="108" t="str">
        <x:f>IF($C101="","",INDEX('03 Productos'!$B$5:$B$79,MATCH($C101,'03 Productos'!$A$5:$A$79,0)))</x:f>
      </x:c>
      <x:c r="E101" s="108" t="str">
        <x:f>IF($C101="","",INDEX('03 Productos'!$C$5:$C$79,MATCH($C101,'03 Productos'!$A$5:$A$79,0)))</x:f>
      </x:c>
      <x:c r="F101" s="98"/>
      <x:c r="G101" s="106"/>
      <x:c r="H101" s="104"/>
      <x:c r="I101" s="112" t="n">
        <x:f>IF(OR($B101="Entrada",$B101="Ajuste entrada"),$G101,0)</x:f>
        <x:v>0</x:v>
      </x:c>
      <x:c r="J101" s="112" t="n">
        <x:f>IF(OR($B101="Salida",$B101="Ajuste salida"),$G101,0)</x:f>
        <x:v>0</x:v>
      </x:c>
      <x:c r="K101" s="114" t="str">
        <x:f>IF($G101="","",$G101*$H101)</x:f>
      </x:c>
      <x:c r="L101" s="98"/>
      <x:c r="M101" s="98"/>
    </x:row>
    <x:row r="102">
      <x:c r="A102" s="110"/>
      <x:c r="B102" s="98"/>
      <x:c r="C102" s="98"/>
      <x:c r="D102" s="108" t="str">
        <x:f>IF($C102="","",INDEX('03 Productos'!$B$5:$B$79,MATCH($C102,'03 Productos'!$A$5:$A$79,0)))</x:f>
      </x:c>
      <x:c r="E102" s="108" t="str">
        <x:f>IF($C102="","",INDEX('03 Productos'!$C$5:$C$79,MATCH($C102,'03 Productos'!$A$5:$A$79,0)))</x:f>
      </x:c>
      <x:c r="F102" s="98"/>
      <x:c r="G102" s="106"/>
      <x:c r="H102" s="104"/>
      <x:c r="I102" s="112" t="n">
        <x:f>IF(OR($B102="Entrada",$B102="Ajuste entrada"),$G102,0)</x:f>
        <x:v>0</x:v>
      </x:c>
      <x:c r="J102" s="112" t="n">
        <x:f>IF(OR($B102="Salida",$B102="Ajuste salida"),$G102,0)</x:f>
        <x:v>0</x:v>
      </x:c>
      <x:c r="K102" s="114" t="str">
        <x:f>IF($G102="","",$G102*$H102)</x:f>
      </x:c>
      <x:c r="L102" s="98"/>
      <x:c r="M102" s="98"/>
    </x:row>
    <x:row r="103">
      <x:c r="A103" s="110"/>
      <x:c r="B103" s="98"/>
      <x:c r="C103" s="98"/>
      <x:c r="D103" s="108" t="str">
        <x:f>IF($C103="","",INDEX('03 Productos'!$B$5:$B$79,MATCH($C103,'03 Productos'!$A$5:$A$79,0)))</x:f>
      </x:c>
      <x:c r="E103" s="108" t="str">
        <x:f>IF($C103="","",INDEX('03 Productos'!$C$5:$C$79,MATCH($C103,'03 Productos'!$A$5:$A$79,0)))</x:f>
      </x:c>
      <x:c r="F103" s="98"/>
      <x:c r="G103" s="106"/>
      <x:c r="H103" s="104"/>
      <x:c r="I103" s="112" t="n">
        <x:f>IF(OR($B103="Entrada",$B103="Ajuste entrada"),$G103,0)</x:f>
        <x:v>0</x:v>
      </x:c>
      <x:c r="J103" s="112" t="n">
        <x:f>IF(OR($B103="Salida",$B103="Ajuste salida"),$G103,0)</x:f>
        <x:v>0</x:v>
      </x:c>
      <x:c r="K103" s="114" t="str">
        <x:f>IF($G103="","",$G103*$H103)</x:f>
      </x:c>
      <x:c r="L103" s="98"/>
      <x:c r="M103" s="98"/>
    </x:row>
    <x:row r="104">
      <x:c r="A104" s="110"/>
      <x:c r="B104" s="98"/>
      <x:c r="C104" s="98"/>
      <x:c r="D104" s="108" t="str">
        <x:f>IF($C104="","",INDEX('03 Productos'!$B$5:$B$79,MATCH($C104,'03 Productos'!$A$5:$A$79,0)))</x:f>
      </x:c>
      <x:c r="E104" s="108" t="str">
        <x:f>IF($C104="","",INDEX('03 Productos'!$C$5:$C$79,MATCH($C104,'03 Productos'!$A$5:$A$79,0)))</x:f>
      </x:c>
      <x:c r="F104" s="98"/>
      <x:c r="G104" s="106"/>
      <x:c r="H104" s="104"/>
      <x:c r="I104" s="112" t="n">
        <x:f>IF(OR($B104="Entrada",$B104="Ajuste entrada"),$G104,0)</x:f>
        <x:v>0</x:v>
      </x:c>
      <x:c r="J104" s="112" t="n">
        <x:f>IF(OR($B104="Salida",$B104="Ajuste salida"),$G104,0)</x:f>
        <x:v>0</x:v>
      </x:c>
      <x:c r="K104" s="114" t="str">
        <x:f>IF($G104="","",$G104*$H104)</x:f>
      </x:c>
      <x:c r="L104" s="98"/>
      <x:c r="M104" s="98"/>
    </x:row>
    <x:row r="105">
      <x:c r="A105" s="110"/>
      <x:c r="B105" s="98"/>
      <x:c r="C105" s="98"/>
      <x:c r="D105" s="108" t="str">
        <x:f>IF($C105="","",INDEX('03 Productos'!$B$5:$B$79,MATCH($C105,'03 Productos'!$A$5:$A$79,0)))</x:f>
      </x:c>
      <x:c r="E105" s="108" t="str">
        <x:f>IF($C105="","",INDEX('03 Productos'!$C$5:$C$79,MATCH($C105,'03 Productos'!$A$5:$A$79,0)))</x:f>
      </x:c>
      <x:c r="F105" s="98"/>
      <x:c r="G105" s="106"/>
      <x:c r="H105" s="104"/>
      <x:c r="I105" s="112" t="n">
        <x:f>IF(OR($B105="Entrada",$B105="Ajuste entrada"),$G105,0)</x:f>
        <x:v>0</x:v>
      </x:c>
      <x:c r="J105" s="112" t="n">
        <x:f>IF(OR($B105="Salida",$B105="Ajuste salida"),$G105,0)</x:f>
        <x:v>0</x:v>
      </x:c>
      <x:c r="K105" s="114" t="str">
        <x:f>IF($G105="","",$G105*$H105)</x:f>
      </x:c>
      <x:c r="L105" s="98"/>
      <x:c r="M105" s="98"/>
    </x:row>
    <x:row r="106">
      <x:c r="A106" s="110"/>
      <x:c r="B106" s="98"/>
      <x:c r="C106" s="98"/>
      <x:c r="D106" s="108" t="str">
        <x:f>IF($C106="","",INDEX('03 Productos'!$B$5:$B$79,MATCH($C106,'03 Productos'!$A$5:$A$79,0)))</x:f>
      </x:c>
      <x:c r="E106" s="108" t="str">
        <x:f>IF($C106="","",INDEX('03 Productos'!$C$5:$C$79,MATCH($C106,'03 Productos'!$A$5:$A$79,0)))</x:f>
      </x:c>
      <x:c r="F106" s="98"/>
      <x:c r="G106" s="106"/>
      <x:c r="H106" s="104"/>
      <x:c r="I106" s="112" t="n">
        <x:f>IF(OR($B106="Entrada",$B106="Ajuste entrada"),$G106,0)</x:f>
        <x:v>0</x:v>
      </x:c>
      <x:c r="J106" s="112" t="n">
        <x:f>IF(OR($B106="Salida",$B106="Ajuste salida"),$G106,0)</x:f>
        <x:v>0</x:v>
      </x:c>
      <x:c r="K106" s="114" t="str">
        <x:f>IF($G106="","",$G106*$H106)</x:f>
      </x:c>
      <x:c r="L106" s="98"/>
      <x:c r="M106" s="98"/>
    </x:row>
    <x:row r="107">
      <x:c r="A107" s="110"/>
      <x:c r="B107" s="98"/>
      <x:c r="C107" s="98"/>
      <x:c r="D107" s="108" t="str">
        <x:f>IF($C107="","",INDEX('03 Productos'!$B$5:$B$79,MATCH($C107,'03 Productos'!$A$5:$A$79,0)))</x:f>
      </x:c>
      <x:c r="E107" s="108" t="str">
        <x:f>IF($C107="","",INDEX('03 Productos'!$C$5:$C$79,MATCH($C107,'03 Productos'!$A$5:$A$79,0)))</x:f>
      </x:c>
      <x:c r="F107" s="98"/>
      <x:c r="G107" s="106"/>
      <x:c r="H107" s="104"/>
      <x:c r="I107" s="112" t="n">
        <x:f>IF(OR($B107="Entrada",$B107="Ajuste entrada"),$G107,0)</x:f>
        <x:v>0</x:v>
      </x:c>
      <x:c r="J107" s="112" t="n">
        <x:f>IF(OR($B107="Salida",$B107="Ajuste salida"),$G107,0)</x:f>
        <x:v>0</x:v>
      </x:c>
      <x:c r="K107" s="114" t="str">
        <x:f>IF($G107="","",$G107*$H107)</x:f>
      </x:c>
      <x:c r="L107" s="98"/>
      <x:c r="M107" s="98"/>
    </x:row>
    <x:row r="108">
      <x:c r="A108" s="110"/>
      <x:c r="B108" s="98"/>
      <x:c r="C108" s="98"/>
      <x:c r="D108" s="108" t="str">
        <x:f>IF($C108="","",INDEX('03 Productos'!$B$5:$B$79,MATCH($C108,'03 Productos'!$A$5:$A$79,0)))</x:f>
      </x:c>
      <x:c r="E108" s="108" t="str">
        <x:f>IF($C108="","",INDEX('03 Productos'!$C$5:$C$79,MATCH($C108,'03 Productos'!$A$5:$A$79,0)))</x:f>
      </x:c>
      <x:c r="F108" s="98"/>
      <x:c r="G108" s="106"/>
      <x:c r="H108" s="104"/>
      <x:c r="I108" s="112" t="n">
        <x:f>IF(OR($B108="Entrada",$B108="Ajuste entrada"),$G108,0)</x:f>
        <x:v>0</x:v>
      </x:c>
      <x:c r="J108" s="112" t="n">
        <x:f>IF(OR($B108="Salida",$B108="Ajuste salida"),$G108,0)</x:f>
        <x:v>0</x:v>
      </x:c>
      <x:c r="K108" s="114" t="str">
        <x:f>IF($G108="","",$G108*$H108)</x:f>
      </x:c>
      <x:c r="L108" s="98"/>
      <x:c r="M108" s="98"/>
    </x:row>
    <x:row r="109">
      <x:c r="A109" s="110"/>
      <x:c r="B109" s="98"/>
      <x:c r="C109" s="98"/>
      <x:c r="D109" s="108" t="str">
        <x:f>IF($C109="","",INDEX('03 Productos'!$B$5:$B$79,MATCH($C109,'03 Productos'!$A$5:$A$79,0)))</x:f>
      </x:c>
      <x:c r="E109" s="108" t="str">
        <x:f>IF($C109="","",INDEX('03 Productos'!$C$5:$C$79,MATCH($C109,'03 Productos'!$A$5:$A$79,0)))</x:f>
      </x:c>
      <x:c r="F109" s="98"/>
      <x:c r="G109" s="106"/>
      <x:c r="H109" s="104"/>
      <x:c r="I109" s="112" t="n">
        <x:f>IF(OR($B109="Entrada",$B109="Ajuste entrada"),$G109,0)</x:f>
        <x:v>0</x:v>
      </x:c>
      <x:c r="J109" s="112" t="n">
        <x:f>IF(OR($B109="Salida",$B109="Ajuste salida"),$G109,0)</x:f>
        <x:v>0</x:v>
      </x:c>
      <x:c r="K109" s="114" t="str">
        <x:f>IF($G109="","",$G109*$H109)</x:f>
      </x:c>
      <x:c r="L109" s="98"/>
      <x:c r="M109" s="98"/>
    </x:row>
    <x:row r="110">
      <x:c r="A110" s="110"/>
      <x:c r="B110" s="98"/>
      <x:c r="C110" s="98"/>
      <x:c r="D110" s="108" t="str">
        <x:f>IF($C110="","",INDEX('03 Productos'!$B$5:$B$79,MATCH($C110,'03 Productos'!$A$5:$A$79,0)))</x:f>
      </x:c>
      <x:c r="E110" s="108" t="str">
        <x:f>IF($C110="","",INDEX('03 Productos'!$C$5:$C$79,MATCH($C110,'03 Productos'!$A$5:$A$79,0)))</x:f>
      </x:c>
      <x:c r="F110" s="98"/>
      <x:c r="G110" s="106"/>
      <x:c r="H110" s="104"/>
      <x:c r="I110" s="112" t="n">
        <x:f>IF(OR($B110="Entrada",$B110="Ajuste entrada"),$G110,0)</x:f>
        <x:v>0</x:v>
      </x:c>
      <x:c r="J110" s="112" t="n">
        <x:f>IF(OR($B110="Salida",$B110="Ajuste salida"),$G110,0)</x:f>
        <x:v>0</x:v>
      </x:c>
      <x:c r="K110" s="114" t="str">
        <x:f>IF($G110="","",$G110*$H110)</x:f>
      </x:c>
      <x:c r="L110" s="98"/>
      <x:c r="M110" s="98"/>
    </x:row>
    <x:row r="111">
      <x:c r="A111" s="110"/>
      <x:c r="B111" s="98"/>
      <x:c r="C111" s="98"/>
      <x:c r="D111" s="108" t="str">
        <x:f>IF($C111="","",INDEX('03 Productos'!$B$5:$B$79,MATCH($C111,'03 Productos'!$A$5:$A$79,0)))</x:f>
      </x:c>
      <x:c r="E111" s="108" t="str">
        <x:f>IF($C111="","",INDEX('03 Productos'!$C$5:$C$79,MATCH($C111,'03 Productos'!$A$5:$A$79,0)))</x:f>
      </x:c>
      <x:c r="F111" s="98"/>
      <x:c r="G111" s="106"/>
      <x:c r="H111" s="104"/>
      <x:c r="I111" s="112" t="n">
        <x:f>IF(OR($B111="Entrada",$B111="Ajuste entrada"),$G111,0)</x:f>
        <x:v>0</x:v>
      </x:c>
      <x:c r="J111" s="112" t="n">
        <x:f>IF(OR($B111="Salida",$B111="Ajuste salida"),$G111,0)</x:f>
        <x:v>0</x:v>
      </x:c>
      <x:c r="K111" s="114" t="str">
        <x:f>IF($G111="","",$G111*$H111)</x:f>
      </x:c>
      <x:c r="L111" s="98"/>
      <x:c r="M111" s="98"/>
    </x:row>
    <x:row r="112">
      <x:c r="A112" s="110"/>
      <x:c r="B112" s="98"/>
      <x:c r="C112" s="98"/>
      <x:c r="D112" s="108" t="str">
        <x:f>IF($C112="","",INDEX('03 Productos'!$B$5:$B$79,MATCH($C112,'03 Productos'!$A$5:$A$79,0)))</x:f>
      </x:c>
      <x:c r="E112" s="108" t="str">
        <x:f>IF($C112="","",INDEX('03 Productos'!$C$5:$C$79,MATCH($C112,'03 Productos'!$A$5:$A$79,0)))</x:f>
      </x:c>
      <x:c r="F112" s="98"/>
      <x:c r="G112" s="106"/>
      <x:c r="H112" s="104"/>
      <x:c r="I112" s="112" t="n">
        <x:f>IF(OR($B112="Entrada",$B112="Ajuste entrada"),$G112,0)</x:f>
        <x:v>0</x:v>
      </x:c>
      <x:c r="J112" s="112" t="n">
        <x:f>IF(OR($B112="Salida",$B112="Ajuste salida"),$G112,0)</x:f>
        <x:v>0</x:v>
      </x:c>
      <x:c r="K112" s="114" t="str">
        <x:f>IF($G112="","",$G112*$H112)</x:f>
      </x:c>
      <x:c r="L112" s="98"/>
      <x:c r="M112" s="98"/>
    </x:row>
    <x:row r="113">
      <x:c r="A113" s="110"/>
      <x:c r="B113" s="98"/>
      <x:c r="C113" s="98"/>
      <x:c r="D113" s="108" t="str">
        <x:f>IF($C113="","",INDEX('03 Productos'!$B$5:$B$79,MATCH($C113,'03 Productos'!$A$5:$A$79,0)))</x:f>
      </x:c>
      <x:c r="E113" s="108" t="str">
        <x:f>IF($C113="","",INDEX('03 Productos'!$C$5:$C$79,MATCH($C113,'03 Productos'!$A$5:$A$79,0)))</x:f>
      </x:c>
      <x:c r="F113" s="98"/>
      <x:c r="G113" s="106"/>
      <x:c r="H113" s="104"/>
      <x:c r="I113" s="112" t="n">
        <x:f>IF(OR($B113="Entrada",$B113="Ajuste entrada"),$G113,0)</x:f>
        <x:v>0</x:v>
      </x:c>
      <x:c r="J113" s="112" t="n">
        <x:f>IF(OR($B113="Salida",$B113="Ajuste salida"),$G113,0)</x:f>
        <x:v>0</x:v>
      </x:c>
      <x:c r="K113" s="114" t="str">
        <x:f>IF($G113="","",$G113*$H113)</x:f>
      </x:c>
      <x:c r="L113" s="98"/>
      <x:c r="M113" s="98"/>
    </x:row>
    <x:row r="114">
      <x:c r="A114" s="110"/>
      <x:c r="B114" s="98"/>
      <x:c r="C114" s="98"/>
      <x:c r="D114" s="108" t="str">
        <x:f>IF($C114="","",INDEX('03 Productos'!$B$5:$B$79,MATCH($C114,'03 Productos'!$A$5:$A$79,0)))</x:f>
      </x:c>
      <x:c r="E114" s="108" t="str">
        <x:f>IF($C114="","",INDEX('03 Productos'!$C$5:$C$79,MATCH($C114,'03 Productos'!$A$5:$A$79,0)))</x:f>
      </x:c>
      <x:c r="F114" s="98"/>
      <x:c r="G114" s="106"/>
      <x:c r="H114" s="104"/>
      <x:c r="I114" s="112" t="n">
        <x:f>IF(OR($B114="Entrada",$B114="Ajuste entrada"),$G114,0)</x:f>
        <x:v>0</x:v>
      </x:c>
      <x:c r="J114" s="112" t="n">
        <x:f>IF(OR($B114="Salida",$B114="Ajuste salida"),$G114,0)</x:f>
        <x:v>0</x:v>
      </x:c>
      <x:c r="K114" s="114" t="str">
        <x:f>IF($G114="","",$G114*$H114)</x:f>
      </x:c>
      <x:c r="L114" s="98"/>
      <x:c r="M114" s="98"/>
    </x:row>
    <x:row r="115">
      <x:c r="A115" s="110"/>
      <x:c r="B115" s="98"/>
      <x:c r="C115" s="98"/>
      <x:c r="D115" s="108" t="str">
        <x:f>IF($C115="","",INDEX('03 Productos'!$B$5:$B$79,MATCH($C115,'03 Productos'!$A$5:$A$79,0)))</x:f>
      </x:c>
      <x:c r="E115" s="108" t="str">
        <x:f>IF($C115="","",INDEX('03 Productos'!$C$5:$C$79,MATCH($C115,'03 Productos'!$A$5:$A$79,0)))</x:f>
      </x:c>
      <x:c r="F115" s="98"/>
      <x:c r="G115" s="106"/>
      <x:c r="H115" s="104"/>
      <x:c r="I115" s="112" t="n">
        <x:f>IF(OR($B115="Entrada",$B115="Ajuste entrada"),$G115,0)</x:f>
        <x:v>0</x:v>
      </x:c>
      <x:c r="J115" s="112" t="n">
        <x:f>IF(OR($B115="Salida",$B115="Ajuste salida"),$G115,0)</x:f>
        <x:v>0</x:v>
      </x:c>
      <x:c r="K115" s="114" t="str">
        <x:f>IF($G115="","",$G115*$H115)</x:f>
      </x:c>
      <x:c r="L115" s="98"/>
      <x:c r="M115" s="98"/>
    </x:row>
    <x:row r="116">
      <x:c r="A116" s="110"/>
      <x:c r="B116" s="98"/>
      <x:c r="C116" s="98"/>
      <x:c r="D116" s="108" t="str">
        <x:f>IF($C116="","",INDEX('03 Productos'!$B$5:$B$79,MATCH($C116,'03 Productos'!$A$5:$A$79,0)))</x:f>
      </x:c>
      <x:c r="E116" s="108" t="str">
        <x:f>IF($C116="","",INDEX('03 Productos'!$C$5:$C$79,MATCH($C116,'03 Productos'!$A$5:$A$79,0)))</x:f>
      </x:c>
      <x:c r="F116" s="98"/>
      <x:c r="G116" s="106"/>
      <x:c r="H116" s="104"/>
      <x:c r="I116" s="112" t="n">
        <x:f>IF(OR($B116="Entrada",$B116="Ajuste entrada"),$G116,0)</x:f>
        <x:v>0</x:v>
      </x:c>
      <x:c r="J116" s="112" t="n">
        <x:f>IF(OR($B116="Salida",$B116="Ajuste salida"),$G116,0)</x:f>
        <x:v>0</x:v>
      </x:c>
      <x:c r="K116" s="114" t="str">
        <x:f>IF($G116="","",$G116*$H116)</x:f>
      </x:c>
      <x:c r="L116" s="98"/>
      <x:c r="M116" s="98"/>
    </x:row>
    <x:row r="117">
      <x:c r="A117" s="110"/>
      <x:c r="B117" s="98"/>
      <x:c r="C117" s="98"/>
      <x:c r="D117" s="108" t="str">
        <x:f>IF($C117="","",INDEX('03 Productos'!$B$5:$B$79,MATCH($C117,'03 Productos'!$A$5:$A$79,0)))</x:f>
      </x:c>
      <x:c r="E117" s="108" t="str">
        <x:f>IF($C117="","",INDEX('03 Productos'!$C$5:$C$79,MATCH($C117,'03 Productos'!$A$5:$A$79,0)))</x:f>
      </x:c>
      <x:c r="F117" s="98"/>
      <x:c r="G117" s="106"/>
      <x:c r="H117" s="104"/>
      <x:c r="I117" s="112" t="n">
        <x:f>IF(OR($B117="Entrada",$B117="Ajuste entrada"),$G117,0)</x:f>
        <x:v>0</x:v>
      </x:c>
      <x:c r="J117" s="112" t="n">
        <x:f>IF(OR($B117="Salida",$B117="Ajuste salida"),$G117,0)</x:f>
        <x:v>0</x:v>
      </x:c>
      <x:c r="K117" s="114" t="str">
        <x:f>IF($G117="","",$G117*$H117)</x:f>
      </x:c>
      <x:c r="L117" s="98"/>
      <x:c r="M117" s="98"/>
    </x:row>
    <x:row r="118">
      <x:c r="A118" s="110"/>
      <x:c r="B118" s="98"/>
      <x:c r="C118" s="98"/>
      <x:c r="D118" s="108" t="str">
        <x:f>IF($C118="","",INDEX('03 Productos'!$B$5:$B$79,MATCH($C118,'03 Productos'!$A$5:$A$79,0)))</x:f>
      </x:c>
      <x:c r="E118" s="108" t="str">
        <x:f>IF($C118="","",INDEX('03 Productos'!$C$5:$C$79,MATCH($C118,'03 Productos'!$A$5:$A$79,0)))</x:f>
      </x:c>
      <x:c r="F118" s="98"/>
      <x:c r="G118" s="106"/>
      <x:c r="H118" s="104"/>
      <x:c r="I118" s="112" t="n">
        <x:f>IF(OR($B118="Entrada",$B118="Ajuste entrada"),$G118,0)</x:f>
        <x:v>0</x:v>
      </x:c>
      <x:c r="J118" s="112" t="n">
        <x:f>IF(OR($B118="Salida",$B118="Ajuste salida"),$G118,0)</x:f>
        <x:v>0</x:v>
      </x:c>
      <x:c r="K118" s="114" t="str">
        <x:f>IF($G118="","",$G118*$H118)</x:f>
      </x:c>
      <x:c r="L118" s="98"/>
      <x:c r="M118" s="98"/>
    </x:row>
    <x:row r="119">
      <x:c r="A119" s="110"/>
      <x:c r="B119" s="98"/>
      <x:c r="C119" s="98"/>
      <x:c r="D119" s="108" t="str">
        <x:f>IF($C119="","",INDEX('03 Productos'!$B$5:$B$79,MATCH($C119,'03 Productos'!$A$5:$A$79,0)))</x:f>
      </x:c>
      <x:c r="E119" s="108" t="str">
        <x:f>IF($C119="","",INDEX('03 Productos'!$C$5:$C$79,MATCH($C119,'03 Productos'!$A$5:$A$79,0)))</x:f>
      </x:c>
      <x:c r="F119" s="98"/>
      <x:c r="G119" s="106"/>
      <x:c r="H119" s="104"/>
      <x:c r="I119" s="112" t="n">
        <x:f>IF(OR($B119="Entrada",$B119="Ajuste entrada"),$G119,0)</x:f>
        <x:v>0</x:v>
      </x:c>
      <x:c r="J119" s="112" t="n">
        <x:f>IF(OR($B119="Salida",$B119="Ajuste salida"),$G119,0)</x:f>
        <x:v>0</x:v>
      </x:c>
      <x:c r="K119" s="114" t="str">
        <x:f>IF($G119="","",$G119*$H119)</x:f>
      </x:c>
      <x:c r="L119" s="98"/>
      <x:c r="M119" s="98"/>
    </x:row>
    <x:row r="120">
      <x:c r="A120" s="110"/>
      <x:c r="B120" s="98"/>
      <x:c r="C120" s="98"/>
      <x:c r="D120" s="108" t="str">
        <x:f>IF($C120="","",INDEX('03 Productos'!$B$5:$B$79,MATCH($C120,'03 Productos'!$A$5:$A$79,0)))</x:f>
      </x:c>
      <x:c r="E120" s="108" t="str">
        <x:f>IF($C120="","",INDEX('03 Productos'!$C$5:$C$79,MATCH($C120,'03 Productos'!$A$5:$A$79,0)))</x:f>
      </x:c>
      <x:c r="F120" s="98"/>
      <x:c r="G120" s="106"/>
      <x:c r="H120" s="104"/>
      <x:c r="I120" s="112" t="n">
        <x:f>IF(OR($B120="Entrada",$B120="Ajuste entrada"),$G120,0)</x:f>
        <x:v>0</x:v>
      </x:c>
      <x:c r="J120" s="112" t="n">
        <x:f>IF(OR($B120="Salida",$B120="Ajuste salida"),$G120,0)</x:f>
        <x:v>0</x:v>
      </x:c>
      <x:c r="K120" s="114" t="str">
        <x:f>IF($G120="","",$G120*$H120)</x:f>
      </x:c>
      <x:c r="L120" s="98"/>
      <x:c r="M120" s="98"/>
    </x:row>
    <x:row r="121">
      <x:c r="A121" s="110"/>
      <x:c r="B121" s="98"/>
      <x:c r="C121" s="98"/>
      <x:c r="D121" s="108" t="str">
        <x:f>IF($C121="","",INDEX('03 Productos'!$B$5:$B$79,MATCH($C121,'03 Productos'!$A$5:$A$79,0)))</x:f>
      </x:c>
      <x:c r="E121" s="108" t="str">
        <x:f>IF($C121="","",INDEX('03 Productos'!$C$5:$C$79,MATCH($C121,'03 Productos'!$A$5:$A$79,0)))</x:f>
      </x:c>
      <x:c r="F121" s="98"/>
      <x:c r="G121" s="106"/>
      <x:c r="H121" s="104"/>
      <x:c r="I121" s="112" t="n">
        <x:f>IF(OR($B121="Entrada",$B121="Ajuste entrada"),$G121,0)</x:f>
        <x:v>0</x:v>
      </x:c>
      <x:c r="J121" s="112" t="n">
        <x:f>IF(OR($B121="Salida",$B121="Ajuste salida"),$G121,0)</x:f>
        <x:v>0</x:v>
      </x:c>
      <x:c r="K121" s="114" t="str">
        <x:f>IF($G121="","",$G121*$H121)</x:f>
      </x:c>
      <x:c r="L121" s="98"/>
      <x:c r="M121" s="98"/>
    </x:row>
    <x:row r="122">
      <x:c r="A122" s="110"/>
      <x:c r="B122" s="98"/>
      <x:c r="C122" s="98"/>
      <x:c r="D122" s="108" t="str">
        <x:f>IF($C122="","",INDEX('03 Productos'!$B$5:$B$79,MATCH($C122,'03 Productos'!$A$5:$A$79,0)))</x:f>
      </x:c>
      <x:c r="E122" s="108" t="str">
        <x:f>IF($C122="","",INDEX('03 Productos'!$C$5:$C$79,MATCH($C122,'03 Productos'!$A$5:$A$79,0)))</x:f>
      </x:c>
      <x:c r="F122" s="98"/>
      <x:c r="G122" s="106"/>
      <x:c r="H122" s="104"/>
      <x:c r="I122" s="112" t="n">
        <x:f>IF(OR($B122="Entrada",$B122="Ajuste entrada"),$G122,0)</x:f>
        <x:v>0</x:v>
      </x:c>
      <x:c r="J122" s="112" t="n">
        <x:f>IF(OR($B122="Salida",$B122="Ajuste salida"),$G122,0)</x:f>
        <x:v>0</x:v>
      </x:c>
      <x:c r="K122" s="114" t="str">
        <x:f>IF($G122="","",$G122*$H122)</x:f>
      </x:c>
      <x:c r="L122" s="98"/>
      <x:c r="M122" s="98"/>
    </x:row>
    <x:row r="123">
      <x:c r="A123" s="110"/>
      <x:c r="B123" s="98"/>
      <x:c r="C123" s="98"/>
      <x:c r="D123" s="108" t="str">
        <x:f>IF($C123="","",INDEX('03 Productos'!$B$5:$B$79,MATCH($C123,'03 Productos'!$A$5:$A$79,0)))</x:f>
      </x:c>
      <x:c r="E123" s="108" t="str">
        <x:f>IF($C123="","",INDEX('03 Productos'!$C$5:$C$79,MATCH($C123,'03 Productos'!$A$5:$A$79,0)))</x:f>
      </x:c>
      <x:c r="F123" s="98"/>
      <x:c r="G123" s="106"/>
      <x:c r="H123" s="104"/>
      <x:c r="I123" s="112" t="n">
        <x:f>IF(OR($B123="Entrada",$B123="Ajuste entrada"),$G123,0)</x:f>
        <x:v>0</x:v>
      </x:c>
      <x:c r="J123" s="112" t="n">
        <x:f>IF(OR($B123="Salida",$B123="Ajuste salida"),$G123,0)</x:f>
        <x:v>0</x:v>
      </x:c>
      <x:c r="K123" s="114" t="str">
        <x:f>IF($G123="","",$G123*$H123)</x:f>
      </x:c>
      <x:c r="L123" s="98"/>
      <x:c r="M123" s="98"/>
    </x:row>
    <x:row r="124">
      <x:c r="A124" s="110"/>
      <x:c r="B124" s="98"/>
      <x:c r="C124" s="98"/>
      <x:c r="D124" s="108" t="str">
        <x:f>IF($C124="","",INDEX('03 Productos'!$B$5:$B$79,MATCH($C124,'03 Productos'!$A$5:$A$79,0)))</x:f>
      </x:c>
      <x:c r="E124" s="108" t="str">
        <x:f>IF($C124="","",INDEX('03 Productos'!$C$5:$C$79,MATCH($C124,'03 Productos'!$A$5:$A$79,0)))</x:f>
      </x:c>
      <x:c r="F124" s="98"/>
      <x:c r="G124" s="106"/>
      <x:c r="H124" s="104"/>
      <x:c r="I124" s="112" t="n">
        <x:f>IF(OR($B124="Entrada",$B124="Ajuste entrada"),$G124,0)</x:f>
        <x:v>0</x:v>
      </x:c>
      <x:c r="J124" s="112" t="n">
        <x:f>IF(OR($B124="Salida",$B124="Ajuste salida"),$G124,0)</x:f>
        <x:v>0</x:v>
      </x:c>
      <x:c r="K124" s="114" t="str">
        <x:f>IF($G124="","",$G124*$H124)</x:f>
      </x:c>
      <x:c r="L124" s="98"/>
      <x:c r="M124" s="98"/>
    </x:row>
    <x:row r="125">
      <x:c r="A125" s="110"/>
      <x:c r="B125" s="98"/>
      <x:c r="C125" s="98"/>
      <x:c r="D125" s="108" t="str">
        <x:f>IF($C125="","",INDEX('03 Productos'!$B$5:$B$79,MATCH($C125,'03 Productos'!$A$5:$A$79,0)))</x:f>
      </x:c>
      <x:c r="E125" s="108" t="str">
        <x:f>IF($C125="","",INDEX('03 Productos'!$C$5:$C$79,MATCH($C125,'03 Productos'!$A$5:$A$79,0)))</x:f>
      </x:c>
      <x:c r="F125" s="98"/>
      <x:c r="G125" s="106"/>
      <x:c r="H125" s="104"/>
      <x:c r="I125" s="112" t="n">
        <x:f>IF(OR($B125="Entrada",$B125="Ajuste entrada"),$G125,0)</x:f>
        <x:v>0</x:v>
      </x:c>
      <x:c r="J125" s="112" t="n">
        <x:f>IF(OR($B125="Salida",$B125="Ajuste salida"),$G125,0)</x:f>
        <x:v>0</x:v>
      </x:c>
      <x:c r="K125" s="114" t="str">
        <x:f>IF($G125="","",$G125*$H125)</x:f>
      </x:c>
      <x:c r="L125" s="98"/>
      <x:c r="M125" s="98"/>
    </x:row>
    <x:row r="126">
      <x:c r="A126" s="110"/>
      <x:c r="B126" s="98"/>
      <x:c r="C126" s="98"/>
      <x:c r="D126" s="108" t="str">
        <x:f>IF($C126="","",INDEX('03 Productos'!$B$5:$B$79,MATCH($C126,'03 Productos'!$A$5:$A$79,0)))</x:f>
      </x:c>
      <x:c r="E126" s="108" t="str">
        <x:f>IF($C126="","",INDEX('03 Productos'!$C$5:$C$79,MATCH($C126,'03 Productos'!$A$5:$A$79,0)))</x:f>
      </x:c>
      <x:c r="F126" s="98"/>
      <x:c r="G126" s="106"/>
      <x:c r="H126" s="104"/>
      <x:c r="I126" s="112" t="n">
        <x:f>IF(OR($B126="Entrada",$B126="Ajuste entrada"),$G126,0)</x:f>
        <x:v>0</x:v>
      </x:c>
      <x:c r="J126" s="112" t="n">
        <x:f>IF(OR($B126="Salida",$B126="Ajuste salida"),$G126,0)</x:f>
        <x:v>0</x:v>
      </x:c>
      <x:c r="K126" s="114" t="str">
        <x:f>IF($G126="","",$G126*$H126)</x:f>
      </x:c>
      <x:c r="L126" s="98"/>
      <x:c r="M126" s="98"/>
    </x:row>
    <x:row r="127">
      <x:c r="A127" s="110"/>
      <x:c r="B127" s="98"/>
      <x:c r="C127" s="98"/>
      <x:c r="D127" s="108" t="str">
        <x:f>IF($C127="","",INDEX('03 Productos'!$B$5:$B$79,MATCH($C127,'03 Productos'!$A$5:$A$79,0)))</x:f>
      </x:c>
      <x:c r="E127" s="108" t="str">
        <x:f>IF($C127="","",INDEX('03 Productos'!$C$5:$C$79,MATCH($C127,'03 Productos'!$A$5:$A$79,0)))</x:f>
      </x:c>
      <x:c r="F127" s="98"/>
      <x:c r="G127" s="106"/>
      <x:c r="H127" s="104"/>
      <x:c r="I127" s="112" t="n">
        <x:f>IF(OR($B127="Entrada",$B127="Ajuste entrada"),$G127,0)</x:f>
        <x:v>0</x:v>
      </x:c>
      <x:c r="J127" s="112" t="n">
        <x:f>IF(OR($B127="Salida",$B127="Ajuste salida"),$G127,0)</x:f>
        <x:v>0</x:v>
      </x:c>
      <x:c r="K127" s="114" t="str">
        <x:f>IF($G127="","",$G127*$H127)</x:f>
      </x:c>
      <x:c r="L127" s="98"/>
      <x:c r="M127" s="98"/>
    </x:row>
    <x:row r="128">
      <x:c r="A128" s="110"/>
      <x:c r="B128" s="98"/>
      <x:c r="C128" s="98"/>
      <x:c r="D128" s="108" t="str">
        <x:f>IF($C128="","",INDEX('03 Productos'!$B$5:$B$79,MATCH($C128,'03 Productos'!$A$5:$A$79,0)))</x:f>
      </x:c>
      <x:c r="E128" s="108" t="str">
        <x:f>IF($C128="","",INDEX('03 Productos'!$C$5:$C$79,MATCH($C128,'03 Productos'!$A$5:$A$79,0)))</x:f>
      </x:c>
      <x:c r="F128" s="98"/>
      <x:c r="G128" s="106"/>
      <x:c r="H128" s="104"/>
      <x:c r="I128" s="112" t="n">
        <x:f>IF(OR($B128="Entrada",$B128="Ajuste entrada"),$G128,0)</x:f>
        <x:v>0</x:v>
      </x:c>
      <x:c r="J128" s="112" t="n">
        <x:f>IF(OR($B128="Salida",$B128="Ajuste salida"),$G128,0)</x:f>
        <x:v>0</x:v>
      </x:c>
      <x:c r="K128" s="114" t="str">
        <x:f>IF($G128="","",$G128*$H128)</x:f>
      </x:c>
      <x:c r="L128" s="98"/>
      <x:c r="M128" s="98"/>
    </x:row>
    <x:row r="129">
      <x:c r="A129" s="110"/>
      <x:c r="B129" s="98"/>
      <x:c r="C129" s="98"/>
      <x:c r="D129" s="108" t="str">
        <x:f>IF($C129="","",INDEX('03 Productos'!$B$5:$B$79,MATCH($C129,'03 Productos'!$A$5:$A$79,0)))</x:f>
      </x:c>
      <x:c r="E129" s="108" t="str">
        <x:f>IF($C129="","",INDEX('03 Productos'!$C$5:$C$79,MATCH($C129,'03 Productos'!$A$5:$A$79,0)))</x:f>
      </x:c>
      <x:c r="F129" s="98"/>
      <x:c r="G129" s="106"/>
      <x:c r="H129" s="104"/>
      <x:c r="I129" s="112" t="n">
        <x:f>IF(OR($B129="Entrada",$B129="Ajuste entrada"),$G129,0)</x:f>
        <x:v>0</x:v>
      </x:c>
      <x:c r="J129" s="112" t="n">
        <x:f>IF(OR($B129="Salida",$B129="Ajuste salida"),$G129,0)</x:f>
        <x:v>0</x:v>
      </x:c>
      <x:c r="K129" s="114" t="str">
        <x:f>IF($G129="","",$G129*$H129)</x:f>
      </x:c>
      <x:c r="L129" s="98"/>
      <x:c r="M129" s="98"/>
    </x:row>
    <x:row r="130">
      <x:c r="A130" s="110"/>
      <x:c r="B130" s="98"/>
      <x:c r="C130" s="98"/>
      <x:c r="D130" s="108" t="str">
        <x:f>IF($C130="","",INDEX('03 Productos'!$B$5:$B$79,MATCH($C130,'03 Productos'!$A$5:$A$79,0)))</x:f>
      </x:c>
      <x:c r="E130" s="108" t="str">
        <x:f>IF($C130="","",INDEX('03 Productos'!$C$5:$C$79,MATCH($C130,'03 Productos'!$A$5:$A$79,0)))</x:f>
      </x:c>
      <x:c r="F130" s="98"/>
      <x:c r="G130" s="106"/>
      <x:c r="H130" s="104"/>
      <x:c r="I130" s="112" t="n">
        <x:f>IF(OR($B130="Entrada",$B130="Ajuste entrada"),$G130,0)</x:f>
        <x:v>0</x:v>
      </x:c>
      <x:c r="J130" s="112" t="n">
        <x:f>IF(OR($B130="Salida",$B130="Ajuste salida"),$G130,0)</x:f>
        <x:v>0</x:v>
      </x:c>
      <x:c r="K130" s="114" t="str">
        <x:f>IF($G130="","",$G130*$H130)</x:f>
      </x:c>
      <x:c r="L130" s="98"/>
      <x:c r="M130" s="98"/>
    </x:row>
    <x:row r="131">
      <x:c r="A131" s="110"/>
      <x:c r="B131" s="98"/>
      <x:c r="C131" s="98"/>
      <x:c r="D131" s="108" t="str">
        <x:f>IF($C131="","",INDEX('03 Productos'!$B$5:$B$79,MATCH($C131,'03 Productos'!$A$5:$A$79,0)))</x:f>
      </x:c>
      <x:c r="E131" s="108" t="str">
        <x:f>IF($C131="","",INDEX('03 Productos'!$C$5:$C$79,MATCH($C131,'03 Productos'!$A$5:$A$79,0)))</x:f>
      </x:c>
      <x:c r="F131" s="98"/>
      <x:c r="G131" s="106"/>
      <x:c r="H131" s="104"/>
      <x:c r="I131" s="112" t="n">
        <x:f>IF(OR($B131="Entrada",$B131="Ajuste entrada"),$G131,0)</x:f>
        <x:v>0</x:v>
      </x:c>
      <x:c r="J131" s="112" t="n">
        <x:f>IF(OR($B131="Salida",$B131="Ajuste salida"),$G131,0)</x:f>
        <x:v>0</x:v>
      </x:c>
      <x:c r="K131" s="114" t="str">
        <x:f>IF($G131="","",$G131*$H131)</x:f>
      </x:c>
      <x:c r="L131" s="98"/>
      <x:c r="M131" s="98"/>
    </x:row>
    <x:row r="132">
      <x:c r="A132" s="110"/>
      <x:c r="B132" s="98"/>
      <x:c r="C132" s="98"/>
      <x:c r="D132" s="108" t="str">
        <x:f>IF($C132="","",INDEX('03 Productos'!$B$5:$B$79,MATCH($C132,'03 Productos'!$A$5:$A$79,0)))</x:f>
      </x:c>
      <x:c r="E132" s="108" t="str">
        <x:f>IF($C132="","",INDEX('03 Productos'!$C$5:$C$79,MATCH($C132,'03 Productos'!$A$5:$A$79,0)))</x:f>
      </x:c>
      <x:c r="F132" s="98"/>
      <x:c r="G132" s="106"/>
      <x:c r="H132" s="104"/>
      <x:c r="I132" s="112" t="n">
        <x:f>IF(OR($B132="Entrada",$B132="Ajuste entrada"),$G132,0)</x:f>
        <x:v>0</x:v>
      </x:c>
      <x:c r="J132" s="112" t="n">
        <x:f>IF(OR($B132="Salida",$B132="Ajuste salida"),$G132,0)</x:f>
        <x:v>0</x:v>
      </x:c>
      <x:c r="K132" s="114" t="str">
        <x:f>IF($G132="","",$G132*$H132)</x:f>
      </x:c>
      <x:c r="L132" s="98"/>
      <x:c r="M132" s="98"/>
    </x:row>
    <x:row r="133">
      <x:c r="A133" s="110"/>
      <x:c r="B133" s="98"/>
      <x:c r="C133" s="98"/>
      <x:c r="D133" s="108" t="str">
        <x:f>IF($C133="","",INDEX('03 Productos'!$B$5:$B$79,MATCH($C133,'03 Productos'!$A$5:$A$79,0)))</x:f>
      </x:c>
      <x:c r="E133" s="108" t="str">
        <x:f>IF($C133="","",INDEX('03 Productos'!$C$5:$C$79,MATCH($C133,'03 Productos'!$A$5:$A$79,0)))</x:f>
      </x:c>
      <x:c r="F133" s="98"/>
      <x:c r="G133" s="106"/>
      <x:c r="H133" s="104"/>
      <x:c r="I133" s="112" t="n">
        <x:f>IF(OR($B133="Entrada",$B133="Ajuste entrada"),$G133,0)</x:f>
        <x:v>0</x:v>
      </x:c>
      <x:c r="J133" s="112" t="n">
        <x:f>IF(OR($B133="Salida",$B133="Ajuste salida"),$G133,0)</x:f>
        <x:v>0</x:v>
      </x:c>
      <x:c r="K133" s="114" t="str">
        <x:f>IF($G133="","",$G133*$H133)</x:f>
      </x:c>
      <x:c r="L133" s="98"/>
      <x:c r="M133" s="98"/>
    </x:row>
    <x:row r="134">
      <x:c r="A134" s="110"/>
      <x:c r="B134" s="98"/>
      <x:c r="C134" s="98"/>
      <x:c r="D134" s="108" t="str">
        <x:f>IF($C134="","",INDEX('03 Productos'!$B$5:$B$79,MATCH($C134,'03 Productos'!$A$5:$A$79,0)))</x:f>
      </x:c>
      <x:c r="E134" s="108" t="str">
        <x:f>IF($C134="","",INDEX('03 Productos'!$C$5:$C$79,MATCH($C134,'03 Productos'!$A$5:$A$79,0)))</x:f>
      </x:c>
      <x:c r="F134" s="98"/>
      <x:c r="G134" s="106"/>
      <x:c r="H134" s="104"/>
      <x:c r="I134" s="112" t="n">
        <x:f>IF(OR($B134="Entrada",$B134="Ajuste entrada"),$G134,0)</x:f>
        <x:v>0</x:v>
      </x:c>
      <x:c r="J134" s="112" t="n">
        <x:f>IF(OR($B134="Salida",$B134="Ajuste salida"),$G134,0)</x:f>
        <x:v>0</x:v>
      </x:c>
      <x:c r="K134" s="114" t="str">
        <x:f>IF($G134="","",$G134*$H134)</x:f>
      </x:c>
      <x:c r="L134" s="98"/>
      <x:c r="M134" s="98"/>
    </x:row>
    <x:row r="135">
      <x:c r="A135" s="110"/>
      <x:c r="B135" s="98"/>
      <x:c r="C135" s="98"/>
      <x:c r="D135" s="108" t="str">
        <x:f>IF($C135="","",INDEX('03 Productos'!$B$5:$B$79,MATCH($C135,'03 Productos'!$A$5:$A$79,0)))</x:f>
      </x:c>
      <x:c r="E135" s="108" t="str">
        <x:f>IF($C135="","",INDEX('03 Productos'!$C$5:$C$79,MATCH($C135,'03 Productos'!$A$5:$A$79,0)))</x:f>
      </x:c>
      <x:c r="F135" s="98"/>
      <x:c r="G135" s="106"/>
      <x:c r="H135" s="104"/>
      <x:c r="I135" s="112" t="n">
        <x:f>IF(OR($B135="Entrada",$B135="Ajuste entrada"),$G135,0)</x:f>
        <x:v>0</x:v>
      </x:c>
      <x:c r="J135" s="112" t="n">
        <x:f>IF(OR($B135="Salida",$B135="Ajuste salida"),$G135,0)</x:f>
        <x:v>0</x:v>
      </x:c>
      <x:c r="K135" s="114" t="str">
        <x:f>IF($G135="","",$G135*$H135)</x:f>
      </x:c>
      <x:c r="L135" s="98"/>
      <x:c r="M135" s="98"/>
    </x:row>
    <x:row r="136">
      <x:c r="A136" s="110"/>
      <x:c r="B136" s="98"/>
      <x:c r="C136" s="98"/>
      <x:c r="D136" s="108" t="str">
        <x:f>IF($C136="","",INDEX('03 Productos'!$B$5:$B$79,MATCH($C136,'03 Productos'!$A$5:$A$79,0)))</x:f>
      </x:c>
      <x:c r="E136" s="108" t="str">
        <x:f>IF($C136="","",INDEX('03 Productos'!$C$5:$C$79,MATCH($C136,'03 Productos'!$A$5:$A$79,0)))</x:f>
      </x:c>
      <x:c r="F136" s="98"/>
      <x:c r="G136" s="106"/>
      <x:c r="H136" s="104"/>
      <x:c r="I136" s="112" t="n">
        <x:f>IF(OR($B136="Entrada",$B136="Ajuste entrada"),$G136,0)</x:f>
        <x:v>0</x:v>
      </x:c>
      <x:c r="J136" s="112" t="n">
        <x:f>IF(OR($B136="Salida",$B136="Ajuste salida"),$G136,0)</x:f>
        <x:v>0</x:v>
      </x:c>
      <x:c r="K136" s="114" t="str">
        <x:f>IF($G136="","",$G136*$H136)</x:f>
      </x:c>
      <x:c r="L136" s="98"/>
      <x:c r="M136" s="98"/>
    </x:row>
    <x:row r="137">
      <x:c r="A137" s="110"/>
      <x:c r="B137" s="98"/>
      <x:c r="C137" s="98"/>
      <x:c r="D137" s="108" t="str">
        <x:f>IF($C137="","",INDEX('03 Productos'!$B$5:$B$79,MATCH($C137,'03 Productos'!$A$5:$A$79,0)))</x:f>
      </x:c>
      <x:c r="E137" s="108" t="str">
        <x:f>IF($C137="","",INDEX('03 Productos'!$C$5:$C$79,MATCH($C137,'03 Productos'!$A$5:$A$79,0)))</x:f>
      </x:c>
      <x:c r="F137" s="98"/>
      <x:c r="G137" s="106"/>
      <x:c r="H137" s="104"/>
      <x:c r="I137" s="112" t="n">
        <x:f>IF(OR($B137="Entrada",$B137="Ajuste entrada"),$G137,0)</x:f>
        <x:v>0</x:v>
      </x:c>
      <x:c r="J137" s="112" t="n">
        <x:f>IF(OR($B137="Salida",$B137="Ajuste salida"),$G137,0)</x:f>
        <x:v>0</x:v>
      </x:c>
      <x:c r="K137" s="114" t="str">
        <x:f>IF($G137="","",$G137*$H137)</x:f>
      </x:c>
      <x:c r="L137" s="98"/>
      <x:c r="M137" s="98"/>
    </x:row>
    <x:row r="138">
      <x:c r="A138" s="110"/>
      <x:c r="B138" s="98"/>
      <x:c r="C138" s="98"/>
      <x:c r="D138" s="108" t="str">
        <x:f>IF($C138="","",INDEX('03 Productos'!$B$5:$B$79,MATCH($C138,'03 Productos'!$A$5:$A$79,0)))</x:f>
      </x:c>
      <x:c r="E138" s="108" t="str">
        <x:f>IF($C138="","",INDEX('03 Productos'!$C$5:$C$79,MATCH($C138,'03 Productos'!$A$5:$A$79,0)))</x:f>
      </x:c>
      <x:c r="F138" s="98"/>
      <x:c r="G138" s="106"/>
      <x:c r="H138" s="104"/>
      <x:c r="I138" s="112" t="n">
        <x:f>IF(OR($B138="Entrada",$B138="Ajuste entrada"),$G138,0)</x:f>
        <x:v>0</x:v>
      </x:c>
      <x:c r="J138" s="112" t="n">
        <x:f>IF(OR($B138="Salida",$B138="Ajuste salida"),$G138,0)</x:f>
        <x:v>0</x:v>
      </x:c>
      <x:c r="K138" s="114" t="str">
        <x:f>IF($G138="","",$G138*$H138)</x:f>
      </x:c>
      <x:c r="L138" s="98"/>
      <x:c r="M138" s="98"/>
    </x:row>
    <x:row r="139">
      <x:c r="A139" s="110"/>
      <x:c r="B139" s="98"/>
      <x:c r="C139" s="98"/>
      <x:c r="D139" s="108" t="str">
        <x:f>IF($C139="","",INDEX('03 Productos'!$B$5:$B$79,MATCH($C139,'03 Productos'!$A$5:$A$79,0)))</x:f>
      </x:c>
      <x:c r="E139" s="108" t="str">
        <x:f>IF($C139="","",INDEX('03 Productos'!$C$5:$C$79,MATCH($C139,'03 Productos'!$A$5:$A$79,0)))</x:f>
      </x:c>
      <x:c r="F139" s="98"/>
      <x:c r="G139" s="106"/>
      <x:c r="H139" s="104"/>
      <x:c r="I139" s="112" t="n">
        <x:f>IF(OR($B139="Entrada",$B139="Ajuste entrada"),$G139,0)</x:f>
        <x:v>0</x:v>
      </x:c>
      <x:c r="J139" s="112" t="n">
        <x:f>IF(OR($B139="Salida",$B139="Ajuste salida"),$G139,0)</x:f>
        <x:v>0</x:v>
      </x:c>
      <x:c r="K139" s="114" t="str">
        <x:f>IF($G139="","",$G139*$H139)</x:f>
      </x:c>
      <x:c r="L139" s="98"/>
      <x:c r="M139" s="98"/>
    </x:row>
    <x:row r="140">
      <x:c r="A140" s="110"/>
      <x:c r="B140" s="98"/>
      <x:c r="C140" s="98"/>
      <x:c r="D140" s="108" t="str">
        <x:f>IF($C140="","",INDEX('03 Productos'!$B$5:$B$79,MATCH($C140,'03 Productos'!$A$5:$A$79,0)))</x:f>
      </x:c>
      <x:c r="E140" s="108" t="str">
        <x:f>IF($C140="","",INDEX('03 Productos'!$C$5:$C$79,MATCH($C140,'03 Productos'!$A$5:$A$79,0)))</x:f>
      </x:c>
      <x:c r="F140" s="98"/>
      <x:c r="G140" s="106"/>
      <x:c r="H140" s="104"/>
      <x:c r="I140" s="112" t="n">
        <x:f>IF(OR($B140="Entrada",$B140="Ajuste entrada"),$G140,0)</x:f>
        <x:v>0</x:v>
      </x:c>
      <x:c r="J140" s="112" t="n">
        <x:f>IF(OR($B140="Salida",$B140="Ajuste salida"),$G140,0)</x:f>
        <x:v>0</x:v>
      </x:c>
      <x:c r="K140" s="114" t="str">
        <x:f>IF($G140="","",$G140*$H140)</x:f>
      </x:c>
      <x:c r="L140" s="98"/>
      <x:c r="M140" s="98"/>
    </x:row>
    <x:row r="141">
      <x:c r="A141" s="110"/>
      <x:c r="B141" s="98"/>
      <x:c r="C141" s="98"/>
      <x:c r="D141" s="108" t="str">
        <x:f>IF($C141="","",INDEX('03 Productos'!$B$5:$B$79,MATCH($C141,'03 Productos'!$A$5:$A$79,0)))</x:f>
      </x:c>
      <x:c r="E141" s="108" t="str">
        <x:f>IF($C141="","",INDEX('03 Productos'!$C$5:$C$79,MATCH($C141,'03 Productos'!$A$5:$A$79,0)))</x:f>
      </x:c>
      <x:c r="F141" s="98"/>
      <x:c r="G141" s="106"/>
      <x:c r="H141" s="104"/>
      <x:c r="I141" s="112" t="n">
        <x:f>IF(OR($B141="Entrada",$B141="Ajuste entrada"),$G141,0)</x:f>
        <x:v>0</x:v>
      </x:c>
      <x:c r="J141" s="112" t="n">
        <x:f>IF(OR($B141="Salida",$B141="Ajuste salida"),$G141,0)</x:f>
        <x:v>0</x:v>
      </x:c>
      <x:c r="K141" s="114" t="str">
        <x:f>IF($G141="","",$G141*$H141)</x:f>
      </x:c>
      <x:c r="L141" s="98"/>
      <x:c r="M141" s="98"/>
    </x:row>
    <x:row r="142">
      <x:c r="A142" s="110"/>
      <x:c r="B142" s="98"/>
      <x:c r="C142" s="98"/>
      <x:c r="D142" s="108" t="str">
        <x:f>IF($C142="","",INDEX('03 Productos'!$B$5:$B$79,MATCH($C142,'03 Productos'!$A$5:$A$79,0)))</x:f>
      </x:c>
      <x:c r="E142" s="108" t="str">
        <x:f>IF($C142="","",INDEX('03 Productos'!$C$5:$C$79,MATCH($C142,'03 Productos'!$A$5:$A$79,0)))</x:f>
      </x:c>
      <x:c r="F142" s="98"/>
      <x:c r="G142" s="106"/>
      <x:c r="H142" s="104"/>
      <x:c r="I142" s="112" t="n">
        <x:f>IF(OR($B142="Entrada",$B142="Ajuste entrada"),$G142,0)</x:f>
        <x:v>0</x:v>
      </x:c>
      <x:c r="J142" s="112" t="n">
        <x:f>IF(OR($B142="Salida",$B142="Ajuste salida"),$G142,0)</x:f>
        <x:v>0</x:v>
      </x:c>
      <x:c r="K142" s="114" t="str">
        <x:f>IF($G142="","",$G142*$H142)</x:f>
      </x:c>
      <x:c r="L142" s="98"/>
      <x:c r="M142" s="98"/>
    </x:row>
    <x:row r="143">
      <x:c r="A143" s="110"/>
      <x:c r="B143" s="98"/>
      <x:c r="C143" s="98"/>
      <x:c r="D143" s="108" t="str">
        <x:f>IF($C143="","",INDEX('03 Productos'!$B$5:$B$79,MATCH($C143,'03 Productos'!$A$5:$A$79,0)))</x:f>
      </x:c>
      <x:c r="E143" s="108" t="str">
        <x:f>IF($C143="","",INDEX('03 Productos'!$C$5:$C$79,MATCH($C143,'03 Productos'!$A$5:$A$79,0)))</x:f>
      </x:c>
      <x:c r="F143" s="98"/>
      <x:c r="G143" s="106"/>
      <x:c r="H143" s="104"/>
      <x:c r="I143" s="112" t="n">
        <x:f>IF(OR($B143="Entrada",$B143="Ajuste entrada"),$G143,0)</x:f>
        <x:v>0</x:v>
      </x:c>
      <x:c r="J143" s="112" t="n">
        <x:f>IF(OR($B143="Salida",$B143="Ajuste salida"),$G143,0)</x:f>
        <x:v>0</x:v>
      </x:c>
      <x:c r="K143" s="114" t="str">
        <x:f>IF($G143="","",$G143*$H143)</x:f>
      </x:c>
      <x:c r="L143" s="98"/>
      <x:c r="M143" s="98"/>
    </x:row>
    <x:row r="144">
      <x:c r="A144" s="110"/>
      <x:c r="B144" s="98"/>
      <x:c r="C144" s="98"/>
      <x:c r="D144" s="108" t="str">
        <x:f>IF($C144="","",INDEX('03 Productos'!$B$5:$B$79,MATCH($C144,'03 Productos'!$A$5:$A$79,0)))</x:f>
      </x:c>
      <x:c r="E144" s="108" t="str">
        <x:f>IF($C144="","",INDEX('03 Productos'!$C$5:$C$79,MATCH($C144,'03 Productos'!$A$5:$A$79,0)))</x:f>
      </x:c>
      <x:c r="F144" s="98"/>
      <x:c r="G144" s="106"/>
      <x:c r="H144" s="104"/>
      <x:c r="I144" s="112" t="n">
        <x:f>IF(OR($B144="Entrada",$B144="Ajuste entrada"),$G144,0)</x:f>
        <x:v>0</x:v>
      </x:c>
      <x:c r="J144" s="112" t="n">
        <x:f>IF(OR($B144="Salida",$B144="Ajuste salida"),$G144,0)</x:f>
        <x:v>0</x:v>
      </x:c>
      <x:c r="K144" s="114" t="str">
        <x:f>IF($G144="","",$G144*$H144)</x:f>
      </x:c>
      <x:c r="L144" s="98"/>
      <x:c r="M144" s="98"/>
    </x:row>
    <x:row r="145">
      <x:c r="A145" s="110"/>
      <x:c r="B145" s="98"/>
      <x:c r="C145" s="98"/>
      <x:c r="D145" s="108" t="str">
        <x:f>IF($C145="","",INDEX('03 Productos'!$B$5:$B$79,MATCH($C145,'03 Productos'!$A$5:$A$79,0)))</x:f>
      </x:c>
      <x:c r="E145" s="108" t="str">
        <x:f>IF($C145="","",INDEX('03 Productos'!$C$5:$C$79,MATCH($C145,'03 Productos'!$A$5:$A$79,0)))</x:f>
      </x:c>
      <x:c r="F145" s="98"/>
      <x:c r="G145" s="106"/>
      <x:c r="H145" s="104"/>
      <x:c r="I145" s="112" t="n">
        <x:f>IF(OR($B145="Entrada",$B145="Ajuste entrada"),$G145,0)</x:f>
        <x:v>0</x:v>
      </x:c>
      <x:c r="J145" s="112" t="n">
        <x:f>IF(OR($B145="Salida",$B145="Ajuste salida"),$G145,0)</x:f>
        <x:v>0</x:v>
      </x:c>
      <x:c r="K145" s="114" t="str">
        <x:f>IF($G145="","",$G145*$H145)</x:f>
      </x:c>
      <x:c r="L145" s="98"/>
      <x:c r="M145" s="98"/>
    </x:row>
    <x:row r="146">
      <x:c r="A146" s="110"/>
      <x:c r="B146" s="98"/>
      <x:c r="C146" s="98"/>
      <x:c r="D146" s="108" t="str">
        <x:f>IF($C146="","",INDEX('03 Productos'!$B$5:$B$79,MATCH($C146,'03 Productos'!$A$5:$A$79,0)))</x:f>
      </x:c>
      <x:c r="E146" s="108" t="str">
        <x:f>IF($C146="","",INDEX('03 Productos'!$C$5:$C$79,MATCH($C146,'03 Productos'!$A$5:$A$79,0)))</x:f>
      </x:c>
      <x:c r="F146" s="98"/>
      <x:c r="G146" s="106"/>
      <x:c r="H146" s="104"/>
      <x:c r="I146" s="112" t="n">
        <x:f>IF(OR($B146="Entrada",$B146="Ajuste entrada"),$G146,0)</x:f>
        <x:v>0</x:v>
      </x:c>
      <x:c r="J146" s="112" t="n">
        <x:f>IF(OR($B146="Salida",$B146="Ajuste salida"),$G146,0)</x:f>
        <x:v>0</x:v>
      </x:c>
      <x:c r="K146" s="114" t="str">
        <x:f>IF($G146="","",$G146*$H146)</x:f>
      </x:c>
      <x:c r="L146" s="98"/>
      <x:c r="M146" s="98"/>
    </x:row>
    <x:row r="147">
      <x:c r="A147" s="110"/>
      <x:c r="B147" s="98"/>
      <x:c r="C147" s="98"/>
      <x:c r="D147" s="108" t="str">
        <x:f>IF($C147="","",INDEX('03 Productos'!$B$5:$B$79,MATCH($C147,'03 Productos'!$A$5:$A$79,0)))</x:f>
      </x:c>
      <x:c r="E147" s="108" t="str">
        <x:f>IF($C147="","",INDEX('03 Productos'!$C$5:$C$79,MATCH($C147,'03 Productos'!$A$5:$A$79,0)))</x:f>
      </x:c>
      <x:c r="F147" s="98"/>
      <x:c r="G147" s="106"/>
      <x:c r="H147" s="104"/>
      <x:c r="I147" s="112" t="n">
        <x:f>IF(OR($B147="Entrada",$B147="Ajuste entrada"),$G147,0)</x:f>
        <x:v>0</x:v>
      </x:c>
      <x:c r="J147" s="112" t="n">
        <x:f>IF(OR($B147="Salida",$B147="Ajuste salida"),$G147,0)</x:f>
        <x:v>0</x:v>
      </x:c>
      <x:c r="K147" s="114" t="str">
        <x:f>IF($G147="","",$G147*$H147)</x:f>
      </x:c>
      <x:c r="L147" s="98"/>
      <x:c r="M147" s="98"/>
    </x:row>
    <x:row r="148">
      <x:c r="A148" s="110"/>
      <x:c r="B148" s="98"/>
      <x:c r="C148" s="98"/>
      <x:c r="D148" s="108" t="str">
        <x:f>IF($C148="","",INDEX('03 Productos'!$B$5:$B$79,MATCH($C148,'03 Productos'!$A$5:$A$79,0)))</x:f>
      </x:c>
      <x:c r="E148" s="108" t="str">
        <x:f>IF($C148="","",INDEX('03 Productos'!$C$5:$C$79,MATCH($C148,'03 Productos'!$A$5:$A$79,0)))</x:f>
      </x:c>
      <x:c r="F148" s="98"/>
      <x:c r="G148" s="106"/>
      <x:c r="H148" s="104"/>
      <x:c r="I148" s="112" t="n">
        <x:f>IF(OR($B148="Entrada",$B148="Ajuste entrada"),$G148,0)</x:f>
        <x:v>0</x:v>
      </x:c>
      <x:c r="J148" s="112" t="n">
        <x:f>IF(OR($B148="Salida",$B148="Ajuste salida"),$G148,0)</x:f>
        <x:v>0</x:v>
      </x:c>
      <x:c r="K148" s="114" t="str">
        <x:f>IF($G148="","",$G148*$H148)</x:f>
      </x:c>
      <x:c r="L148" s="98"/>
      <x:c r="M148" s="98"/>
    </x:row>
    <x:row r="149">
      <x:c r="A149" s="110"/>
      <x:c r="B149" s="98"/>
      <x:c r="C149" s="98"/>
      <x:c r="D149" s="108" t="str">
        <x:f>IF($C149="","",INDEX('03 Productos'!$B$5:$B$79,MATCH($C149,'03 Productos'!$A$5:$A$79,0)))</x:f>
      </x:c>
      <x:c r="E149" s="108" t="str">
        <x:f>IF($C149="","",INDEX('03 Productos'!$C$5:$C$79,MATCH($C149,'03 Productos'!$A$5:$A$79,0)))</x:f>
      </x:c>
      <x:c r="F149" s="98"/>
      <x:c r="G149" s="106"/>
      <x:c r="H149" s="104"/>
      <x:c r="I149" s="112" t="n">
        <x:f>IF(OR($B149="Entrada",$B149="Ajuste entrada"),$G149,0)</x:f>
        <x:v>0</x:v>
      </x:c>
      <x:c r="J149" s="112" t="n">
        <x:f>IF(OR($B149="Salida",$B149="Ajuste salida"),$G149,0)</x:f>
        <x:v>0</x:v>
      </x:c>
      <x:c r="K149" s="114" t="str">
        <x:f>IF($G149="","",$G149*$H149)</x:f>
      </x:c>
      <x:c r="L149" s="98"/>
      <x:c r="M149" s="98"/>
    </x:row>
    <x:row r="150">
      <x:c r="A150" s="110"/>
      <x:c r="B150" s="98"/>
      <x:c r="C150" s="98"/>
      <x:c r="D150" s="108" t="str">
        <x:f>IF($C150="","",INDEX('03 Productos'!$B$5:$B$79,MATCH($C150,'03 Productos'!$A$5:$A$79,0)))</x:f>
      </x:c>
      <x:c r="E150" s="108" t="str">
        <x:f>IF($C150="","",INDEX('03 Productos'!$C$5:$C$79,MATCH($C150,'03 Productos'!$A$5:$A$79,0)))</x:f>
      </x:c>
      <x:c r="F150" s="98"/>
      <x:c r="G150" s="106"/>
      <x:c r="H150" s="104"/>
      <x:c r="I150" s="112" t="n">
        <x:f>IF(OR($B150="Entrada",$B150="Ajuste entrada"),$G150,0)</x:f>
        <x:v>0</x:v>
      </x:c>
      <x:c r="J150" s="112" t="n">
        <x:f>IF(OR($B150="Salida",$B150="Ajuste salida"),$G150,0)</x:f>
        <x:v>0</x:v>
      </x:c>
      <x:c r="K150" s="114" t="str">
        <x:f>IF($G150="","",$G150*$H150)</x:f>
      </x:c>
      <x:c r="L150" s="98"/>
      <x:c r="M150" s="98"/>
    </x:row>
    <x:row r="151">
      <x:c r="A151" s="110"/>
      <x:c r="B151" s="98"/>
      <x:c r="C151" s="98"/>
      <x:c r="D151" s="108" t="str">
        <x:f>IF($C151="","",INDEX('03 Productos'!$B$5:$B$79,MATCH($C151,'03 Productos'!$A$5:$A$79,0)))</x:f>
      </x:c>
      <x:c r="E151" s="108" t="str">
        <x:f>IF($C151="","",INDEX('03 Productos'!$C$5:$C$79,MATCH($C151,'03 Productos'!$A$5:$A$79,0)))</x:f>
      </x:c>
      <x:c r="F151" s="98"/>
      <x:c r="G151" s="106"/>
      <x:c r="H151" s="104"/>
      <x:c r="I151" s="112" t="n">
        <x:f>IF(OR($B151="Entrada",$B151="Ajuste entrada"),$G151,0)</x:f>
        <x:v>0</x:v>
      </x:c>
      <x:c r="J151" s="112" t="n">
        <x:f>IF(OR($B151="Salida",$B151="Ajuste salida"),$G151,0)</x:f>
        <x:v>0</x:v>
      </x:c>
      <x:c r="K151" s="114" t="str">
        <x:f>IF($G151="","",$G151*$H151)</x:f>
      </x:c>
      <x:c r="L151" s="98"/>
      <x:c r="M151" s="98"/>
    </x:row>
    <x:row r="152">
      <x:c r="A152" s="110"/>
      <x:c r="B152" s="98"/>
      <x:c r="C152" s="98"/>
      <x:c r="D152" s="108" t="str">
        <x:f>IF($C152="","",INDEX('03 Productos'!$B$5:$B$79,MATCH($C152,'03 Productos'!$A$5:$A$79,0)))</x:f>
      </x:c>
      <x:c r="E152" s="108" t="str">
        <x:f>IF($C152="","",INDEX('03 Productos'!$C$5:$C$79,MATCH($C152,'03 Productos'!$A$5:$A$79,0)))</x:f>
      </x:c>
      <x:c r="F152" s="98"/>
      <x:c r="G152" s="106"/>
      <x:c r="H152" s="104"/>
      <x:c r="I152" s="112" t="n">
        <x:f>IF(OR($B152="Entrada",$B152="Ajuste entrada"),$G152,0)</x:f>
        <x:v>0</x:v>
      </x:c>
      <x:c r="J152" s="112" t="n">
        <x:f>IF(OR($B152="Salida",$B152="Ajuste salida"),$G152,0)</x:f>
        <x:v>0</x:v>
      </x:c>
      <x:c r="K152" s="114" t="str">
        <x:f>IF($G152="","",$G152*$H152)</x:f>
      </x:c>
      <x:c r="L152" s="98"/>
      <x:c r="M152" s="98"/>
    </x:row>
    <x:row r="153">
      <x:c r="A153" s="110"/>
      <x:c r="B153" s="98"/>
      <x:c r="C153" s="98"/>
      <x:c r="D153" s="108" t="str">
        <x:f>IF($C153="","",INDEX('03 Productos'!$B$5:$B$79,MATCH($C153,'03 Productos'!$A$5:$A$79,0)))</x:f>
      </x:c>
      <x:c r="E153" s="108" t="str">
        <x:f>IF($C153="","",INDEX('03 Productos'!$C$5:$C$79,MATCH($C153,'03 Productos'!$A$5:$A$79,0)))</x:f>
      </x:c>
      <x:c r="F153" s="98"/>
      <x:c r="G153" s="106"/>
      <x:c r="H153" s="104"/>
      <x:c r="I153" s="112" t="n">
        <x:f>IF(OR($B153="Entrada",$B153="Ajuste entrada"),$G153,0)</x:f>
        <x:v>0</x:v>
      </x:c>
      <x:c r="J153" s="112" t="n">
        <x:f>IF(OR($B153="Salida",$B153="Ajuste salida"),$G153,0)</x:f>
        <x:v>0</x:v>
      </x:c>
      <x:c r="K153" s="114" t="str">
        <x:f>IF($G153="","",$G153*$H153)</x:f>
      </x:c>
      <x:c r="L153" s="98"/>
      <x:c r="M153" s="98"/>
    </x:row>
    <x:row r="154">
      <x:c r="A154" s="110"/>
      <x:c r="B154" s="98"/>
      <x:c r="C154" s="98"/>
      <x:c r="D154" s="108" t="str">
        <x:f>IF($C154="","",INDEX('03 Productos'!$B$5:$B$79,MATCH($C154,'03 Productos'!$A$5:$A$79,0)))</x:f>
      </x:c>
      <x:c r="E154" s="108" t="str">
        <x:f>IF($C154="","",INDEX('03 Productos'!$C$5:$C$79,MATCH($C154,'03 Productos'!$A$5:$A$79,0)))</x:f>
      </x:c>
      <x:c r="F154" s="98"/>
      <x:c r="G154" s="106"/>
      <x:c r="H154" s="104"/>
      <x:c r="I154" s="112" t="n">
        <x:f>IF(OR($B154="Entrada",$B154="Ajuste entrada"),$G154,0)</x:f>
        <x:v>0</x:v>
      </x:c>
      <x:c r="J154" s="112" t="n">
        <x:f>IF(OR($B154="Salida",$B154="Ajuste salida"),$G154,0)</x:f>
        <x:v>0</x:v>
      </x:c>
      <x:c r="K154" s="114" t="str">
        <x:f>IF($G154="","",$G154*$H154)</x:f>
      </x:c>
      <x:c r="L154" s="98"/>
      <x:c r="M154" s="98"/>
    </x:row>
    <x:row r="155">
      <x:c r="A155" s="110"/>
      <x:c r="B155" s="98"/>
      <x:c r="C155" s="98"/>
      <x:c r="D155" s="108" t="str">
        <x:f>IF($C155="","",INDEX('03 Productos'!$B$5:$B$79,MATCH($C155,'03 Productos'!$A$5:$A$79,0)))</x:f>
      </x:c>
      <x:c r="E155" s="108" t="str">
        <x:f>IF($C155="","",INDEX('03 Productos'!$C$5:$C$79,MATCH($C155,'03 Productos'!$A$5:$A$79,0)))</x:f>
      </x:c>
      <x:c r="F155" s="98"/>
      <x:c r="G155" s="106"/>
      <x:c r="H155" s="104"/>
      <x:c r="I155" s="112" t="n">
        <x:f>IF(OR($B155="Entrada",$B155="Ajuste entrada"),$G155,0)</x:f>
        <x:v>0</x:v>
      </x:c>
      <x:c r="J155" s="112" t="n">
        <x:f>IF(OR($B155="Salida",$B155="Ajuste salida"),$G155,0)</x:f>
        <x:v>0</x:v>
      </x:c>
      <x:c r="K155" s="114" t="str">
        <x:f>IF($G155="","",$G155*$H155)</x:f>
      </x:c>
      <x:c r="L155" s="98"/>
      <x:c r="M155" s="98"/>
    </x:row>
    <x:row r="156">
      <x:c r="A156" s="110"/>
      <x:c r="B156" s="98"/>
      <x:c r="C156" s="98"/>
      <x:c r="D156" s="108" t="str">
        <x:f>IF($C156="","",INDEX('03 Productos'!$B$5:$B$79,MATCH($C156,'03 Productos'!$A$5:$A$79,0)))</x:f>
      </x:c>
      <x:c r="E156" s="108" t="str">
        <x:f>IF($C156="","",INDEX('03 Productos'!$C$5:$C$79,MATCH($C156,'03 Productos'!$A$5:$A$79,0)))</x:f>
      </x:c>
      <x:c r="F156" s="98"/>
      <x:c r="G156" s="106"/>
      <x:c r="H156" s="104"/>
      <x:c r="I156" s="112" t="n">
        <x:f>IF(OR($B156="Entrada",$B156="Ajuste entrada"),$G156,0)</x:f>
        <x:v>0</x:v>
      </x:c>
      <x:c r="J156" s="112" t="n">
        <x:f>IF(OR($B156="Salida",$B156="Ajuste salida"),$G156,0)</x:f>
        <x:v>0</x:v>
      </x:c>
      <x:c r="K156" s="114" t="str">
        <x:f>IF($G156="","",$G156*$H156)</x:f>
      </x:c>
      <x:c r="L156" s="98"/>
      <x:c r="M156" s="98"/>
    </x:row>
    <x:row r="157">
      <x:c r="A157" s="110"/>
      <x:c r="B157" s="98"/>
      <x:c r="C157" s="98"/>
      <x:c r="D157" s="108" t="str">
        <x:f>IF($C157="","",INDEX('03 Productos'!$B$5:$B$79,MATCH($C157,'03 Productos'!$A$5:$A$79,0)))</x:f>
      </x:c>
      <x:c r="E157" s="108" t="str">
        <x:f>IF($C157="","",INDEX('03 Productos'!$C$5:$C$79,MATCH($C157,'03 Productos'!$A$5:$A$79,0)))</x:f>
      </x:c>
      <x:c r="F157" s="98"/>
      <x:c r="G157" s="106"/>
      <x:c r="H157" s="104"/>
      <x:c r="I157" s="112" t="n">
        <x:f>IF(OR($B157="Entrada",$B157="Ajuste entrada"),$G157,0)</x:f>
        <x:v>0</x:v>
      </x:c>
      <x:c r="J157" s="112" t="n">
        <x:f>IF(OR($B157="Salida",$B157="Ajuste salida"),$G157,0)</x:f>
        <x:v>0</x:v>
      </x:c>
      <x:c r="K157" s="114" t="str">
        <x:f>IF($G157="","",$G157*$H157)</x:f>
      </x:c>
      <x:c r="L157" s="98"/>
      <x:c r="M157" s="98"/>
    </x:row>
    <x:row r="158">
      <x:c r="A158" s="110"/>
      <x:c r="B158" s="98"/>
      <x:c r="C158" s="98"/>
      <x:c r="D158" s="108" t="str">
        <x:f>IF($C158="","",INDEX('03 Productos'!$B$5:$B$79,MATCH($C158,'03 Productos'!$A$5:$A$79,0)))</x:f>
      </x:c>
      <x:c r="E158" s="108" t="str">
        <x:f>IF($C158="","",INDEX('03 Productos'!$C$5:$C$79,MATCH($C158,'03 Productos'!$A$5:$A$79,0)))</x:f>
      </x:c>
      <x:c r="F158" s="98"/>
      <x:c r="G158" s="106"/>
      <x:c r="H158" s="104"/>
      <x:c r="I158" s="112" t="n">
        <x:f>IF(OR($B158="Entrada",$B158="Ajuste entrada"),$G158,0)</x:f>
        <x:v>0</x:v>
      </x:c>
      <x:c r="J158" s="112" t="n">
        <x:f>IF(OR($B158="Salida",$B158="Ajuste salida"),$G158,0)</x:f>
        <x:v>0</x:v>
      </x:c>
      <x:c r="K158" s="114" t="str">
        <x:f>IF($G158="","",$G158*$H158)</x:f>
      </x:c>
      <x:c r="L158" s="98"/>
      <x:c r="M158" s="98"/>
    </x:row>
    <x:row r="159">
      <x:c r="A159" s="110"/>
      <x:c r="B159" s="98"/>
      <x:c r="C159" s="98"/>
      <x:c r="D159" s="108" t="str">
        <x:f>IF($C159="","",INDEX('03 Productos'!$B$5:$B$79,MATCH($C159,'03 Productos'!$A$5:$A$79,0)))</x:f>
      </x:c>
      <x:c r="E159" s="108" t="str">
        <x:f>IF($C159="","",INDEX('03 Productos'!$C$5:$C$79,MATCH($C159,'03 Productos'!$A$5:$A$79,0)))</x:f>
      </x:c>
      <x:c r="F159" s="98"/>
      <x:c r="G159" s="106"/>
      <x:c r="H159" s="104"/>
      <x:c r="I159" s="112" t="n">
        <x:f>IF(OR($B159="Entrada",$B159="Ajuste entrada"),$G159,0)</x:f>
        <x:v>0</x:v>
      </x:c>
      <x:c r="J159" s="112" t="n">
        <x:f>IF(OR($B159="Salida",$B159="Ajuste salida"),$G159,0)</x:f>
        <x:v>0</x:v>
      </x:c>
      <x:c r="K159" s="114" t="str">
        <x:f>IF($G159="","",$G159*$H159)</x:f>
      </x:c>
      <x:c r="L159" s="98"/>
      <x:c r="M159" s="98"/>
    </x:row>
    <x:row r="160">
      <x:c r="A160" s="110"/>
      <x:c r="B160" s="98"/>
      <x:c r="C160" s="98"/>
      <x:c r="D160" s="108" t="str">
        <x:f>IF($C160="","",INDEX('03 Productos'!$B$5:$B$79,MATCH($C160,'03 Productos'!$A$5:$A$79,0)))</x:f>
      </x:c>
      <x:c r="E160" s="108" t="str">
        <x:f>IF($C160="","",INDEX('03 Productos'!$C$5:$C$79,MATCH($C160,'03 Productos'!$A$5:$A$79,0)))</x:f>
      </x:c>
      <x:c r="F160" s="98"/>
      <x:c r="G160" s="106"/>
      <x:c r="H160" s="104"/>
      <x:c r="I160" s="112" t="n">
        <x:f>IF(OR($B160="Entrada",$B160="Ajuste entrada"),$G160,0)</x:f>
        <x:v>0</x:v>
      </x:c>
      <x:c r="J160" s="112" t="n">
        <x:f>IF(OR($B160="Salida",$B160="Ajuste salida"),$G160,0)</x:f>
        <x:v>0</x:v>
      </x:c>
      <x:c r="K160" s="114" t="str">
        <x:f>IF($G160="","",$G160*$H160)</x:f>
      </x:c>
      <x:c r="L160" s="98"/>
      <x:c r="M160" s="98"/>
    </x:row>
    <x:row r="161">
      <x:c r="A161" s="110"/>
      <x:c r="B161" s="98"/>
      <x:c r="C161" s="98"/>
      <x:c r="D161" s="108" t="str">
        <x:f>IF($C161="","",INDEX('03 Productos'!$B$5:$B$79,MATCH($C161,'03 Productos'!$A$5:$A$79,0)))</x:f>
      </x:c>
      <x:c r="E161" s="108" t="str">
        <x:f>IF($C161="","",INDEX('03 Productos'!$C$5:$C$79,MATCH($C161,'03 Productos'!$A$5:$A$79,0)))</x:f>
      </x:c>
      <x:c r="F161" s="98"/>
      <x:c r="G161" s="106"/>
      <x:c r="H161" s="104"/>
      <x:c r="I161" s="112" t="n">
        <x:f>IF(OR($B161="Entrada",$B161="Ajuste entrada"),$G161,0)</x:f>
        <x:v>0</x:v>
      </x:c>
      <x:c r="J161" s="112" t="n">
        <x:f>IF(OR($B161="Salida",$B161="Ajuste salida"),$G161,0)</x:f>
        <x:v>0</x:v>
      </x:c>
      <x:c r="K161" s="114" t="str">
        <x:f>IF($G161="","",$G161*$H161)</x:f>
      </x:c>
      <x:c r="L161" s="98"/>
      <x:c r="M161" s="98"/>
    </x:row>
    <x:row r="162">
      <x:c r="A162" s="110"/>
      <x:c r="B162" s="98"/>
      <x:c r="C162" s="98"/>
      <x:c r="D162" s="108" t="str">
        <x:f>IF($C162="","",INDEX('03 Productos'!$B$5:$B$79,MATCH($C162,'03 Productos'!$A$5:$A$79,0)))</x:f>
      </x:c>
      <x:c r="E162" s="108" t="str">
        <x:f>IF($C162="","",INDEX('03 Productos'!$C$5:$C$79,MATCH($C162,'03 Productos'!$A$5:$A$79,0)))</x:f>
      </x:c>
      <x:c r="F162" s="98"/>
      <x:c r="G162" s="106"/>
      <x:c r="H162" s="104"/>
      <x:c r="I162" s="112" t="n">
        <x:f>IF(OR($B162="Entrada",$B162="Ajuste entrada"),$G162,0)</x:f>
        <x:v>0</x:v>
      </x:c>
      <x:c r="J162" s="112" t="n">
        <x:f>IF(OR($B162="Salida",$B162="Ajuste salida"),$G162,0)</x:f>
        <x:v>0</x:v>
      </x:c>
      <x:c r="K162" s="114" t="str">
        <x:f>IF($G162="","",$G162*$H162)</x:f>
      </x:c>
      <x:c r="L162" s="98"/>
      <x:c r="M162" s="98"/>
    </x:row>
    <x:row r="163">
      <x:c r="A163" s="110"/>
      <x:c r="B163" s="98"/>
      <x:c r="C163" s="98"/>
      <x:c r="D163" s="108" t="str">
        <x:f>IF($C163="","",INDEX('03 Productos'!$B$5:$B$79,MATCH($C163,'03 Productos'!$A$5:$A$79,0)))</x:f>
      </x:c>
      <x:c r="E163" s="108" t="str">
        <x:f>IF($C163="","",INDEX('03 Productos'!$C$5:$C$79,MATCH($C163,'03 Productos'!$A$5:$A$79,0)))</x:f>
      </x:c>
      <x:c r="F163" s="98"/>
      <x:c r="G163" s="106"/>
      <x:c r="H163" s="104"/>
      <x:c r="I163" s="112" t="n">
        <x:f>IF(OR($B163="Entrada",$B163="Ajuste entrada"),$G163,0)</x:f>
        <x:v>0</x:v>
      </x:c>
      <x:c r="J163" s="112" t="n">
        <x:f>IF(OR($B163="Salida",$B163="Ajuste salida"),$G163,0)</x:f>
        <x:v>0</x:v>
      </x:c>
      <x:c r="K163" s="114" t="str">
        <x:f>IF($G163="","",$G163*$H163)</x:f>
      </x:c>
      <x:c r="L163" s="98"/>
      <x:c r="M163" s="98"/>
    </x:row>
    <x:row r="164">
      <x:c r="A164" s="110"/>
      <x:c r="B164" s="98"/>
      <x:c r="C164" s="98"/>
      <x:c r="D164" s="108" t="str">
        <x:f>IF($C164="","",INDEX('03 Productos'!$B$5:$B$79,MATCH($C164,'03 Productos'!$A$5:$A$79,0)))</x:f>
      </x:c>
      <x:c r="E164" s="108" t="str">
        <x:f>IF($C164="","",INDEX('03 Productos'!$C$5:$C$79,MATCH($C164,'03 Productos'!$A$5:$A$79,0)))</x:f>
      </x:c>
      <x:c r="F164" s="98"/>
      <x:c r="G164" s="106"/>
      <x:c r="H164" s="104"/>
      <x:c r="I164" s="112" t="n">
        <x:f>IF(OR($B164="Entrada",$B164="Ajuste entrada"),$G164,0)</x:f>
        <x:v>0</x:v>
      </x:c>
      <x:c r="J164" s="112" t="n">
        <x:f>IF(OR($B164="Salida",$B164="Ajuste salida"),$G164,0)</x:f>
        <x:v>0</x:v>
      </x:c>
      <x:c r="K164" s="114" t="str">
        <x:f>IF($G164="","",$G164*$H164)</x:f>
      </x:c>
      <x:c r="L164" s="98"/>
      <x:c r="M164" s="98"/>
    </x:row>
    <x:row r="165">
      <x:c r="A165" s="110"/>
      <x:c r="B165" s="98"/>
      <x:c r="C165" s="98"/>
      <x:c r="D165" s="108" t="str">
        <x:f>IF($C165="","",INDEX('03 Productos'!$B$5:$B$79,MATCH($C165,'03 Productos'!$A$5:$A$79,0)))</x:f>
      </x:c>
      <x:c r="E165" s="108" t="str">
        <x:f>IF($C165="","",INDEX('03 Productos'!$C$5:$C$79,MATCH($C165,'03 Productos'!$A$5:$A$79,0)))</x:f>
      </x:c>
      <x:c r="F165" s="98"/>
      <x:c r="G165" s="106"/>
      <x:c r="H165" s="104"/>
      <x:c r="I165" s="112" t="n">
        <x:f>IF(OR($B165="Entrada",$B165="Ajuste entrada"),$G165,0)</x:f>
        <x:v>0</x:v>
      </x:c>
      <x:c r="J165" s="112" t="n">
        <x:f>IF(OR($B165="Salida",$B165="Ajuste salida"),$G165,0)</x:f>
        <x:v>0</x:v>
      </x:c>
      <x:c r="K165" s="114" t="str">
        <x:f>IF($G165="","",$G165*$H165)</x:f>
      </x:c>
      <x:c r="L165" s="98"/>
      <x:c r="M165" s="98"/>
    </x:row>
    <x:row r="166">
      <x:c r="A166" s="110"/>
      <x:c r="B166" s="98"/>
      <x:c r="C166" s="98"/>
      <x:c r="D166" s="108" t="str">
        <x:f>IF($C166="","",INDEX('03 Productos'!$B$5:$B$79,MATCH($C166,'03 Productos'!$A$5:$A$79,0)))</x:f>
      </x:c>
      <x:c r="E166" s="108" t="str">
        <x:f>IF($C166="","",INDEX('03 Productos'!$C$5:$C$79,MATCH($C166,'03 Productos'!$A$5:$A$79,0)))</x:f>
      </x:c>
      <x:c r="F166" s="98"/>
      <x:c r="G166" s="106"/>
      <x:c r="H166" s="104"/>
      <x:c r="I166" s="112" t="n">
        <x:f>IF(OR($B166="Entrada",$B166="Ajuste entrada"),$G166,0)</x:f>
        <x:v>0</x:v>
      </x:c>
      <x:c r="J166" s="112" t="n">
        <x:f>IF(OR($B166="Salida",$B166="Ajuste salida"),$G166,0)</x:f>
        <x:v>0</x:v>
      </x:c>
      <x:c r="K166" s="114" t="str">
        <x:f>IF($G166="","",$G166*$H166)</x:f>
      </x:c>
      <x:c r="L166" s="98"/>
      <x:c r="M166" s="98"/>
    </x:row>
    <x:row r="167">
      <x:c r="A167" s="110"/>
      <x:c r="B167" s="98"/>
      <x:c r="C167" s="98"/>
      <x:c r="D167" s="108" t="str">
        <x:f>IF($C167="","",INDEX('03 Productos'!$B$5:$B$79,MATCH($C167,'03 Productos'!$A$5:$A$79,0)))</x:f>
      </x:c>
      <x:c r="E167" s="108" t="str">
        <x:f>IF($C167="","",INDEX('03 Productos'!$C$5:$C$79,MATCH($C167,'03 Productos'!$A$5:$A$79,0)))</x:f>
      </x:c>
      <x:c r="F167" s="98"/>
      <x:c r="G167" s="106"/>
      <x:c r="H167" s="104"/>
      <x:c r="I167" s="112" t="n">
        <x:f>IF(OR($B167="Entrada",$B167="Ajuste entrada"),$G167,0)</x:f>
        <x:v>0</x:v>
      </x:c>
      <x:c r="J167" s="112" t="n">
        <x:f>IF(OR($B167="Salida",$B167="Ajuste salida"),$G167,0)</x:f>
        <x:v>0</x:v>
      </x:c>
      <x:c r="K167" s="114" t="str">
        <x:f>IF($G167="","",$G167*$H167)</x:f>
      </x:c>
      <x:c r="L167" s="98"/>
      <x:c r="M167" s="98"/>
    </x:row>
    <x:row r="168">
      <x:c r="A168" s="110"/>
      <x:c r="B168" s="98"/>
      <x:c r="C168" s="98"/>
      <x:c r="D168" s="108" t="str">
        <x:f>IF($C168="","",INDEX('03 Productos'!$B$5:$B$79,MATCH($C168,'03 Productos'!$A$5:$A$79,0)))</x:f>
      </x:c>
      <x:c r="E168" s="108" t="str">
        <x:f>IF($C168="","",INDEX('03 Productos'!$C$5:$C$79,MATCH($C168,'03 Productos'!$A$5:$A$79,0)))</x:f>
      </x:c>
      <x:c r="F168" s="98"/>
      <x:c r="G168" s="106"/>
      <x:c r="H168" s="104"/>
      <x:c r="I168" s="112" t="n">
        <x:f>IF(OR($B168="Entrada",$B168="Ajuste entrada"),$G168,0)</x:f>
        <x:v>0</x:v>
      </x:c>
      <x:c r="J168" s="112" t="n">
        <x:f>IF(OR($B168="Salida",$B168="Ajuste salida"),$G168,0)</x:f>
        <x:v>0</x:v>
      </x:c>
      <x:c r="K168" s="114" t="str">
        <x:f>IF($G168="","",$G168*$H168)</x:f>
      </x:c>
      <x:c r="L168" s="98"/>
      <x:c r="M168" s="98"/>
    </x:row>
    <x:row r="169">
      <x:c r="A169" s="110"/>
      <x:c r="B169" s="98"/>
      <x:c r="C169" s="98"/>
      <x:c r="D169" s="108" t="str">
        <x:f>IF($C169="","",INDEX('03 Productos'!$B$5:$B$79,MATCH($C169,'03 Productos'!$A$5:$A$79,0)))</x:f>
      </x:c>
      <x:c r="E169" s="108" t="str">
        <x:f>IF($C169="","",INDEX('03 Productos'!$C$5:$C$79,MATCH($C169,'03 Productos'!$A$5:$A$79,0)))</x:f>
      </x:c>
      <x:c r="F169" s="98"/>
      <x:c r="G169" s="106"/>
      <x:c r="H169" s="104"/>
      <x:c r="I169" s="112" t="n">
        <x:f>IF(OR($B169="Entrada",$B169="Ajuste entrada"),$G169,0)</x:f>
        <x:v>0</x:v>
      </x:c>
      <x:c r="J169" s="112" t="n">
        <x:f>IF(OR($B169="Salida",$B169="Ajuste salida"),$G169,0)</x:f>
        <x:v>0</x:v>
      </x:c>
      <x:c r="K169" s="114" t="str">
        <x:f>IF($G169="","",$G169*$H169)</x:f>
      </x:c>
      <x:c r="L169" s="98"/>
      <x:c r="M169" s="98"/>
    </x:row>
    <x:row r="170">
      <x:c r="A170" s="110"/>
      <x:c r="B170" s="98"/>
      <x:c r="C170" s="98"/>
      <x:c r="D170" s="108" t="str">
        <x:f>IF($C170="","",INDEX('03 Productos'!$B$5:$B$79,MATCH($C170,'03 Productos'!$A$5:$A$79,0)))</x:f>
      </x:c>
      <x:c r="E170" s="108" t="str">
        <x:f>IF($C170="","",INDEX('03 Productos'!$C$5:$C$79,MATCH($C170,'03 Productos'!$A$5:$A$79,0)))</x:f>
      </x:c>
      <x:c r="F170" s="98"/>
      <x:c r="G170" s="106"/>
      <x:c r="H170" s="104"/>
      <x:c r="I170" s="112" t="n">
        <x:f>IF(OR($B170="Entrada",$B170="Ajuste entrada"),$G170,0)</x:f>
        <x:v>0</x:v>
      </x:c>
      <x:c r="J170" s="112" t="n">
        <x:f>IF(OR($B170="Salida",$B170="Ajuste salida"),$G170,0)</x:f>
        <x:v>0</x:v>
      </x:c>
      <x:c r="K170" s="114" t="str">
        <x:f>IF($G170="","",$G170*$H170)</x:f>
      </x:c>
      <x:c r="L170" s="98"/>
      <x:c r="M170" s="98"/>
    </x:row>
    <x:row r="171">
      <x:c r="A171" s="110"/>
      <x:c r="B171" s="98"/>
      <x:c r="C171" s="98"/>
      <x:c r="D171" s="108" t="str">
        <x:f>IF($C171="","",INDEX('03 Productos'!$B$5:$B$79,MATCH($C171,'03 Productos'!$A$5:$A$79,0)))</x:f>
      </x:c>
      <x:c r="E171" s="108" t="str">
        <x:f>IF($C171="","",INDEX('03 Productos'!$C$5:$C$79,MATCH($C171,'03 Productos'!$A$5:$A$79,0)))</x:f>
      </x:c>
      <x:c r="F171" s="98"/>
      <x:c r="G171" s="106"/>
      <x:c r="H171" s="104"/>
      <x:c r="I171" s="112" t="n">
        <x:f>IF(OR($B171="Entrada",$B171="Ajuste entrada"),$G171,0)</x:f>
        <x:v>0</x:v>
      </x:c>
      <x:c r="J171" s="112" t="n">
        <x:f>IF(OR($B171="Salida",$B171="Ajuste salida"),$G171,0)</x:f>
        <x:v>0</x:v>
      </x:c>
      <x:c r="K171" s="114" t="str">
        <x:f>IF($G171="","",$G171*$H171)</x:f>
      </x:c>
      <x:c r="L171" s="98"/>
      <x:c r="M171" s="98"/>
    </x:row>
    <x:row r="172">
      <x:c r="A172" s="110"/>
      <x:c r="B172" s="98"/>
      <x:c r="C172" s="98"/>
      <x:c r="D172" s="108" t="str">
        <x:f>IF($C172="","",INDEX('03 Productos'!$B$5:$B$79,MATCH($C172,'03 Productos'!$A$5:$A$79,0)))</x:f>
      </x:c>
      <x:c r="E172" s="108" t="str">
        <x:f>IF($C172="","",INDEX('03 Productos'!$C$5:$C$79,MATCH($C172,'03 Productos'!$A$5:$A$79,0)))</x:f>
      </x:c>
      <x:c r="F172" s="98"/>
      <x:c r="G172" s="106"/>
      <x:c r="H172" s="104"/>
      <x:c r="I172" s="112" t="n">
        <x:f>IF(OR($B172="Entrada",$B172="Ajuste entrada"),$G172,0)</x:f>
        <x:v>0</x:v>
      </x:c>
      <x:c r="J172" s="112" t="n">
        <x:f>IF(OR($B172="Salida",$B172="Ajuste salida"),$G172,0)</x:f>
        <x:v>0</x:v>
      </x:c>
      <x:c r="K172" s="114" t="str">
        <x:f>IF($G172="","",$G172*$H172)</x:f>
      </x:c>
      <x:c r="L172" s="98"/>
      <x:c r="M172" s="98"/>
    </x:row>
    <x:row r="173">
      <x:c r="A173" s="110"/>
      <x:c r="B173" s="98"/>
      <x:c r="C173" s="98"/>
      <x:c r="D173" s="108" t="str">
        <x:f>IF($C173="","",INDEX('03 Productos'!$B$5:$B$79,MATCH($C173,'03 Productos'!$A$5:$A$79,0)))</x:f>
      </x:c>
      <x:c r="E173" s="108" t="str">
        <x:f>IF($C173="","",INDEX('03 Productos'!$C$5:$C$79,MATCH($C173,'03 Productos'!$A$5:$A$79,0)))</x:f>
      </x:c>
      <x:c r="F173" s="98"/>
      <x:c r="G173" s="106"/>
      <x:c r="H173" s="104"/>
      <x:c r="I173" s="112" t="n">
        <x:f>IF(OR($B173="Entrada",$B173="Ajuste entrada"),$G173,0)</x:f>
        <x:v>0</x:v>
      </x:c>
      <x:c r="J173" s="112" t="n">
        <x:f>IF(OR($B173="Salida",$B173="Ajuste salida"),$G173,0)</x:f>
        <x:v>0</x:v>
      </x:c>
      <x:c r="K173" s="114" t="str">
        <x:f>IF($G173="","",$G173*$H173)</x:f>
      </x:c>
      <x:c r="L173" s="98"/>
      <x:c r="M173" s="98"/>
    </x:row>
    <x:row r="174">
      <x:c r="A174" s="110"/>
      <x:c r="B174" s="98"/>
      <x:c r="C174" s="98"/>
      <x:c r="D174" s="108" t="str">
        <x:f>IF($C174="","",INDEX('03 Productos'!$B$5:$B$79,MATCH($C174,'03 Productos'!$A$5:$A$79,0)))</x:f>
      </x:c>
      <x:c r="E174" s="108" t="str">
        <x:f>IF($C174="","",INDEX('03 Productos'!$C$5:$C$79,MATCH($C174,'03 Productos'!$A$5:$A$79,0)))</x:f>
      </x:c>
      <x:c r="F174" s="98"/>
      <x:c r="G174" s="106"/>
      <x:c r="H174" s="104"/>
      <x:c r="I174" s="112" t="n">
        <x:f>IF(OR($B174="Entrada",$B174="Ajuste entrada"),$G174,0)</x:f>
        <x:v>0</x:v>
      </x:c>
      <x:c r="J174" s="112" t="n">
        <x:f>IF(OR($B174="Salida",$B174="Ajuste salida"),$G174,0)</x:f>
        <x:v>0</x:v>
      </x:c>
      <x:c r="K174" s="114" t="str">
        <x:f>IF($G174="","",$G174*$H174)</x:f>
      </x:c>
      <x:c r="L174" s="98"/>
      <x:c r="M174" s="98"/>
    </x:row>
    <x:row r="175">
      <x:c r="A175" s="110"/>
      <x:c r="B175" s="98"/>
      <x:c r="C175" s="98"/>
      <x:c r="D175" s="108" t="str">
        <x:f>IF($C175="","",INDEX('03 Productos'!$B$5:$B$79,MATCH($C175,'03 Productos'!$A$5:$A$79,0)))</x:f>
      </x:c>
      <x:c r="E175" s="108" t="str">
        <x:f>IF($C175="","",INDEX('03 Productos'!$C$5:$C$79,MATCH($C175,'03 Productos'!$A$5:$A$79,0)))</x:f>
      </x:c>
      <x:c r="F175" s="98"/>
      <x:c r="G175" s="106"/>
      <x:c r="H175" s="104"/>
      <x:c r="I175" s="112" t="n">
        <x:f>IF(OR($B175="Entrada",$B175="Ajuste entrada"),$G175,0)</x:f>
        <x:v>0</x:v>
      </x:c>
      <x:c r="J175" s="112" t="n">
        <x:f>IF(OR($B175="Salida",$B175="Ajuste salida"),$G175,0)</x:f>
        <x:v>0</x:v>
      </x:c>
      <x:c r="K175" s="114" t="str">
        <x:f>IF($G175="","",$G175*$H175)</x:f>
      </x:c>
      <x:c r="L175" s="98"/>
      <x:c r="M175" s="98"/>
    </x:row>
    <x:row r="176">
      <x:c r="A176" s="110"/>
      <x:c r="B176" s="98"/>
      <x:c r="C176" s="98"/>
      <x:c r="D176" s="108" t="str">
        <x:f>IF($C176="","",INDEX('03 Productos'!$B$5:$B$79,MATCH($C176,'03 Productos'!$A$5:$A$79,0)))</x:f>
      </x:c>
      <x:c r="E176" s="108" t="str">
        <x:f>IF($C176="","",INDEX('03 Productos'!$C$5:$C$79,MATCH($C176,'03 Productos'!$A$5:$A$79,0)))</x:f>
      </x:c>
      <x:c r="F176" s="98"/>
      <x:c r="G176" s="106"/>
      <x:c r="H176" s="104"/>
      <x:c r="I176" s="112" t="n">
        <x:f>IF(OR($B176="Entrada",$B176="Ajuste entrada"),$G176,0)</x:f>
        <x:v>0</x:v>
      </x:c>
      <x:c r="J176" s="112" t="n">
        <x:f>IF(OR($B176="Salida",$B176="Ajuste salida"),$G176,0)</x:f>
        <x:v>0</x:v>
      </x:c>
      <x:c r="K176" s="114" t="str">
        <x:f>IF($G176="","",$G176*$H176)</x:f>
      </x:c>
      <x:c r="L176" s="98"/>
      <x:c r="M176" s="98"/>
    </x:row>
    <x:row r="177">
      <x:c r="A177" s="110"/>
      <x:c r="B177" s="98"/>
      <x:c r="C177" s="98"/>
      <x:c r="D177" s="108" t="str">
        <x:f>IF($C177="","",INDEX('03 Productos'!$B$5:$B$79,MATCH($C177,'03 Productos'!$A$5:$A$79,0)))</x:f>
      </x:c>
      <x:c r="E177" s="108" t="str">
        <x:f>IF($C177="","",INDEX('03 Productos'!$C$5:$C$79,MATCH($C177,'03 Productos'!$A$5:$A$79,0)))</x:f>
      </x:c>
      <x:c r="F177" s="98"/>
      <x:c r="G177" s="106"/>
      <x:c r="H177" s="104"/>
      <x:c r="I177" s="112" t="n">
        <x:f>IF(OR($B177="Entrada",$B177="Ajuste entrada"),$G177,0)</x:f>
        <x:v>0</x:v>
      </x:c>
      <x:c r="J177" s="112" t="n">
        <x:f>IF(OR($B177="Salida",$B177="Ajuste salida"),$G177,0)</x:f>
        <x:v>0</x:v>
      </x:c>
      <x:c r="K177" s="114" t="str">
        <x:f>IF($G177="","",$G177*$H177)</x:f>
      </x:c>
      <x:c r="L177" s="98"/>
      <x:c r="M177" s="98"/>
    </x:row>
    <x:row r="178">
      <x:c r="A178" s="110"/>
      <x:c r="B178" s="98"/>
      <x:c r="C178" s="98"/>
      <x:c r="D178" s="108" t="str">
        <x:f>IF($C178="","",INDEX('03 Productos'!$B$5:$B$79,MATCH($C178,'03 Productos'!$A$5:$A$79,0)))</x:f>
      </x:c>
      <x:c r="E178" s="108" t="str">
        <x:f>IF($C178="","",INDEX('03 Productos'!$C$5:$C$79,MATCH($C178,'03 Productos'!$A$5:$A$79,0)))</x:f>
      </x:c>
      <x:c r="F178" s="98"/>
      <x:c r="G178" s="106"/>
      <x:c r="H178" s="104"/>
      <x:c r="I178" s="112" t="n">
        <x:f>IF(OR($B178="Entrada",$B178="Ajuste entrada"),$G178,0)</x:f>
        <x:v>0</x:v>
      </x:c>
      <x:c r="J178" s="112" t="n">
        <x:f>IF(OR($B178="Salida",$B178="Ajuste salida"),$G178,0)</x:f>
        <x:v>0</x:v>
      </x:c>
      <x:c r="K178" s="114" t="str">
        <x:f>IF($G178="","",$G178*$H178)</x:f>
      </x:c>
      <x:c r="L178" s="98"/>
      <x:c r="M178" s="98"/>
    </x:row>
    <x:row r="179">
      <x:c r="A179" s="110"/>
      <x:c r="B179" s="98"/>
      <x:c r="C179" s="98"/>
      <x:c r="D179" s="108" t="str">
        <x:f>IF($C179="","",INDEX('03 Productos'!$B$5:$B$79,MATCH($C179,'03 Productos'!$A$5:$A$79,0)))</x:f>
      </x:c>
      <x:c r="E179" s="108" t="str">
        <x:f>IF($C179="","",INDEX('03 Productos'!$C$5:$C$79,MATCH($C179,'03 Productos'!$A$5:$A$79,0)))</x:f>
      </x:c>
      <x:c r="F179" s="98"/>
      <x:c r="G179" s="106"/>
      <x:c r="H179" s="104"/>
      <x:c r="I179" s="112" t="n">
        <x:f>IF(OR($B179="Entrada",$B179="Ajuste entrada"),$G179,0)</x:f>
        <x:v>0</x:v>
      </x:c>
      <x:c r="J179" s="112" t="n">
        <x:f>IF(OR($B179="Salida",$B179="Ajuste salida"),$G179,0)</x:f>
        <x:v>0</x:v>
      </x:c>
      <x:c r="K179" s="114" t="str">
        <x:f>IF($G179="","",$G179*$H179)</x:f>
      </x:c>
      <x:c r="L179" s="98"/>
      <x:c r="M179" s="98"/>
    </x:row>
    <x:row r="180">
      <x:c r="A180" s="110"/>
      <x:c r="B180" s="98"/>
      <x:c r="C180" s="98"/>
      <x:c r="D180" s="108" t="str">
        <x:f>IF($C180="","",INDEX('03 Productos'!$B$5:$B$79,MATCH($C180,'03 Productos'!$A$5:$A$79,0)))</x:f>
      </x:c>
      <x:c r="E180" s="108" t="str">
        <x:f>IF($C180="","",INDEX('03 Productos'!$C$5:$C$79,MATCH($C180,'03 Productos'!$A$5:$A$79,0)))</x:f>
      </x:c>
      <x:c r="F180" s="98"/>
      <x:c r="G180" s="106"/>
      <x:c r="H180" s="104"/>
      <x:c r="I180" s="112" t="n">
        <x:f>IF(OR($B180="Entrada",$B180="Ajuste entrada"),$G180,0)</x:f>
        <x:v>0</x:v>
      </x:c>
      <x:c r="J180" s="112" t="n">
        <x:f>IF(OR($B180="Salida",$B180="Ajuste salida"),$G180,0)</x:f>
        <x:v>0</x:v>
      </x:c>
      <x:c r="K180" s="114" t="str">
        <x:f>IF($G180="","",$G180*$H180)</x:f>
      </x:c>
      <x:c r="L180" s="98"/>
      <x:c r="M180" s="98"/>
    </x:row>
    <x:row r="181">
      <x:c r="A181" s="110"/>
      <x:c r="B181" s="98"/>
      <x:c r="C181" s="98"/>
      <x:c r="D181" s="108" t="str">
        <x:f>IF($C181="","",INDEX('03 Productos'!$B$5:$B$79,MATCH($C181,'03 Productos'!$A$5:$A$79,0)))</x:f>
      </x:c>
      <x:c r="E181" s="108" t="str">
        <x:f>IF($C181="","",INDEX('03 Productos'!$C$5:$C$79,MATCH($C181,'03 Productos'!$A$5:$A$79,0)))</x:f>
      </x:c>
      <x:c r="F181" s="98"/>
      <x:c r="G181" s="106"/>
      <x:c r="H181" s="104"/>
      <x:c r="I181" s="112" t="n">
        <x:f>IF(OR($B181="Entrada",$B181="Ajuste entrada"),$G181,0)</x:f>
        <x:v>0</x:v>
      </x:c>
      <x:c r="J181" s="112" t="n">
        <x:f>IF(OR($B181="Salida",$B181="Ajuste salida"),$G181,0)</x:f>
        <x:v>0</x:v>
      </x:c>
      <x:c r="K181" s="114" t="str">
        <x:f>IF($G181="","",$G181*$H181)</x:f>
      </x:c>
      <x:c r="L181" s="98"/>
      <x:c r="M181" s="98"/>
    </x:row>
    <x:row r="182">
      <x:c r="A182" s="110"/>
      <x:c r="B182" s="98"/>
      <x:c r="C182" s="98"/>
      <x:c r="D182" s="108" t="str">
        <x:f>IF($C182="","",INDEX('03 Productos'!$B$5:$B$79,MATCH($C182,'03 Productos'!$A$5:$A$79,0)))</x:f>
      </x:c>
      <x:c r="E182" s="108" t="str">
        <x:f>IF($C182="","",INDEX('03 Productos'!$C$5:$C$79,MATCH($C182,'03 Productos'!$A$5:$A$79,0)))</x:f>
      </x:c>
      <x:c r="F182" s="98"/>
      <x:c r="G182" s="106"/>
      <x:c r="H182" s="104"/>
      <x:c r="I182" s="112" t="n">
        <x:f>IF(OR($B182="Entrada",$B182="Ajuste entrada"),$G182,0)</x:f>
        <x:v>0</x:v>
      </x:c>
      <x:c r="J182" s="112" t="n">
        <x:f>IF(OR($B182="Salida",$B182="Ajuste salida"),$G182,0)</x:f>
        <x:v>0</x:v>
      </x:c>
      <x:c r="K182" s="114" t="str">
        <x:f>IF($G182="","",$G182*$H182)</x:f>
      </x:c>
      <x:c r="L182" s="98"/>
      <x:c r="M182" s="98"/>
    </x:row>
    <x:row r="183">
      <x:c r="A183" s="110"/>
      <x:c r="B183" s="98"/>
      <x:c r="C183" s="98"/>
      <x:c r="D183" s="108" t="str">
        <x:f>IF($C183="","",INDEX('03 Productos'!$B$5:$B$79,MATCH($C183,'03 Productos'!$A$5:$A$79,0)))</x:f>
      </x:c>
      <x:c r="E183" s="108" t="str">
        <x:f>IF($C183="","",INDEX('03 Productos'!$C$5:$C$79,MATCH($C183,'03 Productos'!$A$5:$A$79,0)))</x:f>
      </x:c>
      <x:c r="F183" s="98"/>
      <x:c r="G183" s="106"/>
      <x:c r="H183" s="104"/>
      <x:c r="I183" s="112" t="n">
        <x:f>IF(OR($B183="Entrada",$B183="Ajuste entrada"),$G183,0)</x:f>
        <x:v>0</x:v>
      </x:c>
      <x:c r="J183" s="112" t="n">
        <x:f>IF(OR($B183="Salida",$B183="Ajuste salida"),$G183,0)</x:f>
        <x:v>0</x:v>
      </x:c>
      <x:c r="K183" s="114" t="str">
        <x:f>IF($G183="","",$G183*$H183)</x:f>
      </x:c>
      <x:c r="L183" s="98"/>
      <x:c r="M183" s="98"/>
    </x:row>
    <x:row r="184">
      <x:c r="A184" s="110"/>
      <x:c r="B184" s="98"/>
      <x:c r="C184" s="98"/>
      <x:c r="D184" s="108" t="str">
        <x:f>IF($C184="","",INDEX('03 Productos'!$B$5:$B$79,MATCH($C184,'03 Productos'!$A$5:$A$79,0)))</x:f>
      </x:c>
      <x:c r="E184" s="108" t="str">
        <x:f>IF($C184="","",INDEX('03 Productos'!$C$5:$C$79,MATCH($C184,'03 Productos'!$A$5:$A$79,0)))</x:f>
      </x:c>
      <x:c r="F184" s="98"/>
      <x:c r="G184" s="106"/>
      <x:c r="H184" s="104"/>
      <x:c r="I184" s="112" t="n">
        <x:f>IF(OR($B184="Entrada",$B184="Ajuste entrada"),$G184,0)</x:f>
        <x:v>0</x:v>
      </x:c>
      <x:c r="J184" s="112" t="n">
        <x:f>IF(OR($B184="Salida",$B184="Ajuste salida"),$G184,0)</x:f>
        <x:v>0</x:v>
      </x:c>
      <x:c r="K184" s="114" t="str">
        <x:f>IF($G184="","",$G184*$H184)</x:f>
      </x:c>
      <x:c r="L184" s="98"/>
      <x:c r="M184" s="98"/>
    </x:row>
  </x:sheetData>
  <x:mergeCells>
    <x:mergeCell ref="A1:M1"/>
    <x:mergeCell ref="A2:M2"/>
  </x:mergeCells>
  <x:dataValidations count="3">
    <x:dataValidation type="list" sqref="B5:B184">
      <x:formula1>'09 Catálogos'!$E$5:$E$8</x:formula1>
    </x:dataValidation>
    <x:dataValidation type="list" sqref="C5:C184">
      <x:formula1>'03 Productos'!$A$5:$A$79</x:formula1>
    </x:dataValidation>
    <x:dataValidation type="list" sqref="L5:L184">
      <x:formula1>'09 Catálogos'!$I$5:$I$9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fd6948246045b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18" hidden="0" customWidth="1"/>
    <x:col min="4" max="4" width="10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5" hidden="0" customWidth="1"/>
    <x:col min="14" max="14" width="14" hidden="0" customWidth="1"/>
    <x:col min="15" max="15" width="22" hidden="0" customWidth="1"/>
  </x:cols>
  <x:sheetData>
    <x:row r="1" ht="42" customHeight="1">
      <x:c r="A1" s="5" t="str">
        <x:v>Inventario actual</x:v>
      </x:c>
    </x:row>
    <x:row r="2" ht="28" customHeight="1">
      <x:c r="A2" s="13" t="str">
        <x:v>Existencias, valuación y estado del stock calculados automáticamente.</x:v>
      </x:c>
    </x:row>
    <x:row r="4" ht="26" customHeight="1">
      <x:c r="A4" s="66" t="str">
        <x:v>SKU</x:v>
      </x:c>
      <x:c r="B4" s="66" t="str">
        <x:v>Producto</x:v>
      </x:c>
      <x:c r="C4" s="66" t="str">
        <x:v>Categoría</x:v>
      </x:c>
      <x:c r="D4" s="66" t="str">
        <x:v>Unidad</x:v>
      </x:c>
      <x:c r="E4" s="66" t="str">
        <x:v>Stock inicial</x:v>
      </x:c>
      <x:c r="F4" s="66" t="str">
        <x:v>Entradas</x:v>
      </x:c>
      <x:c r="G4" s="66" t="str">
        <x:v>Salidas</x:v>
      </x:c>
      <x:c r="H4" s="66" t="str">
        <x:v>Existencia</x:v>
      </x:c>
      <x:c r="I4" s="66" t="str">
        <x:v>Stock mínimo</x:v>
      </x:c>
      <x:c r="J4" s="66" t="str">
        <x:v>Stock máximo</x:v>
      </x:c>
      <x:c r="K4" s="66" t="str">
        <x:v>Punto reorden</x:v>
      </x:c>
      <x:c r="L4" s="66" t="str">
        <x:v>Costo promedio</x:v>
      </x:c>
      <x:c r="M4" s="66" t="str">
        <x:v>Valor inventario</x:v>
      </x:c>
      <x:c r="N4" s="66" t="str">
        <x:v>Estado</x:v>
      </x:c>
      <x:c r="O4" s="66" t="str">
        <x:v>Recomendación</x:v>
      </x:c>
    </x:row>
    <x:row r="5">
      <x:c r="A5" s="108" t="str">
        <x:f>IF('03 Productos'!A5="","",'03 Productos'!A5)</x:f>
        <x:v>SKU-001</x:v>
      </x:c>
      <x:c r="B5" s="108" t="str">
        <x:f>IF($A5="","",INDEX('03 Productos'!$B$5:$B$79,MATCH($A5,'03 Productos'!$A$5:$A$79,0)))</x:f>
        <x:v>Laptop administrativa</x:v>
      </x:c>
      <x:c r="C5" s="108" t="str">
        <x:f>IF($A5="","",INDEX('03 Productos'!$C$5:$C$79,MATCH($A5,'03 Productos'!$A$5:$A$79,0)))</x:f>
        <x:v>Equipo</x:v>
      </x:c>
      <x:c r="D5" s="108" t="str">
        <x:f>IF($A5="","",INDEX('03 Productos'!$D$5:$D$79,MATCH($A5,'03 Productos'!$A$5:$A$79,0)))</x:f>
        <x:v>pieza</x:v>
      </x:c>
      <x:c r="E5" s="112" t="n">
        <x:f>IF($A5="","",INDEX('03 Productos'!$F$5:$F$79,MATCH($A5,'03 Productos'!$A$5:$A$79,0)))</x:f>
        <x:v>4</x:v>
      </x:c>
      <x:c r="F5" s="112" t="n">
        <x:f>IF($A5="","",SUMIFS('04 Movimientos'!$I$5:$I$184,'04 Movimientos'!$C$5:$C$184,$A5))</x:f>
        <x:v>0</x:v>
      </x:c>
      <x:c r="G5" s="112" t="n">
        <x:f>IF($A5="","",SUMIFS('04 Movimientos'!$J$5:$J$184,'04 Movimientos'!$C$5:$C$184,$A5))</x:f>
        <x:v>0</x:v>
      </x:c>
      <x:c r="H5" s="112" t="n">
        <x:f>IF($A5="","",$E5+$F5-$G5)</x:f>
        <x:v>4</x:v>
      </x:c>
      <x:c r="I5" s="112" t="n">
        <x:f>IF($A5="","",INDEX('03 Productos'!$H$5:$H$79,MATCH($A5,'03 Productos'!$A$5:$A$79,0)))</x:f>
        <x:v>2</x:v>
      </x:c>
      <x:c r="J5" s="112" t="n">
        <x:f>IF($A5="","",INDEX('03 Productos'!$I$5:$I$79,MATCH($A5,'03 Productos'!$A$5:$A$79,0)))</x:f>
        <x:v>8</x:v>
      </x:c>
      <x:c r="K5" s="112" t="n">
        <x:f>IF($A5="","",$I5+INDEX('03 Productos'!$J$5:$J$79,MATCH($A5,'03 Productos'!$A$5:$A$79,0))*INDEX('03 Productos'!$K$5:$K$79,MATCH($A5,'03 Productos'!$A$5:$A$79,0)))</x:f>
        <x:v>2.7</x:v>
      </x:c>
      <x:c r="L5" s="114" t="n">
        <x:f>IF($A5="","",IFERROR(($E5*INDEX('03 Productos'!$G$5:$G$79,MATCH($A5,'03 Productos'!$A$5:$A$79,0))+SUMIFS('04 Movimientos'!$K$5:$K$184,'04 Movimientos'!$C$5:$C$184,$A5,'04 Movimientos'!$B$5:$B$184,"Entrada"))/($E5+$F5),INDEX('03 Productos'!$G$5:$G$79,MATCH($A5,'03 Productos'!$A$5:$A$79,0))))</x:f>
        <x:v>12500</x:v>
      </x:c>
      <x:c r="M5" s="114" t="n">
        <x:f>IF($A5="","",$H5*$L5)</x:f>
        <x:v>50000</x:v>
      </x:c>
      <x:c r="N5" s="108" t="str">
        <x:f>IF($A5="","",IF($H5&lt;=0,"Sin stock",IF($H5&lt;=$I5,"Crítico",IF($H5&lt;=$K5,"Reordenar",IF($H5&gt;$J5,"Sobre stock","OK")))))</x:f>
        <x:v>OK</x:v>
      </x:c>
      <x:c r="O5" s="108" t="str">
        <x:f>IF($A5="","",IF($N5="Sin stock","Comprar de inmediato",IF($N5="Crítico","Reponer urgente",IF($N5="Reordenar","Programar compra",IF($N5="Sobre stock","Revisar exceso","Mantener")))))</x:f>
        <x:v>Mantener</x:v>
      </x:c>
    </x:row>
    <x:row r="6">
      <x:c r="A6" s="108" t="str">
        <x:f>IF('03 Productos'!A6="","",'03 Productos'!A6)</x:f>
        <x:v>SKU-002</x:v>
      </x:c>
      <x:c r="B6" s="108" t="str">
        <x:f>IF($A6="","",INDEX('03 Productos'!$B$5:$B$79,MATCH($A6,'03 Productos'!$A$5:$A$79,0)))</x:f>
        <x:v>Toner impresora</x:v>
      </x:c>
      <x:c r="C6" s="108" t="str">
        <x:f>IF($A6="","",INDEX('03 Productos'!$C$5:$C$79,MATCH($A6,'03 Productos'!$A$5:$A$79,0)))</x:f>
        <x:v>Consumibles</x:v>
      </x:c>
      <x:c r="D6" s="108" t="str">
        <x:f>IF($A6="","",INDEX('03 Productos'!$D$5:$D$79,MATCH($A6,'03 Productos'!$A$5:$A$79,0)))</x:f>
        <x:v>pieza</x:v>
      </x:c>
      <x:c r="E6" s="112" t="n">
        <x:f>IF($A6="","",INDEX('03 Productos'!$F$5:$F$79,MATCH($A6,'03 Productos'!$A$5:$A$79,0)))</x:f>
        <x:v>10</x:v>
      </x:c>
      <x:c r="F6" s="112" t="n">
        <x:f>IF($A6="","",SUMIFS('04 Movimientos'!$I$5:$I$184,'04 Movimientos'!$C$5:$C$184,$A6))</x:f>
        <x:v>15</x:v>
      </x:c>
      <x:c r="G6" s="112" t="n">
        <x:f>IF($A6="","",SUMIFS('04 Movimientos'!$J$5:$J$184,'04 Movimientos'!$C$5:$C$184,$A6))</x:f>
        <x:v>8</x:v>
      </x:c>
      <x:c r="H6" s="112" t="n">
        <x:f>IF($A6="","",$E6+$F6-$G6)</x:f>
        <x:v>17</x:v>
      </x:c>
      <x:c r="I6" s="112" t="n">
        <x:f>IF($A6="","",INDEX('03 Productos'!$H$5:$H$79,MATCH($A6,'03 Productos'!$A$5:$A$79,0)))</x:f>
        <x:v>4</x:v>
      </x:c>
      <x:c r="J6" s="112" t="n">
        <x:f>IF($A6="","",INDEX('03 Productos'!$I$5:$I$79,MATCH($A6,'03 Productos'!$A$5:$A$79,0)))</x:f>
        <x:v>20</x:v>
      </x:c>
      <x:c r="K6" s="112" t="n">
        <x:f>IF($A6="","",$I6+INDEX('03 Productos'!$J$5:$J$79,MATCH($A6,'03 Productos'!$A$5:$A$79,0))*INDEX('03 Productos'!$K$5:$K$79,MATCH($A6,'03 Productos'!$A$5:$A$79,0)))</x:f>
        <x:v>6</x:v>
      </x:c>
      <x:c r="L6" s="114" t="n">
        <x:f>IF($A6="","",IFERROR(($E6*INDEX('03 Productos'!$G$5:$G$79,MATCH($A6,'03 Productos'!$A$5:$A$79,0))+SUMIFS('04 Movimientos'!$K$5:$K$184,'04 Movimientos'!$C$5:$C$184,$A6,'04 Movimientos'!$B$5:$B$184,"Entrada"))/($E6+$F6),INDEX('03 Productos'!$G$5:$G$79,MATCH($A6,'03 Productos'!$A$5:$A$79,0))))</x:f>
        <x:v>768</x:v>
      </x:c>
      <x:c r="M6" s="114" t="n">
        <x:f>IF($A6="","",$H6*$L6)</x:f>
        <x:v>13056</x:v>
      </x:c>
      <x:c r="N6" s="108" t="str">
        <x:f>IF($A6="","",IF($H6&lt;=0,"Sin stock",IF($H6&lt;=$I6,"Crítico",IF($H6&lt;=$K6,"Reordenar",IF($H6&gt;$J6,"Sobre stock","OK")))))</x:f>
        <x:v>OK</x:v>
      </x:c>
      <x:c r="O6" s="108" t="str">
        <x:f>IF($A6="","",IF($N6="Sin stock","Comprar de inmediato",IF($N6="Crítico","Reponer urgente",IF($N6="Reordenar","Programar compra",IF($N6="Sobre stock","Revisar exceso","Mantener")))))</x:f>
        <x:v>Mantener</x:v>
      </x:c>
    </x:row>
    <x:row r="7">
      <x:c r="A7" s="108" t="str">
        <x:f>IF('03 Productos'!A7="","",'03 Productos'!A7)</x:f>
        <x:v>SKU-003</x:v>
      </x:c>
      <x:c r="B7" s="108" t="str">
        <x:f>IF($A7="","",INDEX('03 Productos'!$B$5:$B$79,MATCH($A7,'03 Productos'!$A$5:$A$79,0)))</x:f>
        <x:v>Caja de empaque</x:v>
      </x:c>
      <x:c r="C7" s="108" t="str">
        <x:f>IF($A7="","",INDEX('03 Productos'!$C$5:$C$79,MATCH($A7,'03 Productos'!$A$5:$A$79,0)))</x:f>
        <x:v>Empaque</x:v>
      </x:c>
      <x:c r="D7" s="108" t="str">
        <x:f>IF($A7="","",INDEX('03 Productos'!$D$5:$D$79,MATCH($A7,'03 Productos'!$A$5:$A$79,0)))</x:f>
        <x:v>caja</x:v>
      </x:c>
      <x:c r="E7" s="112" t="n">
        <x:f>IF($A7="","",INDEX('03 Productos'!$F$5:$F$79,MATCH($A7,'03 Productos'!$A$5:$A$79,0)))</x:f>
        <x:v>120</x:v>
      </x:c>
      <x:c r="F7" s="112" t="n">
        <x:f>IF($A7="","",SUMIFS('04 Movimientos'!$I$5:$I$184,'04 Movimientos'!$C$5:$C$184,$A7))</x:f>
        <x:v>0</x:v>
      </x:c>
      <x:c r="G7" s="112" t="n">
        <x:f>IF($A7="","",SUMIFS('04 Movimientos'!$J$5:$J$184,'04 Movimientos'!$C$5:$C$184,$A7))</x:f>
        <x:v>70</x:v>
      </x:c>
      <x:c r="H7" s="112" t="n">
        <x:f>IF($A7="","",$E7+$F7-$G7)</x:f>
        <x:v>50</x:v>
      </x:c>
      <x:c r="I7" s="112" t="n">
        <x:f>IF($A7="","",INDEX('03 Productos'!$H$5:$H$79,MATCH($A7,'03 Productos'!$A$5:$A$79,0)))</x:f>
        <x:v>50</x:v>
      </x:c>
      <x:c r="J7" s="112" t="n">
        <x:f>IF($A7="","",INDEX('03 Productos'!$I$5:$I$79,MATCH($A7,'03 Productos'!$A$5:$A$79,0)))</x:f>
        <x:v>300</x:v>
      </x:c>
      <x:c r="K7" s="112" t="n">
        <x:f>IF($A7="","",$I7+INDEX('03 Productos'!$J$5:$J$79,MATCH($A7,'03 Productos'!$A$5:$A$79,0))*INDEX('03 Productos'!$K$5:$K$79,MATCH($A7,'03 Productos'!$A$5:$A$79,0)))</x:f>
        <x:v>74</x:v>
      </x:c>
      <x:c r="L7" s="114" t="n">
        <x:f>IF($A7="","",IFERROR(($E7*INDEX('03 Productos'!$G$5:$G$79,MATCH($A7,'03 Productos'!$A$5:$A$79,0))+SUMIFS('04 Movimientos'!$K$5:$K$184,'04 Movimientos'!$C$5:$C$184,$A7,'04 Movimientos'!$B$5:$B$184,"Entrada"))/($E7+$F7),INDEX('03 Productos'!$G$5:$G$79,MATCH($A7,'03 Productos'!$A$5:$A$79,0))))</x:f>
        <x:v>22</x:v>
      </x:c>
      <x:c r="M7" s="114" t="n">
        <x:f>IF($A7="","",$H7*$L7)</x:f>
        <x:v>1100</x:v>
      </x:c>
      <x:c r="N7" s="108" t="str">
        <x:f>IF($A7="","",IF($H7&lt;=0,"Sin stock",IF($H7&lt;=$I7,"Crítico",IF($H7&lt;=$K7,"Reordenar",IF($H7&gt;$J7,"Sobre stock","OK")))))</x:f>
        <x:v>Crítico</x:v>
      </x:c>
      <x:c r="O7" s="108" t="str">
        <x:f>IF($A7="","",IF($N7="Sin stock","Comprar de inmediato",IF($N7="Crítico","Reponer urgente",IF($N7="Reordenar","Programar compra",IF($N7="Sobre stock","Revisar exceso","Mantener")))))</x:f>
        <x:v>Reponer urgente</x:v>
      </x:c>
    </x:row>
    <x:row r="8">
      <x:c r="A8" s="108" t="str">
        <x:f>IF('03 Productos'!A8="","",'03 Productos'!A8)</x:f>
        <x:v>SKU-004</x:v>
      </x:c>
      <x:c r="B8" s="108" t="str">
        <x:f>IF($A8="","",INDEX('03 Productos'!$B$5:$B$79,MATCH($A8,'03 Productos'!$A$5:$A$79,0)))</x:f>
        <x:v>Material promocional</x:v>
      </x:c>
      <x:c r="C8" s="108" t="str">
        <x:f>IF($A8="","",INDEX('03 Productos'!$C$5:$C$79,MATCH($A8,'03 Productos'!$A$5:$A$79,0)))</x:f>
        <x:v>Insumos</x:v>
      </x:c>
      <x:c r="D8" s="108" t="str">
        <x:f>IF($A8="","",INDEX('03 Productos'!$D$5:$D$79,MATCH($A8,'03 Productos'!$A$5:$A$79,0)))</x:f>
        <x:v>paquete</x:v>
      </x:c>
      <x:c r="E8" s="112" t="n">
        <x:f>IF($A8="","",INDEX('03 Productos'!$F$5:$F$79,MATCH($A8,'03 Productos'!$A$5:$A$79,0)))</x:f>
        <x:v>30</x:v>
      </x:c>
      <x:c r="F8" s="112" t="n">
        <x:f>IF($A8="","",SUMIFS('04 Movimientos'!$I$5:$I$184,'04 Movimientos'!$C$5:$C$184,$A8))</x:f>
        <x:v>0</x:v>
      </x:c>
      <x:c r="G8" s="112" t="n">
        <x:f>IF($A8="","",SUMIFS('04 Movimientos'!$J$5:$J$184,'04 Movimientos'!$C$5:$C$184,$A8))</x:f>
        <x:v>12</x:v>
      </x:c>
      <x:c r="H8" s="112" t="n">
        <x:f>IF($A8="","",$E8+$F8-$G8)</x:f>
        <x:v>18</x:v>
      </x:c>
      <x:c r="I8" s="112" t="n">
        <x:f>IF($A8="","",INDEX('03 Productos'!$H$5:$H$79,MATCH($A8,'03 Productos'!$A$5:$A$79,0)))</x:f>
        <x:v>10</x:v>
      </x:c>
      <x:c r="J8" s="112" t="n">
        <x:f>IF($A8="","",INDEX('03 Productos'!$I$5:$I$79,MATCH($A8,'03 Productos'!$A$5:$A$79,0)))</x:f>
        <x:v>80</x:v>
      </x:c>
      <x:c r="K8" s="112" t="n">
        <x:f>IF($A8="","",$I8+INDEX('03 Productos'!$J$5:$J$79,MATCH($A8,'03 Productos'!$A$5:$A$79,0))*INDEX('03 Productos'!$K$5:$K$79,MATCH($A8,'03 Productos'!$A$5:$A$79,0)))</x:f>
        <x:v>20</x:v>
      </x:c>
      <x:c r="L8" s="114" t="n">
        <x:f>IF($A8="","",IFERROR(($E8*INDEX('03 Productos'!$G$5:$G$79,MATCH($A8,'03 Productos'!$A$5:$A$79,0))+SUMIFS('04 Movimientos'!$K$5:$K$184,'04 Movimientos'!$C$5:$C$184,$A8,'04 Movimientos'!$B$5:$B$184,"Entrada"))/($E8+$F8),INDEX('03 Productos'!$G$5:$G$79,MATCH($A8,'03 Productos'!$A$5:$A$79,0))))</x:f>
        <x:v>180</x:v>
      </x:c>
      <x:c r="M8" s="114" t="n">
        <x:f>IF($A8="","",$H8*$L8)</x:f>
        <x:v>3240</x:v>
      </x:c>
      <x:c r="N8" s="108" t="str">
        <x:f>IF($A8="","",IF($H8&lt;=0,"Sin stock",IF($H8&lt;=$I8,"Crítico",IF($H8&lt;=$K8,"Reordenar",IF($H8&gt;$J8,"Sobre stock","OK")))))</x:f>
        <x:v>Reordenar</x:v>
      </x:c>
      <x:c r="O8" s="108" t="str">
        <x:f>IF($A8="","",IF($N8="Sin stock","Comprar de inmediato",IF($N8="Crítico","Reponer urgente",IF($N8="Reordenar","Programar compra",IF($N8="Sobre stock","Revisar exceso","Mantener")))))</x:f>
        <x:v>Programar compra</x:v>
      </x:c>
    </x:row>
    <x:row r="9">
      <x:c r="A9" s="108" t="str">
        <x:f>IF('03 Productos'!A9="","",'03 Productos'!A9)</x:f>
        <x:v>SKU-005</x:v>
      </x:c>
      <x:c r="B9" s="108" t="str">
        <x:f>IF($A9="","",INDEX('03 Productos'!$B$5:$B$79,MATCH($A9,'03 Productos'!$A$5:$A$79,0)))</x:f>
        <x:v>Refacción crítica</x:v>
      </x:c>
      <x:c r="C9" s="108" t="str">
        <x:f>IF($A9="","",INDEX('03 Productos'!$C$5:$C$79,MATCH($A9,'03 Productos'!$A$5:$A$79,0)))</x:f>
        <x:v>Refacciones</x:v>
      </x:c>
      <x:c r="D9" s="108" t="str">
        <x:f>IF($A9="","",INDEX('03 Productos'!$D$5:$D$79,MATCH($A9,'03 Productos'!$A$5:$A$79,0)))</x:f>
        <x:v>pieza</x:v>
      </x:c>
      <x:c r="E9" s="112" t="n">
        <x:f>IF($A9="","",INDEX('03 Productos'!$F$5:$F$79,MATCH($A9,'03 Productos'!$A$5:$A$79,0)))</x:f>
        <x:v>6</x:v>
      </x:c>
      <x:c r="F9" s="112" t="n">
        <x:f>IF($A9="","",SUMIFS('04 Movimientos'!$I$5:$I$184,'04 Movimientos'!$C$5:$C$184,$A9))</x:f>
        <x:v>4</x:v>
      </x:c>
      <x:c r="G9" s="112" t="n">
        <x:f>IF($A9="","",SUMIFS('04 Movimientos'!$J$5:$J$184,'04 Movimientos'!$C$5:$C$184,$A9))</x:f>
        <x:v>0</x:v>
      </x:c>
      <x:c r="H9" s="112" t="n">
        <x:f>IF($A9="","",$E9+$F9-$G9)</x:f>
        <x:v>10</x:v>
      </x:c>
      <x:c r="I9" s="112" t="n">
        <x:f>IF($A9="","",INDEX('03 Productos'!$H$5:$H$79,MATCH($A9,'03 Productos'!$A$5:$A$79,0)))</x:f>
        <x:v>3</x:v>
      </x:c>
      <x:c r="J9" s="112" t="n">
        <x:f>IF($A9="","",INDEX('03 Productos'!$I$5:$I$79,MATCH($A9,'03 Productos'!$A$5:$A$79,0)))</x:f>
        <x:v>12</x:v>
      </x:c>
      <x:c r="K9" s="112" t="n">
        <x:f>IF($A9="","",$I9+INDEX('03 Productos'!$J$5:$J$79,MATCH($A9,'03 Productos'!$A$5:$A$79,0))*INDEX('03 Productos'!$K$5:$K$79,MATCH($A9,'03 Productos'!$A$5:$A$79,0)))</x:f>
        <x:v>6</x:v>
      </x:c>
      <x:c r="L9" s="114" t="n">
        <x:f>IF($A9="","",IFERROR(($E9*INDEX('03 Productos'!$G$5:$G$79,MATCH($A9,'03 Productos'!$A$5:$A$79,0))+SUMIFS('04 Movimientos'!$K$5:$K$184,'04 Movimientos'!$C$5:$C$184,$A9,'04 Movimientos'!$B$5:$B$184,"Entrada"))/($E9+$F9),INDEX('03 Productos'!$G$5:$G$79,MATCH($A9,'03 Productos'!$A$5:$A$79,0))))</x:f>
        <x:v>1426</x:v>
      </x:c>
      <x:c r="M9" s="114" t="n">
        <x:f>IF($A9="","",$H9*$L9)</x:f>
        <x:v>14260</x:v>
      </x:c>
      <x:c r="N9" s="108" t="str">
        <x:f>IF($A9="","",IF($H9&lt;=0,"Sin stock",IF($H9&lt;=$I9,"Crítico",IF($H9&lt;=$K9,"Reordenar",IF($H9&gt;$J9,"Sobre stock","OK")))))</x:f>
        <x:v>OK</x:v>
      </x:c>
      <x:c r="O9" s="108" t="str">
        <x:f>IF($A9="","",IF($N9="Sin stock","Comprar de inmediato",IF($N9="Crítico","Reponer urgente",IF($N9="Reordenar","Programar compra",IF($N9="Sobre stock","Revisar exceso","Mantener")))))</x:f>
        <x:v>Mantener</x:v>
      </x:c>
    </x:row>
    <x:row r="10">
      <x:c r="A10" s="108" t="str">
        <x:f>IF('03 Productos'!A10="","",'03 Productos'!A10)</x:f>
        <x:v>SKU-006</x:v>
      </x:c>
      <x:c r="B10" s="108" t="str">
        <x:f>IF($A10="","",INDEX('03 Productos'!$B$5:$B$79,MATCH($A10,'03 Productos'!$A$5:$A$79,0)))</x:f>
        <x:v>Etiqueta adhesiva</x:v>
      </x:c>
      <x:c r="C10" s="108" t="str">
        <x:f>IF($A10="","",INDEX('03 Productos'!$C$5:$C$79,MATCH($A10,'03 Productos'!$A$5:$A$79,0)))</x:f>
        <x:v>Empaque</x:v>
      </x:c>
      <x:c r="D10" s="108" t="str">
        <x:f>IF($A10="","",INDEX('03 Productos'!$D$5:$D$79,MATCH($A10,'03 Productos'!$A$5:$A$79,0)))</x:f>
        <x:v>paquete</x:v>
      </x:c>
      <x:c r="E10" s="112" t="n">
        <x:f>IF($A10="","",INDEX('03 Productos'!$F$5:$F$79,MATCH($A10,'03 Productos'!$A$5:$A$79,0)))</x:f>
        <x:v>80</x:v>
      </x:c>
      <x:c r="F10" s="112" t="n">
        <x:f>IF($A10="","",SUMIFS('04 Movimientos'!$I$5:$I$184,'04 Movimientos'!$C$5:$C$184,$A10))</x:f>
        <x:v>80</x:v>
      </x:c>
      <x:c r="G10" s="112" t="n">
        <x:f>IF($A10="","",SUMIFS('04 Movimientos'!$J$5:$J$184,'04 Movimientos'!$C$5:$C$184,$A10))</x:f>
        <x:v>0</x:v>
      </x:c>
      <x:c r="H10" s="112" t="n">
        <x:f>IF($A10="","",$E10+$F10-$G10)</x:f>
        <x:v>160</x:v>
      </x:c>
      <x:c r="I10" s="112" t="n">
        <x:f>IF($A10="","",INDEX('03 Productos'!$H$5:$H$79,MATCH($A10,'03 Productos'!$A$5:$A$79,0)))</x:f>
        <x:v>25</x:v>
      </x:c>
      <x:c r="J10" s="112" t="n">
        <x:f>IF($A10="","",INDEX('03 Productos'!$I$5:$I$79,MATCH($A10,'03 Productos'!$A$5:$A$79,0)))</x:f>
        <x:v>200</x:v>
      </x:c>
      <x:c r="K10" s="112" t="n">
        <x:f>IF($A10="","",$I10+INDEX('03 Productos'!$J$5:$J$79,MATCH($A10,'03 Productos'!$A$5:$A$79,0))*INDEX('03 Productos'!$K$5:$K$79,MATCH($A10,'03 Productos'!$A$5:$A$79,0)))</x:f>
        <x:v>37</x:v>
      </x:c>
      <x:c r="L10" s="114" t="n">
        <x:f>IF($A10="","",IFERROR(($E10*INDEX('03 Productos'!$G$5:$G$79,MATCH($A10,'03 Productos'!$A$5:$A$79,0))+SUMIFS('04 Movimientos'!$K$5:$K$184,'04 Movimientos'!$C$5:$C$184,$A10,'04 Movimientos'!$B$5:$B$184,"Entrada"))/($E10+$F10),INDEX('03 Productos'!$G$5:$G$79,MATCH($A10,'03 Productos'!$A$5:$A$79,0))))</x:f>
        <x:v>93.5</x:v>
      </x:c>
      <x:c r="M10" s="114" t="n">
        <x:f>IF($A10="","",$H10*$L10)</x:f>
        <x:v>14960</x:v>
      </x:c>
      <x:c r="N10" s="108" t="str">
        <x:f>IF($A10="","",IF($H10&lt;=0,"Sin stock",IF($H10&lt;=$I10,"Crítico",IF($H10&lt;=$K10,"Reordenar",IF($H10&gt;$J10,"Sobre stock","OK")))))</x:f>
        <x:v>OK</x:v>
      </x:c>
      <x:c r="O10" s="108" t="str">
        <x:f>IF($A10="","",IF($N10="Sin stock","Comprar de inmediato",IF($N10="Crítico","Reponer urgente",IF($N10="Reordenar","Programar compra",IF($N10="Sobre stock","Revisar exceso","Mantener")))))</x:f>
        <x:v>Mantener</x:v>
      </x:c>
    </x:row>
    <x:row r="11">
      <x:c r="A11" s="108" t="str">
        <x:f>IF('03 Productos'!A11="","",'03 Productos'!A11)</x:f>
      </x:c>
      <x:c r="B11" s="108" t="str">
        <x:f>IF($A11="","",INDEX('03 Productos'!$B$5:$B$79,MATCH($A11,'03 Productos'!$A$5:$A$79,0)))</x:f>
      </x:c>
      <x:c r="C11" s="108" t="str">
        <x:f>IF($A11="","",INDEX('03 Productos'!$C$5:$C$79,MATCH($A11,'03 Productos'!$A$5:$A$79,0)))</x:f>
      </x:c>
      <x:c r="D11" s="108" t="str">
        <x:f>IF($A11="","",INDEX('03 Productos'!$D$5:$D$79,MATCH($A11,'03 Productos'!$A$5:$A$79,0)))</x:f>
      </x:c>
      <x:c r="E11" s="112" t="str">
        <x:f>IF($A11="","",INDEX('03 Productos'!$F$5:$F$79,MATCH($A11,'03 Productos'!$A$5:$A$79,0)))</x:f>
      </x:c>
      <x:c r="F11" s="112" t="str">
        <x:f>IF($A11="","",SUMIFS('04 Movimientos'!$I$5:$I$184,'04 Movimientos'!$C$5:$C$184,$A11))</x:f>
      </x:c>
      <x:c r="G11" s="112" t="str">
        <x:f>IF($A11="","",SUMIFS('04 Movimientos'!$J$5:$J$184,'04 Movimientos'!$C$5:$C$184,$A11))</x:f>
      </x:c>
      <x:c r="H11" s="112" t="str">
        <x:f>IF($A11="","",$E11+$F11-$G11)</x:f>
      </x:c>
      <x:c r="I11" s="112" t="str">
        <x:f>IF($A11="","",INDEX('03 Productos'!$H$5:$H$79,MATCH($A11,'03 Productos'!$A$5:$A$79,0)))</x:f>
      </x:c>
      <x:c r="J11" s="112" t="str">
        <x:f>IF($A11="","",INDEX('03 Productos'!$I$5:$I$79,MATCH($A11,'03 Productos'!$A$5:$A$79,0)))</x:f>
      </x:c>
      <x:c r="K11" s="112" t="str">
        <x:f>IF($A11="","",$I11+INDEX('03 Productos'!$J$5:$J$79,MATCH($A11,'03 Productos'!$A$5:$A$79,0))*INDEX('03 Productos'!$K$5:$K$79,MATCH($A11,'03 Productos'!$A$5:$A$79,0)))</x:f>
      </x:c>
      <x:c r="L11" s="114" t="str">
        <x:f>IF($A11="","",IFERROR(($E11*INDEX('03 Productos'!$G$5:$G$79,MATCH($A11,'03 Productos'!$A$5:$A$79,0))+SUMIFS('04 Movimientos'!$K$5:$K$184,'04 Movimientos'!$C$5:$C$184,$A11,'04 Movimientos'!$B$5:$B$184,"Entrada"))/($E11+$F11),INDEX('03 Productos'!$G$5:$G$79,MATCH($A11,'03 Productos'!$A$5:$A$79,0))))</x:f>
      </x:c>
      <x:c r="M11" s="114" t="str">
        <x:f>IF($A11="","",$H11*$L11)</x:f>
      </x:c>
      <x:c r="N11" s="108" t="str">
        <x:f>IF($A11="","",IF($H11&lt;=0,"Sin stock",IF($H11&lt;=$I11,"Crítico",IF($H11&lt;=$K11,"Reordenar",IF($H11&gt;$J11,"Sobre stock","OK")))))</x:f>
      </x:c>
      <x:c r="O11" s="108" t="str">
        <x:f>IF($A11="","",IF($N11="Sin stock","Comprar de inmediato",IF($N11="Crítico","Reponer urgente",IF($N11="Reordenar","Programar compra",IF($N11="Sobre stock","Revisar exceso","Mantener")))))</x:f>
      </x:c>
    </x:row>
    <x:row r="12">
      <x:c r="A12" s="108" t="str">
        <x:f>IF('03 Productos'!A12="","",'03 Productos'!A12)</x:f>
      </x:c>
      <x:c r="B12" s="108" t="str">
        <x:f>IF($A12="","",INDEX('03 Productos'!$B$5:$B$79,MATCH($A12,'03 Productos'!$A$5:$A$79,0)))</x:f>
      </x:c>
      <x:c r="C12" s="108" t="str">
        <x:f>IF($A12="","",INDEX('03 Productos'!$C$5:$C$79,MATCH($A12,'03 Productos'!$A$5:$A$79,0)))</x:f>
      </x:c>
      <x:c r="D12" s="108" t="str">
        <x:f>IF($A12="","",INDEX('03 Productos'!$D$5:$D$79,MATCH($A12,'03 Productos'!$A$5:$A$79,0)))</x:f>
      </x:c>
      <x:c r="E12" s="112" t="str">
        <x:f>IF($A12="","",INDEX('03 Productos'!$F$5:$F$79,MATCH($A12,'03 Productos'!$A$5:$A$79,0)))</x:f>
      </x:c>
      <x:c r="F12" s="112" t="str">
        <x:f>IF($A12="","",SUMIFS('04 Movimientos'!$I$5:$I$184,'04 Movimientos'!$C$5:$C$184,$A12))</x:f>
      </x:c>
      <x:c r="G12" s="112" t="str">
        <x:f>IF($A12="","",SUMIFS('04 Movimientos'!$J$5:$J$184,'04 Movimientos'!$C$5:$C$184,$A12))</x:f>
      </x:c>
      <x:c r="H12" s="112" t="str">
        <x:f>IF($A12="","",$E12+$F12-$G12)</x:f>
      </x:c>
      <x:c r="I12" s="112" t="str">
        <x:f>IF($A12="","",INDEX('03 Productos'!$H$5:$H$79,MATCH($A12,'03 Productos'!$A$5:$A$79,0)))</x:f>
      </x:c>
      <x:c r="J12" s="112" t="str">
        <x:f>IF($A12="","",INDEX('03 Productos'!$I$5:$I$79,MATCH($A12,'03 Productos'!$A$5:$A$79,0)))</x:f>
      </x:c>
      <x:c r="K12" s="112" t="str">
        <x:f>IF($A12="","",$I12+INDEX('03 Productos'!$J$5:$J$79,MATCH($A12,'03 Productos'!$A$5:$A$79,0))*INDEX('03 Productos'!$K$5:$K$79,MATCH($A12,'03 Productos'!$A$5:$A$79,0)))</x:f>
      </x:c>
      <x:c r="L12" s="114" t="str">
        <x:f>IF($A12="","",IFERROR(($E12*INDEX('03 Productos'!$G$5:$G$79,MATCH($A12,'03 Productos'!$A$5:$A$79,0))+SUMIFS('04 Movimientos'!$K$5:$K$184,'04 Movimientos'!$C$5:$C$184,$A12,'04 Movimientos'!$B$5:$B$184,"Entrada"))/($E12+$F12),INDEX('03 Productos'!$G$5:$G$79,MATCH($A12,'03 Productos'!$A$5:$A$79,0))))</x:f>
      </x:c>
      <x:c r="M12" s="114" t="str">
        <x:f>IF($A12="","",$H12*$L12)</x:f>
      </x:c>
      <x:c r="N12" s="108" t="str">
        <x:f>IF($A12="","",IF($H12&lt;=0,"Sin stock",IF($H12&lt;=$I12,"Crítico",IF($H12&lt;=$K12,"Reordenar",IF($H12&gt;$J12,"Sobre stock","OK")))))</x:f>
      </x:c>
      <x:c r="O12" s="108" t="str">
        <x:f>IF($A12="","",IF($N12="Sin stock","Comprar de inmediato",IF($N12="Crítico","Reponer urgente",IF($N12="Reordenar","Programar compra",IF($N12="Sobre stock","Revisar exceso","Mantener")))))</x:f>
      </x:c>
    </x:row>
    <x:row r="13">
      <x:c r="A13" s="108" t="str">
        <x:f>IF('03 Productos'!A13="","",'03 Productos'!A13)</x:f>
      </x:c>
      <x:c r="B13" s="108" t="str">
        <x:f>IF($A13="","",INDEX('03 Productos'!$B$5:$B$79,MATCH($A13,'03 Productos'!$A$5:$A$79,0)))</x:f>
      </x:c>
      <x:c r="C13" s="108" t="str">
        <x:f>IF($A13="","",INDEX('03 Productos'!$C$5:$C$79,MATCH($A13,'03 Productos'!$A$5:$A$79,0)))</x:f>
      </x:c>
      <x:c r="D13" s="108" t="str">
        <x:f>IF($A13="","",INDEX('03 Productos'!$D$5:$D$79,MATCH($A13,'03 Productos'!$A$5:$A$79,0)))</x:f>
      </x:c>
      <x:c r="E13" s="112" t="str">
        <x:f>IF($A13="","",INDEX('03 Productos'!$F$5:$F$79,MATCH($A13,'03 Productos'!$A$5:$A$79,0)))</x:f>
      </x:c>
      <x:c r="F13" s="112" t="str">
        <x:f>IF($A13="","",SUMIFS('04 Movimientos'!$I$5:$I$184,'04 Movimientos'!$C$5:$C$184,$A13))</x:f>
      </x:c>
      <x:c r="G13" s="112" t="str">
        <x:f>IF($A13="","",SUMIFS('04 Movimientos'!$J$5:$J$184,'04 Movimientos'!$C$5:$C$184,$A13))</x:f>
      </x:c>
      <x:c r="H13" s="112" t="str">
        <x:f>IF($A13="","",$E13+$F13-$G13)</x:f>
      </x:c>
      <x:c r="I13" s="112" t="str">
        <x:f>IF($A13="","",INDEX('03 Productos'!$H$5:$H$79,MATCH($A13,'03 Productos'!$A$5:$A$79,0)))</x:f>
      </x:c>
      <x:c r="J13" s="112" t="str">
        <x:f>IF($A13="","",INDEX('03 Productos'!$I$5:$I$79,MATCH($A13,'03 Productos'!$A$5:$A$79,0)))</x:f>
      </x:c>
      <x:c r="K13" s="112" t="str">
        <x:f>IF($A13="","",$I13+INDEX('03 Productos'!$J$5:$J$79,MATCH($A13,'03 Productos'!$A$5:$A$79,0))*INDEX('03 Productos'!$K$5:$K$79,MATCH($A13,'03 Productos'!$A$5:$A$79,0)))</x:f>
      </x:c>
      <x:c r="L13" s="114" t="str">
        <x:f>IF($A13="","",IFERROR(($E13*INDEX('03 Productos'!$G$5:$G$79,MATCH($A13,'03 Productos'!$A$5:$A$79,0))+SUMIFS('04 Movimientos'!$K$5:$K$184,'04 Movimientos'!$C$5:$C$184,$A13,'04 Movimientos'!$B$5:$B$184,"Entrada"))/($E13+$F13),INDEX('03 Productos'!$G$5:$G$79,MATCH($A13,'03 Productos'!$A$5:$A$79,0))))</x:f>
      </x:c>
      <x:c r="M13" s="114" t="str">
        <x:f>IF($A13="","",$H13*$L13)</x:f>
      </x:c>
      <x:c r="N13" s="108" t="str">
        <x:f>IF($A13="","",IF($H13&lt;=0,"Sin stock",IF($H13&lt;=$I13,"Crítico",IF($H13&lt;=$K13,"Reordenar",IF($H13&gt;$J13,"Sobre stock","OK")))))</x:f>
      </x:c>
      <x:c r="O13" s="108" t="str">
        <x:f>IF($A13="","",IF($N13="Sin stock","Comprar de inmediato",IF($N13="Crítico","Reponer urgente",IF($N13="Reordenar","Programar compra",IF($N13="Sobre stock","Revisar exceso","Mantener")))))</x:f>
      </x:c>
    </x:row>
    <x:row r="14">
      <x:c r="A14" s="108" t="str">
        <x:f>IF('03 Productos'!A14="","",'03 Productos'!A14)</x:f>
      </x:c>
      <x:c r="B14" s="108" t="str">
        <x:f>IF($A14="","",INDEX('03 Productos'!$B$5:$B$79,MATCH($A14,'03 Productos'!$A$5:$A$79,0)))</x:f>
      </x:c>
      <x:c r="C14" s="108" t="str">
        <x:f>IF($A14="","",INDEX('03 Productos'!$C$5:$C$79,MATCH($A14,'03 Productos'!$A$5:$A$79,0)))</x:f>
      </x:c>
      <x:c r="D14" s="108" t="str">
        <x:f>IF($A14="","",INDEX('03 Productos'!$D$5:$D$79,MATCH($A14,'03 Productos'!$A$5:$A$79,0)))</x:f>
      </x:c>
      <x:c r="E14" s="112" t="str">
        <x:f>IF($A14="","",INDEX('03 Productos'!$F$5:$F$79,MATCH($A14,'03 Productos'!$A$5:$A$79,0)))</x:f>
      </x:c>
      <x:c r="F14" s="112" t="str">
        <x:f>IF($A14="","",SUMIFS('04 Movimientos'!$I$5:$I$184,'04 Movimientos'!$C$5:$C$184,$A14))</x:f>
      </x:c>
      <x:c r="G14" s="112" t="str">
        <x:f>IF($A14="","",SUMIFS('04 Movimientos'!$J$5:$J$184,'04 Movimientos'!$C$5:$C$184,$A14))</x:f>
      </x:c>
      <x:c r="H14" s="112" t="str">
        <x:f>IF($A14="","",$E14+$F14-$G14)</x:f>
      </x:c>
      <x:c r="I14" s="112" t="str">
        <x:f>IF($A14="","",INDEX('03 Productos'!$H$5:$H$79,MATCH($A14,'03 Productos'!$A$5:$A$79,0)))</x:f>
      </x:c>
      <x:c r="J14" s="112" t="str">
        <x:f>IF($A14="","",INDEX('03 Productos'!$I$5:$I$79,MATCH($A14,'03 Productos'!$A$5:$A$79,0)))</x:f>
      </x:c>
      <x:c r="K14" s="112" t="str">
        <x:f>IF($A14="","",$I14+INDEX('03 Productos'!$J$5:$J$79,MATCH($A14,'03 Productos'!$A$5:$A$79,0))*INDEX('03 Productos'!$K$5:$K$79,MATCH($A14,'03 Productos'!$A$5:$A$79,0)))</x:f>
      </x:c>
      <x:c r="L14" s="114" t="str">
        <x:f>IF($A14="","",IFERROR(($E14*INDEX('03 Productos'!$G$5:$G$79,MATCH($A14,'03 Productos'!$A$5:$A$79,0))+SUMIFS('04 Movimientos'!$K$5:$K$184,'04 Movimientos'!$C$5:$C$184,$A14,'04 Movimientos'!$B$5:$B$184,"Entrada"))/($E14+$F14),INDEX('03 Productos'!$G$5:$G$79,MATCH($A14,'03 Productos'!$A$5:$A$79,0))))</x:f>
      </x:c>
      <x:c r="M14" s="114" t="str">
        <x:f>IF($A14="","",$H14*$L14)</x:f>
      </x:c>
      <x:c r="N14" s="108" t="str">
        <x:f>IF($A14="","",IF($H14&lt;=0,"Sin stock",IF($H14&lt;=$I14,"Crítico",IF($H14&lt;=$K14,"Reordenar",IF($H14&gt;$J14,"Sobre stock","OK")))))</x:f>
      </x:c>
      <x:c r="O14" s="108" t="str">
        <x:f>IF($A14="","",IF($N14="Sin stock","Comprar de inmediato",IF($N14="Crítico","Reponer urgente",IF($N14="Reordenar","Programar compra",IF($N14="Sobre stock","Revisar exceso","Mantener")))))</x:f>
      </x:c>
    </x:row>
    <x:row r="15">
      <x:c r="A15" s="108" t="str">
        <x:f>IF('03 Productos'!A15="","",'03 Productos'!A15)</x:f>
      </x:c>
      <x:c r="B15" s="108" t="str">
        <x:f>IF($A15="","",INDEX('03 Productos'!$B$5:$B$79,MATCH($A15,'03 Productos'!$A$5:$A$79,0)))</x:f>
      </x:c>
      <x:c r="C15" s="108" t="str">
        <x:f>IF($A15="","",INDEX('03 Productos'!$C$5:$C$79,MATCH($A15,'03 Productos'!$A$5:$A$79,0)))</x:f>
      </x:c>
      <x:c r="D15" s="108" t="str">
        <x:f>IF($A15="","",INDEX('03 Productos'!$D$5:$D$79,MATCH($A15,'03 Productos'!$A$5:$A$79,0)))</x:f>
      </x:c>
      <x:c r="E15" s="112" t="str">
        <x:f>IF($A15="","",INDEX('03 Productos'!$F$5:$F$79,MATCH($A15,'03 Productos'!$A$5:$A$79,0)))</x:f>
      </x:c>
      <x:c r="F15" s="112" t="str">
        <x:f>IF($A15="","",SUMIFS('04 Movimientos'!$I$5:$I$184,'04 Movimientos'!$C$5:$C$184,$A15))</x:f>
      </x:c>
      <x:c r="G15" s="112" t="str">
        <x:f>IF($A15="","",SUMIFS('04 Movimientos'!$J$5:$J$184,'04 Movimientos'!$C$5:$C$184,$A15))</x:f>
      </x:c>
      <x:c r="H15" s="112" t="str">
        <x:f>IF($A15="","",$E15+$F15-$G15)</x:f>
      </x:c>
      <x:c r="I15" s="112" t="str">
        <x:f>IF($A15="","",INDEX('03 Productos'!$H$5:$H$79,MATCH($A15,'03 Productos'!$A$5:$A$79,0)))</x:f>
      </x:c>
      <x:c r="J15" s="112" t="str">
        <x:f>IF($A15="","",INDEX('03 Productos'!$I$5:$I$79,MATCH($A15,'03 Productos'!$A$5:$A$79,0)))</x:f>
      </x:c>
      <x:c r="K15" s="112" t="str">
        <x:f>IF($A15="","",$I15+INDEX('03 Productos'!$J$5:$J$79,MATCH($A15,'03 Productos'!$A$5:$A$79,0))*INDEX('03 Productos'!$K$5:$K$79,MATCH($A15,'03 Productos'!$A$5:$A$79,0)))</x:f>
      </x:c>
      <x:c r="L15" s="114" t="str">
        <x:f>IF($A15="","",IFERROR(($E15*INDEX('03 Productos'!$G$5:$G$79,MATCH($A15,'03 Productos'!$A$5:$A$79,0))+SUMIFS('04 Movimientos'!$K$5:$K$184,'04 Movimientos'!$C$5:$C$184,$A15,'04 Movimientos'!$B$5:$B$184,"Entrada"))/($E15+$F15),INDEX('03 Productos'!$G$5:$G$79,MATCH($A15,'03 Productos'!$A$5:$A$79,0))))</x:f>
      </x:c>
      <x:c r="M15" s="114" t="str">
        <x:f>IF($A15="","",$H15*$L15)</x:f>
      </x:c>
      <x:c r="N15" s="108" t="str">
        <x:f>IF($A15="","",IF($H15&lt;=0,"Sin stock",IF($H15&lt;=$I15,"Crítico",IF($H15&lt;=$K15,"Reordenar",IF($H15&gt;$J15,"Sobre stock","OK")))))</x:f>
      </x:c>
      <x:c r="O15" s="108" t="str">
        <x:f>IF($A15="","",IF($N15="Sin stock","Comprar de inmediato",IF($N15="Crítico","Reponer urgente",IF($N15="Reordenar","Programar compra",IF($N15="Sobre stock","Revisar exceso","Mantener")))))</x:f>
      </x:c>
    </x:row>
    <x:row r="16">
      <x:c r="A16" s="108" t="str">
        <x:f>IF('03 Productos'!A16="","",'03 Productos'!A16)</x:f>
      </x:c>
      <x:c r="B16" s="108" t="str">
        <x:f>IF($A16="","",INDEX('03 Productos'!$B$5:$B$79,MATCH($A16,'03 Productos'!$A$5:$A$79,0)))</x:f>
      </x:c>
      <x:c r="C16" s="108" t="str">
        <x:f>IF($A16="","",INDEX('03 Productos'!$C$5:$C$79,MATCH($A16,'03 Productos'!$A$5:$A$79,0)))</x:f>
      </x:c>
      <x:c r="D16" s="108" t="str">
        <x:f>IF($A16="","",INDEX('03 Productos'!$D$5:$D$79,MATCH($A16,'03 Productos'!$A$5:$A$79,0)))</x:f>
      </x:c>
      <x:c r="E16" s="112" t="str">
        <x:f>IF($A16="","",INDEX('03 Productos'!$F$5:$F$79,MATCH($A16,'03 Productos'!$A$5:$A$79,0)))</x:f>
      </x:c>
      <x:c r="F16" s="112" t="str">
        <x:f>IF($A16="","",SUMIFS('04 Movimientos'!$I$5:$I$184,'04 Movimientos'!$C$5:$C$184,$A16))</x:f>
      </x:c>
      <x:c r="G16" s="112" t="str">
        <x:f>IF($A16="","",SUMIFS('04 Movimientos'!$J$5:$J$184,'04 Movimientos'!$C$5:$C$184,$A16))</x:f>
      </x:c>
      <x:c r="H16" s="112" t="str">
        <x:f>IF($A16="","",$E16+$F16-$G16)</x:f>
      </x:c>
      <x:c r="I16" s="112" t="str">
        <x:f>IF($A16="","",INDEX('03 Productos'!$H$5:$H$79,MATCH($A16,'03 Productos'!$A$5:$A$79,0)))</x:f>
      </x:c>
      <x:c r="J16" s="112" t="str">
        <x:f>IF($A16="","",INDEX('03 Productos'!$I$5:$I$79,MATCH($A16,'03 Productos'!$A$5:$A$79,0)))</x:f>
      </x:c>
      <x:c r="K16" s="112" t="str">
        <x:f>IF($A16="","",$I16+INDEX('03 Productos'!$J$5:$J$79,MATCH($A16,'03 Productos'!$A$5:$A$79,0))*INDEX('03 Productos'!$K$5:$K$79,MATCH($A16,'03 Productos'!$A$5:$A$79,0)))</x:f>
      </x:c>
      <x:c r="L16" s="114" t="str">
        <x:f>IF($A16="","",IFERROR(($E16*INDEX('03 Productos'!$G$5:$G$79,MATCH($A16,'03 Productos'!$A$5:$A$79,0))+SUMIFS('04 Movimientos'!$K$5:$K$184,'04 Movimientos'!$C$5:$C$184,$A16,'04 Movimientos'!$B$5:$B$184,"Entrada"))/($E16+$F16),INDEX('03 Productos'!$G$5:$G$79,MATCH($A16,'03 Productos'!$A$5:$A$79,0))))</x:f>
      </x:c>
      <x:c r="M16" s="114" t="str">
        <x:f>IF($A16="","",$H16*$L16)</x:f>
      </x:c>
      <x:c r="N16" s="108" t="str">
        <x:f>IF($A16="","",IF($H16&lt;=0,"Sin stock",IF($H16&lt;=$I16,"Crítico",IF($H16&lt;=$K16,"Reordenar",IF($H16&gt;$J16,"Sobre stock","OK")))))</x:f>
      </x:c>
      <x:c r="O16" s="108" t="str">
        <x:f>IF($A16="","",IF($N16="Sin stock","Comprar de inmediato",IF($N16="Crítico","Reponer urgente",IF($N16="Reordenar","Programar compra",IF($N16="Sobre stock","Revisar exceso","Mantener")))))</x:f>
      </x:c>
    </x:row>
    <x:row r="17">
      <x:c r="A17" s="108" t="str">
        <x:f>IF('03 Productos'!A17="","",'03 Productos'!A17)</x:f>
      </x:c>
      <x:c r="B17" s="108" t="str">
        <x:f>IF($A17="","",INDEX('03 Productos'!$B$5:$B$79,MATCH($A17,'03 Productos'!$A$5:$A$79,0)))</x:f>
      </x:c>
      <x:c r="C17" s="108" t="str">
        <x:f>IF($A17="","",INDEX('03 Productos'!$C$5:$C$79,MATCH($A17,'03 Productos'!$A$5:$A$79,0)))</x:f>
      </x:c>
      <x:c r="D17" s="108" t="str">
        <x:f>IF($A17="","",INDEX('03 Productos'!$D$5:$D$79,MATCH($A17,'03 Productos'!$A$5:$A$79,0)))</x:f>
      </x:c>
      <x:c r="E17" s="112" t="str">
        <x:f>IF($A17="","",INDEX('03 Productos'!$F$5:$F$79,MATCH($A17,'03 Productos'!$A$5:$A$79,0)))</x:f>
      </x:c>
      <x:c r="F17" s="112" t="str">
        <x:f>IF($A17="","",SUMIFS('04 Movimientos'!$I$5:$I$184,'04 Movimientos'!$C$5:$C$184,$A17))</x:f>
      </x:c>
      <x:c r="G17" s="112" t="str">
        <x:f>IF($A17="","",SUMIFS('04 Movimientos'!$J$5:$J$184,'04 Movimientos'!$C$5:$C$184,$A17))</x:f>
      </x:c>
      <x:c r="H17" s="112" t="str">
        <x:f>IF($A17="","",$E17+$F17-$G17)</x:f>
      </x:c>
      <x:c r="I17" s="112" t="str">
        <x:f>IF($A17="","",INDEX('03 Productos'!$H$5:$H$79,MATCH($A17,'03 Productos'!$A$5:$A$79,0)))</x:f>
      </x:c>
      <x:c r="J17" s="112" t="str">
        <x:f>IF($A17="","",INDEX('03 Productos'!$I$5:$I$79,MATCH($A17,'03 Productos'!$A$5:$A$79,0)))</x:f>
      </x:c>
      <x:c r="K17" s="112" t="str">
        <x:f>IF($A17="","",$I17+INDEX('03 Productos'!$J$5:$J$79,MATCH($A17,'03 Productos'!$A$5:$A$79,0))*INDEX('03 Productos'!$K$5:$K$79,MATCH($A17,'03 Productos'!$A$5:$A$79,0)))</x:f>
      </x:c>
      <x:c r="L17" s="114" t="str">
        <x:f>IF($A17="","",IFERROR(($E17*INDEX('03 Productos'!$G$5:$G$79,MATCH($A17,'03 Productos'!$A$5:$A$79,0))+SUMIFS('04 Movimientos'!$K$5:$K$184,'04 Movimientos'!$C$5:$C$184,$A17,'04 Movimientos'!$B$5:$B$184,"Entrada"))/($E17+$F17),INDEX('03 Productos'!$G$5:$G$79,MATCH($A17,'03 Productos'!$A$5:$A$79,0))))</x:f>
      </x:c>
      <x:c r="M17" s="114" t="str">
        <x:f>IF($A17="","",$H17*$L17)</x:f>
      </x:c>
      <x:c r="N17" s="108" t="str">
        <x:f>IF($A17="","",IF($H17&lt;=0,"Sin stock",IF($H17&lt;=$I17,"Crítico",IF($H17&lt;=$K17,"Reordenar",IF($H17&gt;$J17,"Sobre stock","OK")))))</x:f>
      </x:c>
      <x:c r="O17" s="108" t="str">
        <x:f>IF($A17="","",IF($N17="Sin stock","Comprar de inmediato",IF($N17="Crítico","Reponer urgente",IF($N17="Reordenar","Programar compra",IF($N17="Sobre stock","Revisar exceso","Mantener")))))</x:f>
      </x:c>
    </x:row>
    <x:row r="18">
      <x:c r="A18" s="108" t="str">
        <x:f>IF('03 Productos'!A18="","",'03 Productos'!A18)</x:f>
      </x:c>
      <x:c r="B18" s="108" t="str">
        <x:f>IF($A18="","",INDEX('03 Productos'!$B$5:$B$79,MATCH($A18,'03 Productos'!$A$5:$A$79,0)))</x:f>
      </x:c>
      <x:c r="C18" s="108" t="str">
        <x:f>IF($A18="","",INDEX('03 Productos'!$C$5:$C$79,MATCH($A18,'03 Productos'!$A$5:$A$79,0)))</x:f>
      </x:c>
      <x:c r="D18" s="108" t="str">
        <x:f>IF($A18="","",INDEX('03 Productos'!$D$5:$D$79,MATCH($A18,'03 Productos'!$A$5:$A$79,0)))</x:f>
      </x:c>
      <x:c r="E18" s="112" t="str">
        <x:f>IF($A18="","",INDEX('03 Productos'!$F$5:$F$79,MATCH($A18,'03 Productos'!$A$5:$A$79,0)))</x:f>
      </x:c>
      <x:c r="F18" s="112" t="str">
        <x:f>IF($A18="","",SUMIFS('04 Movimientos'!$I$5:$I$184,'04 Movimientos'!$C$5:$C$184,$A18))</x:f>
      </x:c>
      <x:c r="G18" s="112" t="str">
        <x:f>IF($A18="","",SUMIFS('04 Movimientos'!$J$5:$J$184,'04 Movimientos'!$C$5:$C$184,$A18))</x:f>
      </x:c>
      <x:c r="H18" s="112" t="str">
        <x:f>IF($A18="","",$E18+$F18-$G18)</x:f>
      </x:c>
      <x:c r="I18" s="112" t="str">
        <x:f>IF($A18="","",INDEX('03 Productos'!$H$5:$H$79,MATCH($A18,'03 Productos'!$A$5:$A$79,0)))</x:f>
      </x:c>
      <x:c r="J18" s="112" t="str">
        <x:f>IF($A18="","",INDEX('03 Productos'!$I$5:$I$79,MATCH($A18,'03 Productos'!$A$5:$A$79,0)))</x:f>
      </x:c>
      <x:c r="K18" s="112" t="str">
        <x:f>IF($A18="","",$I18+INDEX('03 Productos'!$J$5:$J$79,MATCH($A18,'03 Productos'!$A$5:$A$79,0))*INDEX('03 Productos'!$K$5:$K$79,MATCH($A18,'03 Productos'!$A$5:$A$79,0)))</x:f>
      </x:c>
      <x:c r="L18" s="114" t="str">
        <x:f>IF($A18="","",IFERROR(($E18*INDEX('03 Productos'!$G$5:$G$79,MATCH($A18,'03 Productos'!$A$5:$A$79,0))+SUMIFS('04 Movimientos'!$K$5:$K$184,'04 Movimientos'!$C$5:$C$184,$A18,'04 Movimientos'!$B$5:$B$184,"Entrada"))/($E18+$F18),INDEX('03 Productos'!$G$5:$G$79,MATCH($A18,'03 Productos'!$A$5:$A$79,0))))</x:f>
      </x:c>
      <x:c r="M18" s="114" t="str">
        <x:f>IF($A18="","",$H18*$L18)</x:f>
      </x:c>
      <x:c r="N18" s="108" t="str">
        <x:f>IF($A18="","",IF($H18&lt;=0,"Sin stock",IF($H18&lt;=$I18,"Crítico",IF($H18&lt;=$K18,"Reordenar",IF($H18&gt;$J18,"Sobre stock","OK")))))</x:f>
      </x:c>
      <x:c r="O18" s="108" t="str">
        <x:f>IF($A18="","",IF($N18="Sin stock","Comprar de inmediato",IF($N18="Crítico","Reponer urgente",IF($N18="Reordenar","Programar compra",IF($N18="Sobre stock","Revisar exceso","Mantener")))))</x:f>
      </x:c>
    </x:row>
    <x:row r="19">
      <x:c r="A19" s="108" t="str">
        <x:f>IF('03 Productos'!A19="","",'03 Productos'!A19)</x:f>
      </x:c>
      <x:c r="B19" s="108" t="str">
        <x:f>IF($A19="","",INDEX('03 Productos'!$B$5:$B$79,MATCH($A19,'03 Productos'!$A$5:$A$79,0)))</x:f>
      </x:c>
      <x:c r="C19" s="108" t="str">
        <x:f>IF($A19="","",INDEX('03 Productos'!$C$5:$C$79,MATCH($A19,'03 Productos'!$A$5:$A$79,0)))</x:f>
      </x:c>
      <x:c r="D19" s="108" t="str">
        <x:f>IF($A19="","",INDEX('03 Productos'!$D$5:$D$79,MATCH($A19,'03 Productos'!$A$5:$A$79,0)))</x:f>
      </x:c>
      <x:c r="E19" s="112" t="str">
        <x:f>IF($A19="","",INDEX('03 Productos'!$F$5:$F$79,MATCH($A19,'03 Productos'!$A$5:$A$79,0)))</x:f>
      </x:c>
      <x:c r="F19" s="112" t="str">
        <x:f>IF($A19="","",SUMIFS('04 Movimientos'!$I$5:$I$184,'04 Movimientos'!$C$5:$C$184,$A19))</x:f>
      </x:c>
      <x:c r="G19" s="112" t="str">
        <x:f>IF($A19="","",SUMIFS('04 Movimientos'!$J$5:$J$184,'04 Movimientos'!$C$5:$C$184,$A19))</x:f>
      </x:c>
      <x:c r="H19" s="112" t="str">
        <x:f>IF($A19="","",$E19+$F19-$G19)</x:f>
      </x:c>
      <x:c r="I19" s="112" t="str">
        <x:f>IF($A19="","",INDEX('03 Productos'!$H$5:$H$79,MATCH($A19,'03 Productos'!$A$5:$A$79,0)))</x:f>
      </x:c>
      <x:c r="J19" s="112" t="str">
        <x:f>IF($A19="","",INDEX('03 Productos'!$I$5:$I$79,MATCH($A19,'03 Productos'!$A$5:$A$79,0)))</x:f>
      </x:c>
      <x:c r="K19" s="112" t="str">
        <x:f>IF($A19="","",$I19+INDEX('03 Productos'!$J$5:$J$79,MATCH($A19,'03 Productos'!$A$5:$A$79,0))*INDEX('03 Productos'!$K$5:$K$79,MATCH($A19,'03 Productos'!$A$5:$A$79,0)))</x:f>
      </x:c>
      <x:c r="L19" s="114" t="str">
        <x:f>IF($A19="","",IFERROR(($E19*INDEX('03 Productos'!$G$5:$G$79,MATCH($A19,'03 Productos'!$A$5:$A$79,0))+SUMIFS('04 Movimientos'!$K$5:$K$184,'04 Movimientos'!$C$5:$C$184,$A19,'04 Movimientos'!$B$5:$B$184,"Entrada"))/($E19+$F19),INDEX('03 Productos'!$G$5:$G$79,MATCH($A19,'03 Productos'!$A$5:$A$79,0))))</x:f>
      </x:c>
      <x:c r="M19" s="114" t="str">
        <x:f>IF($A19="","",$H19*$L19)</x:f>
      </x:c>
      <x:c r="N19" s="108" t="str">
        <x:f>IF($A19="","",IF($H19&lt;=0,"Sin stock",IF($H19&lt;=$I19,"Crítico",IF($H19&lt;=$K19,"Reordenar",IF($H19&gt;$J19,"Sobre stock","OK")))))</x:f>
      </x:c>
      <x:c r="O19" s="108" t="str">
        <x:f>IF($A19="","",IF($N19="Sin stock","Comprar de inmediato",IF($N19="Crítico","Reponer urgente",IF($N19="Reordenar","Programar compra",IF($N19="Sobre stock","Revisar exceso","Mantener")))))</x:f>
      </x:c>
    </x:row>
    <x:row r="20">
      <x:c r="A20" s="108" t="str">
        <x:f>IF('03 Productos'!A20="","",'03 Productos'!A20)</x:f>
      </x:c>
      <x:c r="B20" s="108" t="str">
        <x:f>IF($A20="","",INDEX('03 Productos'!$B$5:$B$79,MATCH($A20,'03 Productos'!$A$5:$A$79,0)))</x:f>
      </x:c>
      <x:c r="C20" s="108" t="str">
        <x:f>IF($A20="","",INDEX('03 Productos'!$C$5:$C$79,MATCH($A20,'03 Productos'!$A$5:$A$79,0)))</x:f>
      </x:c>
      <x:c r="D20" s="108" t="str">
        <x:f>IF($A20="","",INDEX('03 Productos'!$D$5:$D$79,MATCH($A20,'03 Productos'!$A$5:$A$79,0)))</x:f>
      </x:c>
      <x:c r="E20" s="112" t="str">
        <x:f>IF($A20="","",INDEX('03 Productos'!$F$5:$F$79,MATCH($A20,'03 Productos'!$A$5:$A$79,0)))</x:f>
      </x:c>
      <x:c r="F20" s="112" t="str">
        <x:f>IF($A20="","",SUMIFS('04 Movimientos'!$I$5:$I$184,'04 Movimientos'!$C$5:$C$184,$A20))</x:f>
      </x:c>
      <x:c r="G20" s="112" t="str">
        <x:f>IF($A20="","",SUMIFS('04 Movimientos'!$J$5:$J$184,'04 Movimientos'!$C$5:$C$184,$A20))</x:f>
      </x:c>
      <x:c r="H20" s="112" t="str">
        <x:f>IF($A20="","",$E20+$F20-$G20)</x:f>
      </x:c>
      <x:c r="I20" s="112" t="str">
        <x:f>IF($A20="","",INDEX('03 Productos'!$H$5:$H$79,MATCH($A20,'03 Productos'!$A$5:$A$79,0)))</x:f>
      </x:c>
      <x:c r="J20" s="112" t="str">
        <x:f>IF($A20="","",INDEX('03 Productos'!$I$5:$I$79,MATCH($A20,'03 Productos'!$A$5:$A$79,0)))</x:f>
      </x:c>
      <x:c r="K20" s="112" t="str">
        <x:f>IF($A20="","",$I20+INDEX('03 Productos'!$J$5:$J$79,MATCH($A20,'03 Productos'!$A$5:$A$79,0))*INDEX('03 Productos'!$K$5:$K$79,MATCH($A20,'03 Productos'!$A$5:$A$79,0)))</x:f>
      </x:c>
      <x:c r="L20" s="114" t="str">
        <x:f>IF($A20="","",IFERROR(($E20*INDEX('03 Productos'!$G$5:$G$79,MATCH($A20,'03 Productos'!$A$5:$A$79,0))+SUMIFS('04 Movimientos'!$K$5:$K$184,'04 Movimientos'!$C$5:$C$184,$A20,'04 Movimientos'!$B$5:$B$184,"Entrada"))/($E20+$F20),INDEX('03 Productos'!$G$5:$G$79,MATCH($A20,'03 Productos'!$A$5:$A$79,0))))</x:f>
      </x:c>
      <x:c r="M20" s="114" t="str">
        <x:f>IF($A20="","",$H20*$L20)</x:f>
      </x:c>
      <x:c r="N20" s="108" t="str">
        <x:f>IF($A20="","",IF($H20&lt;=0,"Sin stock",IF($H20&lt;=$I20,"Crítico",IF($H20&lt;=$K20,"Reordenar",IF($H20&gt;$J20,"Sobre stock","OK")))))</x:f>
      </x:c>
      <x:c r="O20" s="108" t="str">
        <x:f>IF($A20="","",IF($N20="Sin stock","Comprar de inmediato",IF($N20="Crítico","Reponer urgente",IF($N20="Reordenar","Programar compra",IF($N20="Sobre stock","Revisar exceso","Mantener")))))</x:f>
      </x:c>
    </x:row>
    <x:row r="21">
      <x:c r="A21" s="108" t="str">
        <x:f>IF('03 Productos'!A21="","",'03 Productos'!A21)</x:f>
      </x:c>
      <x:c r="B21" s="108" t="str">
        <x:f>IF($A21="","",INDEX('03 Productos'!$B$5:$B$79,MATCH($A21,'03 Productos'!$A$5:$A$79,0)))</x:f>
      </x:c>
      <x:c r="C21" s="108" t="str">
        <x:f>IF($A21="","",INDEX('03 Productos'!$C$5:$C$79,MATCH($A21,'03 Productos'!$A$5:$A$79,0)))</x:f>
      </x:c>
      <x:c r="D21" s="108" t="str">
        <x:f>IF($A21="","",INDEX('03 Productos'!$D$5:$D$79,MATCH($A21,'03 Productos'!$A$5:$A$79,0)))</x:f>
      </x:c>
      <x:c r="E21" s="112" t="str">
        <x:f>IF($A21="","",INDEX('03 Productos'!$F$5:$F$79,MATCH($A21,'03 Productos'!$A$5:$A$79,0)))</x:f>
      </x:c>
      <x:c r="F21" s="112" t="str">
        <x:f>IF($A21="","",SUMIFS('04 Movimientos'!$I$5:$I$184,'04 Movimientos'!$C$5:$C$184,$A21))</x:f>
      </x:c>
      <x:c r="G21" s="112" t="str">
        <x:f>IF($A21="","",SUMIFS('04 Movimientos'!$J$5:$J$184,'04 Movimientos'!$C$5:$C$184,$A21))</x:f>
      </x:c>
      <x:c r="H21" s="112" t="str">
        <x:f>IF($A21="","",$E21+$F21-$G21)</x:f>
      </x:c>
      <x:c r="I21" s="112" t="str">
        <x:f>IF($A21="","",INDEX('03 Productos'!$H$5:$H$79,MATCH($A21,'03 Productos'!$A$5:$A$79,0)))</x:f>
      </x:c>
      <x:c r="J21" s="112" t="str">
        <x:f>IF($A21="","",INDEX('03 Productos'!$I$5:$I$79,MATCH($A21,'03 Productos'!$A$5:$A$79,0)))</x:f>
      </x:c>
      <x:c r="K21" s="112" t="str">
        <x:f>IF($A21="","",$I21+INDEX('03 Productos'!$J$5:$J$79,MATCH($A21,'03 Productos'!$A$5:$A$79,0))*INDEX('03 Productos'!$K$5:$K$79,MATCH($A21,'03 Productos'!$A$5:$A$79,0)))</x:f>
      </x:c>
      <x:c r="L21" s="114" t="str">
        <x:f>IF($A21="","",IFERROR(($E21*INDEX('03 Productos'!$G$5:$G$79,MATCH($A21,'03 Productos'!$A$5:$A$79,0))+SUMIFS('04 Movimientos'!$K$5:$K$184,'04 Movimientos'!$C$5:$C$184,$A21,'04 Movimientos'!$B$5:$B$184,"Entrada"))/($E21+$F21),INDEX('03 Productos'!$G$5:$G$79,MATCH($A21,'03 Productos'!$A$5:$A$79,0))))</x:f>
      </x:c>
      <x:c r="M21" s="114" t="str">
        <x:f>IF($A21="","",$H21*$L21)</x:f>
      </x:c>
      <x:c r="N21" s="108" t="str">
        <x:f>IF($A21="","",IF($H21&lt;=0,"Sin stock",IF($H21&lt;=$I21,"Crítico",IF($H21&lt;=$K21,"Reordenar",IF($H21&gt;$J21,"Sobre stock","OK")))))</x:f>
      </x:c>
      <x:c r="O21" s="108" t="str">
        <x:f>IF($A21="","",IF($N21="Sin stock","Comprar de inmediato",IF($N21="Crítico","Reponer urgente",IF($N21="Reordenar","Programar compra",IF($N21="Sobre stock","Revisar exceso","Mantener")))))</x:f>
      </x:c>
    </x:row>
    <x:row r="22">
      <x:c r="A22" s="108" t="str">
        <x:f>IF('03 Productos'!A22="","",'03 Productos'!A22)</x:f>
      </x:c>
      <x:c r="B22" s="108" t="str">
        <x:f>IF($A22="","",INDEX('03 Productos'!$B$5:$B$79,MATCH($A22,'03 Productos'!$A$5:$A$79,0)))</x:f>
      </x:c>
      <x:c r="C22" s="108" t="str">
        <x:f>IF($A22="","",INDEX('03 Productos'!$C$5:$C$79,MATCH($A22,'03 Productos'!$A$5:$A$79,0)))</x:f>
      </x:c>
      <x:c r="D22" s="108" t="str">
        <x:f>IF($A22="","",INDEX('03 Productos'!$D$5:$D$79,MATCH($A22,'03 Productos'!$A$5:$A$79,0)))</x:f>
      </x:c>
      <x:c r="E22" s="112" t="str">
        <x:f>IF($A22="","",INDEX('03 Productos'!$F$5:$F$79,MATCH($A22,'03 Productos'!$A$5:$A$79,0)))</x:f>
      </x:c>
      <x:c r="F22" s="112" t="str">
        <x:f>IF($A22="","",SUMIFS('04 Movimientos'!$I$5:$I$184,'04 Movimientos'!$C$5:$C$184,$A22))</x:f>
      </x:c>
      <x:c r="G22" s="112" t="str">
        <x:f>IF($A22="","",SUMIFS('04 Movimientos'!$J$5:$J$184,'04 Movimientos'!$C$5:$C$184,$A22))</x:f>
      </x:c>
      <x:c r="H22" s="112" t="str">
        <x:f>IF($A22="","",$E22+$F22-$G22)</x:f>
      </x:c>
      <x:c r="I22" s="112" t="str">
        <x:f>IF($A22="","",INDEX('03 Productos'!$H$5:$H$79,MATCH($A22,'03 Productos'!$A$5:$A$79,0)))</x:f>
      </x:c>
      <x:c r="J22" s="112" t="str">
        <x:f>IF($A22="","",INDEX('03 Productos'!$I$5:$I$79,MATCH($A22,'03 Productos'!$A$5:$A$79,0)))</x:f>
      </x:c>
      <x:c r="K22" s="112" t="str">
        <x:f>IF($A22="","",$I22+INDEX('03 Productos'!$J$5:$J$79,MATCH($A22,'03 Productos'!$A$5:$A$79,0))*INDEX('03 Productos'!$K$5:$K$79,MATCH($A22,'03 Productos'!$A$5:$A$79,0)))</x:f>
      </x:c>
      <x:c r="L22" s="114" t="str">
        <x:f>IF($A22="","",IFERROR(($E22*INDEX('03 Productos'!$G$5:$G$79,MATCH($A22,'03 Productos'!$A$5:$A$79,0))+SUMIFS('04 Movimientos'!$K$5:$K$184,'04 Movimientos'!$C$5:$C$184,$A22,'04 Movimientos'!$B$5:$B$184,"Entrada"))/($E22+$F22),INDEX('03 Productos'!$G$5:$G$79,MATCH($A22,'03 Productos'!$A$5:$A$79,0))))</x:f>
      </x:c>
      <x:c r="M22" s="114" t="str">
        <x:f>IF($A22="","",$H22*$L22)</x:f>
      </x:c>
      <x:c r="N22" s="108" t="str">
        <x:f>IF($A22="","",IF($H22&lt;=0,"Sin stock",IF($H22&lt;=$I22,"Crítico",IF($H22&lt;=$K22,"Reordenar",IF($H22&gt;$J22,"Sobre stock","OK")))))</x:f>
      </x:c>
      <x:c r="O22" s="108" t="str">
        <x:f>IF($A22="","",IF($N22="Sin stock","Comprar de inmediato",IF($N22="Crítico","Reponer urgente",IF($N22="Reordenar","Programar compra",IF($N22="Sobre stock","Revisar exceso","Mantener")))))</x:f>
      </x:c>
    </x:row>
    <x:row r="23">
      <x:c r="A23" s="108" t="str">
        <x:f>IF('03 Productos'!A23="","",'03 Productos'!A23)</x:f>
      </x:c>
      <x:c r="B23" s="108" t="str">
        <x:f>IF($A23="","",INDEX('03 Productos'!$B$5:$B$79,MATCH($A23,'03 Productos'!$A$5:$A$79,0)))</x:f>
      </x:c>
      <x:c r="C23" s="108" t="str">
        <x:f>IF($A23="","",INDEX('03 Productos'!$C$5:$C$79,MATCH($A23,'03 Productos'!$A$5:$A$79,0)))</x:f>
      </x:c>
      <x:c r="D23" s="108" t="str">
        <x:f>IF($A23="","",INDEX('03 Productos'!$D$5:$D$79,MATCH($A23,'03 Productos'!$A$5:$A$79,0)))</x:f>
      </x:c>
      <x:c r="E23" s="112" t="str">
        <x:f>IF($A23="","",INDEX('03 Productos'!$F$5:$F$79,MATCH($A23,'03 Productos'!$A$5:$A$79,0)))</x:f>
      </x:c>
      <x:c r="F23" s="112" t="str">
        <x:f>IF($A23="","",SUMIFS('04 Movimientos'!$I$5:$I$184,'04 Movimientos'!$C$5:$C$184,$A23))</x:f>
      </x:c>
      <x:c r="G23" s="112" t="str">
        <x:f>IF($A23="","",SUMIFS('04 Movimientos'!$J$5:$J$184,'04 Movimientos'!$C$5:$C$184,$A23))</x:f>
      </x:c>
      <x:c r="H23" s="112" t="str">
        <x:f>IF($A23="","",$E23+$F23-$G23)</x:f>
      </x:c>
      <x:c r="I23" s="112" t="str">
        <x:f>IF($A23="","",INDEX('03 Productos'!$H$5:$H$79,MATCH($A23,'03 Productos'!$A$5:$A$79,0)))</x:f>
      </x:c>
      <x:c r="J23" s="112" t="str">
        <x:f>IF($A23="","",INDEX('03 Productos'!$I$5:$I$79,MATCH($A23,'03 Productos'!$A$5:$A$79,0)))</x:f>
      </x:c>
      <x:c r="K23" s="112" t="str">
        <x:f>IF($A23="","",$I23+INDEX('03 Productos'!$J$5:$J$79,MATCH($A23,'03 Productos'!$A$5:$A$79,0))*INDEX('03 Productos'!$K$5:$K$79,MATCH($A23,'03 Productos'!$A$5:$A$79,0)))</x:f>
      </x:c>
      <x:c r="L23" s="114" t="str">
        <x:f>IF($A23="","",IFERROR(($E23*INDEX('03 Productos'!$G$5:$G$79,MATCH($A23,'03 Productos'!$A$5:$A$79,0))+SUMIFS('04 Movimientos'!$K$5:$K$184,'04 Movimientos'!$C$5:$C$184,$A23,'04 Movimientos'!$B$5:$B$184,"Entrada"))/($E23+$F23),INDEX('03 Productos'!$G$5:$G$79,MATCH($A23,'03 Productos'!$A$5:$A$79,0))))</x:f>
      </x:c>
      <x:c r="M23" s="114" t="str">
        <x:f>IF($A23="","",$H23*$L23)</x:f>
      </x:c>
      <x:c r="N23" s="108" t="str">
        <x:f>IF($A23="","",IF($H23&lt;=0,"Sin stock",IF($H23&lt;=$I23,"Crítico",IF($H23&lt;=$K23,"Reordenar",IF($H23&gt;$J23,"Sobre stock","OK")))))</x:f>
      </x:c>
      <x:c r="O23" s="108" t="str">
        <x:f>IF($A23="","",IF($N23="Sin stock","Comprar de inmediato",IF($N23="Crítico","Reponer urgente",IF($N23="Reordenar","Programar compra",IF($N23="Sobre stock","Revisar exceso","Mantener")))))</x:f>
      </x:c>
    </x:row>
    <x:row r="24">
      <x:c r="A24" s="108" t="str">
        <x:f>IF('03 Productos'!A24="","",'03 Productos'!A24)</x:f>
      </x:c>
      <x:c r="B24" s="108" t="str">
        <x:f>IF($A24="","",INDEX('03 Productos'!$B$5:$B$79,MATCH($A24,'03 Productos'!$A$5:$A$79,0)))</x:f>
      </x:c>
      <x:c r="C24" s="108" t="str">
        <x:f>IF($A24="","",INDEX('03 Productos'!$C$5:$C$79,MATCH($A24,'03 Productos'!$A$5:$A$79,0)))</x:f>
      </x:c>
      <x:c r="D24" s="108" t="str">
        <x:f>IF($A24="","",INDEX('03 Productos'!$D$5:$D$79,MATCH($A24,'03 Productos'!$A$5:$A$79,0)))</x:f>
      </x:c>
      <x:c r="E24" s="112" t="str">
        <x:f>IF($A24="","",INDEX('03 Productos'!$F$5:$F$79,MATCH($A24,'03 Productos'!$A$5:$A$79,0)))</x:f>
      </x:c>
      <x:c r="F24" s="112" t="str">
        <x:f>IF($A24="","",SUMIFS('04 Movimientos'!$I$5:$I$184,'04 Movimientos'!$C$5:$C$184,$A24))</x:f>
      </x:c>
      <x:c r="G24" s="112" t="str">
        <x:f>IF($A24="","",SUMIFS('04 Movimientos'!$J$5:$J$184,'04 Movimientos'!$C$5:$C$184,$A24))</x:f>
      </x:c>
      <x:c r="H24" s="112" t="str">
        <x:f>IF($A24="","",$E24+$F24-$G24)</x:f>
      </x:c>
      <x:c r="I24" s="112" t="str">
        <x:f>IF($A24="","",INDEX('03 Productos'!$H$5:$H$79,MATCH($A24,'03 Productos'!$A$5:$A$79,0)))</x:f>
      </x:c>
      <x:c r="J24" s="112" t="str">
        <x:f>IF($A24="","",INDEX('03 Productos'!$I$5:$I$79,MATCH($A24,'03 Productos'!$A$5:$A$79,0)))</x:f>
      </x:c>
      <x:c r="K24" s="112" t="str">
        <x:f>IF($A24="","",$I24+INDEX('03 Productos'!$J$5:$J$79,MATCH($A24,'03 Productos'!$A$5:$A$79,0))*INDEX('03 Productos'!$K$5:$K$79,MATCH($A24,'03 Productos'!$A$5:$A$79,0)))</x:f>
      </x:c>
      <x:c r="L24" s="114" t="str">
        <x:f>IF($A24="","",IFERROR(($E24*INDEX('03 Productos'!$G$5:$G$79,MATCH($A24,'03 Productos'!$A$5:$A$79,0))+SUMIFS('04 Movimientos'!$K$5:$K$184,'04 Movimientos'!$C$5:$C$184,$A24,'04 Movimientos'!$B$5:$B$184,"Entrada"))/($E24+$F24),INDEX('03 Productos'!$G$5:$G$79,MATCH($A24,'03 Productos'!$A$5:$A$79,0))))</x:f>
      </x:c>
      <x:c r="M24" s="114" t="str">
        <x:f>IF($A24="","",$H24*$L24)</x:f>
      </x:c>
      <x:c r="N24" s="108" t="str">
        <x:f>IF($A24="","",IF($H24&lt;=0,"Sin stock",IF($H24&lt;=$I24,"Crítico",IF($H24&lt;=$K24,"Reordenar",IF($H24&gt;$J24,"Sobre stock","OK")))))</x:f>
      </x:c>
      <x:c r="O24" s="108" t="str">
        <x:f>IF($A24="","",IF($N24="Sin stock","Comprar de inmediato",IF($N24="Crítico","Reponer urgente",IF($N24="Reordenar","Programar compra",IF($N24="Sobre stock","Revisar exceso","Mantener")))))</x:f>
      </x:c>
    </x:row>
    <x:row r="25">
      <x:c r="A25" s="108" t="str">
        <x:f>IF('03 Productos'!A25="","",'03 Productos'!A25)</x:f>
      </x:c>
      <x:c r="B25" s="108" t="str">
        <x:f>IF($A25="","",INDEX('03 Productos'!$B$5:$B$79,MATCH($A25,'03 Productos'!$A$5:$A$79,0)))</x:f>
      </x:c>
      <x:c r="C25" s="108" t="str">
        <x:f>IF($A25="","",INDEX('03 Productos'!$C$5:$C$79,MATCH($A25,'03 Productos'!$A$5:$A$79,0)))</x:f>
      </x:c>
      <x:c r="D25" s="108" t="str">
        <x:f>IF($A25="","",INDEX('03 Productos'!$D$5:$D$79,MATCH($A25,'03 Productos'!$A$5:$A$79,0)))</x:f>
      </x:c>
      <x:c r="E25" s="112" t="str">
        <x:f>IF($A25="","",INDEX('03 Productos'!$F$5:$F$79,MATCH($A25,'03 Productos'!$A$5:$A$79,0)))</x:f>
      </x:c>
      <x:c r="F25" s="112" t="str">
        <x:f>IF($A25="","",SUMIFS('04 Movimientos'!$I$5:$I$184,'04 Movimientos'!$C$5:$C$184,$A25))</x:f>
      </x:c>
      <x:c r="G25" s="112" t="str">
        <x:f>IF($A25="","",SUMIFS('04 Movimientos'!$J$5:$J$184,'04 Movimientos'!$C$5:$C$184,$A25))</x:f>
      </x:c>
      <x:c r="H25" s="112" t="str">
        <x:f>IF($A25="","",$E25+$F25-$G25)</x:f>
      </x:c>
      <x:c r="I25" s="112" t="str">
        <x:f>IF($A25="","",INDEX('03 Productos'!$H$5:$H$79,MATCH($A25,'03 Productos'!$A$5:$A$79,0)))</x:f>
      </x:c>
      <x:c r="J25" s="112" t="str">
        <x:f>IF($A25="","",INDEX('03 Productos'!$I$5:$I$79,MATCH($A25,'03 Productos'!$A$5:$A$79,0)))</x:f>
      </x:c>
      <x:c r="K25" s="112" t="str">
        <x:f>IF($A25="","",$I25+INDEX('03 Productos'!$J$5:$J$79,MATCH($A25,'03 Productos'!$A$5:$A$79,0))*INDEX('03 Productos'!$K$5:$K$79,MATCH($A25,'03 Productos'!$A$5:$A$79,0)))</x:f>
      </x:c>
      <x:c r="L25" s="114" t="str">
        <x:f>IF($A25="","",IFERROR(($E25*INDEX('03 Productos'!$G$5:$G$79,MATCH($A25,'03 Productos'!$A$5:$A$79,0))+SUMIFS('04 Movimientos'!$K$5:$K$184,'04 Movimientos'!$C$5:$C$184,$A25,'04 Movimientos'!$B$5:$B$184,"Entrada"))/($E25+$F25),INDEX('03 Productos'!$G$5:$G$79,MATCH($A25,'03 Productos'!$A$5:$A$79,0))))</x:f>
      </x:c>
      <x:c r="M25" s="114" t="str">
        <x:f>IF($A25="","",$H25*$L25)</x:f>
      </x:c>
      <x:c r="N25" s="108" t="str">
        <x:f>IF($A25="","",IF($H25&lt;=0,"Sin stock",IF($H25&lt;=$I25,"Crítico",IF($H25&lt;=$K25,"Reordenar",IF($H25&gt;$J25,"Sobre stock","OK")))))</x:f>
      </x:c>
      <x:c r="O25" s="108" t="str">
        <x:f>IF($A25="","",IF($N25="Sin stock","Comprar de inmediato",IF($N25="Crítico","Reponer urgente",IF($N25="Reordenar","Programar compra",IF($N25="Sobre stock","Revisar exceso","Mantener")))))</x:f>
      </x:c>
    </x:row>
    <x:row r="26">
      <x:c r="A26" s="108" t="str">
        <x:f>IF('03 Productos'!A26="","",'03 Productos'!A26)</x:f>
      </x:c>
      <x:c r="B26" s="108" t="str">
        <x:f>IF($A26="","",INDEX('03 Productos'!$B$5:$B$79,MATCH($A26,'03 Productos'!$A$5:$A$79,0)))</x:f>
      </x:c>
      <x:c r="C26" s="108" t="str">
        <x:f>IF($A26="","",INDEX('03 Productos'!$C$5:$C$79,MATCH($A26,'03 Productos'!$A$5:$A$79,0)))</x:f>
      </x:c>
      <x:c r="D26" s="108" t="str">
        <x:f>IF($A26="","",INDEX('03 Productos'!$D$5:$D$79,MATCH($A26,'03 Productos'!$A$5:$A$79,0)))</x:f>
      </x:c>
      <x:c r="E26" s="112" t="str">
        <x:f>IF($A26="","",INDEX('03 Productos'!$F$5:$F$79,MATCH($A26,'03 Productos'!$A$5:$A$79,0)))</x:f>
      </x:c>
      <x:c r="F26" s="112" t="str">
        <x:f>IF($A26="","",SUMIFS('04 Movimientos'!$I$5:$I$184,'04 Movimientos'!$C$5:$C$184,$A26))</x:f>
      </x:c>
      <x:c r="G26" s="112" t="str">
        <x:f>IF($A26="","",SUMIFS('04 Movimientos'!$J$5:$J$184,'04 Movimientos'!$C$5:$C$184,$A26))</x:f>
      </x:c>
      <x:c r="H26" s="112" t="str">
        <x:f>IF($A26="","",$E26+$F26-$G26)</x:f>
      </x:c>
      <x:c r="I26" s="112" t="str">
        <x:f>IF($A26="","",INDEX('03 Productos'!$H$5:$H$79,MATCH($A26,'03 Productos'!$A$5:$A$79,0)))</x:f>
      </x:c>
      <x:c r="J26" s="112" t="str">
        <x:f>IF($A26="","",INDEX('03 Productos'!$I$5:$I$79,MATCH($A26,'03 Productos'!$A$5:$A$79,0)))</x:f>
      </x:c>
      <x:c r="K26" s="112" t="str">
        <x:f>IF($A26="","",$I26+INDEX('03 Productos'!$J$5:$J$79,MATCH($A26,'03 Productos'!$A$5:$A$79,0))*INDEX('03 Productos'!$K$5:$K$79,MATCH($A26,'03 Productos'!$A$5:$A$79,0)))</x:f>
      </x:c>
      <x:c r="L26" s="114" t="str">
        <x:f>IF($A26="","",IFERROR(($E26*INDEX('03 Productos'!$G$5:$G$79,MATCH($A26,'03 Productos'!$A$5:$A$79,0))+SUMIFS('04 Movimientos'!$K$5:$K$184,'04 Movimientos'!$C$5:$C$184,$A26,'04 Movimientos'!$B$5:$B$184,"Entrada"))/($E26+$F26),INDEX('03 Productos'!$G$5:$G$79,MATCH($A26,'03 Productos'!$A$5:$A$79,0))))</x:f>
      </x:c>
      <x:c r="M26" s="114" t="str">
        <x:f>IF($A26="","",$H26*$L26)</x:f>
      </x:c>
      <x:c r="N26" s="108" t="str">
        <x:f>IF($A26="","",IF($H26&lt;=0,"Sin stock",IF($H26&lt;=$I26,"Crítico",IF($H26&lt;=$K26,"Reordenar",IF($H26&gt;$J26,"Sobre stock","OK")))))</x:f>
      </x:c>
      <x:c r="O26" s="108" t="str">
        <x:f>IF($A26="","",IF($N26="Sin stock","Comprar de inmediato",IF($N26="Crítico","Reponer urgente",IF($N26="Reordenar","Programar compra",IF($N26="Sobre stock","Revisar exceso","Mantener")))))</x:f>
      </x:c>
    </x:row>
    <x:row r="27">
      <x:c r="A27" s="108" t="str">
        <x:f>IF('03 Productos'!A27="","",'03 Productos'!A27)</x:f>
      </x:c>
      <x:c r="B27" s="108" t="str">
        <x:f>IF($A27="","",INDEX('03 Productos'!$B$5:$B$79,MATCH($A27,'03 Productos'!$A$5:$A$79,0)))</x:f>
      </x:c>
      <x:c r="C27" s="108" t="str">
        <x:f>IF($A27="","",INDEX('03 Productos'!$C$5:$C$79,MATCH($A27,'03 Productos'!$A$5:$A$79,0)))</x:f>
      </x:c>
      <x:c r="D27" s="108" t="str">
        <x:f>IF($A27="","",INDEX('03 Productos'!$D$5:$D$79,MATCH($A27,'03 Productos'!$A$5:$A$79,0)))</x:f>
      </x:c>
      <x:c r="E27" s="112" t="str">
        <x:f>IF($A27="","",INDEX('03 Productos'!$F$5:$F$79,MATCH($A27,'03 Productos'!$A$5:$A$79,0)))</x:f>
      </x:c>
      <x:c r="F27" s="112" t="str">
        <x:f>IF($A27="","",SUMIFS('04 Movimientos'!$I$5:$I$184,'04 Movimientos'!$C$5:$C$184,$A27))</x:f>
      </x:c>
      <x:c r="G27" s="112" t="str">
        <x:f>IF($A27="","",SUMIFS('04 Movimientos'!$J$5:$J$184,'04 Movimientos'!$C$5:$C$184,$A27))</x:f>
      </x:c>
      <x:c r="H27" s="112" t="str">
        <x:f>IF($A27="","",$E27+$F27-$G27)</x:f>
      </x:c>
      <x:c r="I27" s="112" t="str">
        <x:f>IF($A27="","",INDEX('03 Productos'!$H$5:$H$79,MATCH($A27,'03 Productos'!$A$5:$A$79,0)))</x:f>
      </x:c>
      <x:c r="J27" s="112" t="str">
        <x:f>IF($A27="","",INDEX('03 Productos'!$I$5:$I$79,MATCH($A27,'03 Productos'!$A$5:$A$79,0)))</x:f>
      </x:c>
      <x:c r="K27" s="112" t="str">
        <x:f>IF($A27="","",$I27+INDEX('03 Productos'!$J$5:$J$79,MATCH($A27,'03 Productos'!$A$5:$A$79,0))*INDEX('03 Productos'!$K$5:$K$79,MATCH($A27,'03 Productos'!$A$5:$A$79,0)))</x:f>
      </x:c>
      <x:c r="L27" s="114" t="str">
        <x:f>IF($A27="","",IFERROR(($E27*INDEX('03 Productos'!$G$5:$G$79,MATCH($A27,'03 Productos'!$A$5:$A$79,0))+SUMIFS('04 Movimientos'!$K$5:$K$184,'04 Movimientos'!$C$5:$C$184,$A27,'04 Movimientos'!$B$5:$B$184,"Entrada"))/($E27+$F27),INDEX('03 Productos'!$G$5:$G$79,MATCH($A27,'03 Productos'!$A$5:$A$79,0))))</x:f>
      </x:c>
      <x:c r="M27" s="114" t="str">
        <x:f>IF($A27="","",$H27*$L27)</x:f>
      </x:c>
      <x:c r="N27" s="108" t="str">
        <x:f>IF($A27="","",IF($H27&lt;=0,"Sin stock",IF($H27&lt;=$I27,"Crítico",IF($H27&lt;=$K27,"Reordenar",IF($H27&gt;$J27,"Sobre stock","OK")))))</x:f>
      </x:c>
      <x:c r="O27" s="108" t="str">
        <x:f>IF($A27="","",IF($N27="Sin stock","Comprar de inmediato",IF($N27="Crítico","Reponer urgente",IF($N27="Reordenar","Programar compra",IF($N27="Sobre stock","Revisar exceso","Mantener")))))</x:f>
      </x:c>
    </x:row>
    <x:row r="28">
      <x:c r="A28" s="108" t="str">
        <x:f>IF('03 Productos'!A28="","",'03 Productos'!A28)</x:f>
      </x:c>
      <x:c r="B28" s="108" t="str">
        <x:f>IF($A28="","",INDEX('03 Productos'!$B$5:$B$79,MATCH($A28,'03 Productos'!$A$5:$A$79,0)))</x:f>
      </x:c>
      <x:c r="C28" s="108" t="str">
        <x:f>IF($A28="","",INDEX('03 Productos'!$C$5:$C$79,MATCH($A28,'03 Productos'!$A$5:$A$79,0)))</x:f>
      </x:c>
      <x:c r="D28" s="108" t="str">
        <x:f>IF($A28="","",INDEX('03 Productos'!$D$5:$D$79,MATCH($A28,'03 Productos'!$A$5:$A$79,0)))</x:f>
      </x:c>
      <x:c r="E28" s="112" t="str">
        <x:f>IF($A28="","",INDEX('03 Productos'!$F$5:$F$79,MATCH($A28,'03 Productos'!$A$5:$A$79,0)))</x:f>
      </x:c>
      <x:c r="F28" s="112" t="str">
        <x:f>IF($A28="","",SUMIFS('04 Movimientos'!$I$5:$I$184,'04 Movimientos'!$C$5:$C$184,$A28))</x:f>
      </x:c>
      <x:c r="G28" s="112" t="str">
        <x:f>IF($A28="","",SUMIFS('04 Movimientos'!$J$5:$J$184,'04 Movimientos'!$C$5:$C$184,$A28))</x:f>
      </x:c>
      <x:c r="H28" s="112" t="str">
        <x:f>IF($A28="","",$E28+$F28-$G28)</x:f>
      </x:c>
      <x:c r="I28" s="112" t="str">
        <x:f>IF($A28="","",INDEX('03 Productos'!$H$5:$H$79,MATCH($A28,'03 Productos'!$A$5:$A$79,0)))</x:f>
      </x:c>
      <x:c r="J28" s="112" t="str">
        <x:f>IF($A28="","",INDEX('03 Productos'!$I$5:$I$79,MATCH($A28,'03 Productos'!$A$5:$A$79,0)))</x:f>
      </x:c>
      <x:c r="K28" s="112" t="str">
        <x:f>IF($A28="","",$I28+INDEX('03 Productos'!$J$5:$J$79,MATCH($A28,'03 Productos'!$A$5:$A$79,0))*INDEX('03 Productos'!$K$5:$K$79,MATCH($A28,'03 Productos'!$A$5:$A$79,0)))</x:f>
      </x:c>
      <x:c r="L28" s="114" t="str">
        <x:f>IF($A28="","",IFERROR(($E28*INDEX('03 Productos'!$G$5:$G$79,MATCH($A28,'03 Productos'!$A$5:$A$79,0))+SUMIFS('04 Movimientos'!$K$5:$K$184,'04 Movimientos'!$C$5:$C$184,$A28,'04 Movimientos'!$B$5:$B$184,"Entrada"))/($E28+$F28),INDEX('03 Productos'!$G$5:$G$79,MATCH($A28,'03 Productos'!$A$5:$A$79,0))))</x:f>
      </x:c>
      <x:c r="M28" s="114" t="str">
        <x:f>IF($A28="","",$H28*$L28)</x:f>
      </x:c>
      <x:c r="N28" s="108" t="str">
        <x:f>IF($A28="","",IF($H28&lt;=0,"Sin stock",IF($H28&lt;=$I28,"Crítico",IF($H28&lt;=$K28,"Reordenar",IF($H28&gt;$J28,"Sobre stock","OK")))))</x:f>
      </x:c>
      <x:c r="O28" s="108" t="str">
        <x:f>IF($A28="","",IF($N28="Sin stock","Comprar de inmediato",IF($N28="Crítico","Reponer urgente",IF($N28="Reordenar","Programar compra",IF($N28="Sobre stock","Revisar exceso","Mantener")))))</x:f>
      </x:c>
    </x:row>
    <x:row r="29">
      <x:c r="A29" s="108" t="str">
        <x:f>IF('03 Productos'!A29="","",'03 Productos'!A29)</x:f>
      </x:c>
      <x:c r="B29" s="108" t="str">
        <x:f>IF($A29="","",INDEX('03 Productos'!$B$5:$B$79,MATCH($A29,'03 Productos'!$A$5:$A$79,0)))</x:f>
      </x:c>
      <x:c r="C29" s="108" t="str">
        <x:f>IF($A29="","",INDEX('03 Productos'!$C$5:$C$79,MATCH($A29,'03 Productos'!$A$5:$A$79,0)))</x:f>
      </x:c>
      <x:c r="D29" s="108" t="str">
        <x:f>IF($A29="","",INDEX('03 Productos'!$D$5:$D$79,MATCH($A29,'03 Productos'!$A$5:$A$79,0)))</x:f>
      </x:c>
      <x:c r="E29" s="112" t="str">
        <x:f>IF($A29="","",INDEX('03 Productos'!$F$5:$F$79,MATCH($A29,'03 Productos'!$A$5:$A$79,0)))</x:f>
      </x:c>
      <x:c r="F29" s="112" t="str">
        <x:f>IF($A29="","",SUMIFS('04 Movimientos'!$I$5:$I$184,'04 Movimientos'!$C$5:$C$184,$A29))</x:f>
      </x:c>
      <x:c r="G29" s="112" t="str">
        <x:f>IF($A29="","",SUMIFS('04 Movimientos'!$J$5:$J$184,'04 Movimientos'!$C$5:$C$184,$A29))</x:f>
      </x:c>
      <x:c r="H29" s="112" t="str">
        <x:f>IF($A29="","",$E29+$F29-$G29)</x:f>
      </x:c>
      <x:c r="I29" s="112" t="str">
        <x:f>IF($A29="","",INDEX('03 Productos'!$H$5:$H$79,MATCH($A29,'03 Productos'!$A$5:$A$79,0)))</x:f>
      </x:c>
      <x:c r="J29" s="112" t="str">
        <x:f>IF($A29="","",INDEX('03 Productos'!$I$5:$I$79,MATCH($A29,'03 Productos'!$A$5:$A$79,0)))</x:f>
      </x:c>
      <x:c r="K29" s="112" t="str">
        <x:f>IF($A29="","",$I29+INDEX('03 Productos'!$J$5:$J$79,MATCH($A29,'03 Productos'!$A$5:$A$79,0))*INDEX('03 Productos'!$K$5:$K$79,MATCH($A29,'03 Productos'!$A$5:$A$79,0)))</x:f>
      </x:c>
      <x:c r="L29" s="114" t="str">
        <x:f>IF($A29="","",IFERROR(($E29*INDEX('03 Productos'!$G$5:$G$79,MATCH($A29,'03 Productos'!$A$5:$A$79,0))+SUMIFS('04 Movimientos'!$K$5:$K$184,'04 Movimientos'!$C$5:$C$184,$A29,'04 Movimientos'!$B$5:$B$184,"Entrada"))/($E29+$F29),INDEX('03 Productos'!$G$5:$G$79,MATCH($A29,'03 Productos'!$A$5:$A$79,0))))</x:f>
      </x:c>
      <x:c r="M29" s="114" t="str">
        <x:f>IF($A29="","",$H29*$L29)</x:f>
      </x:c>
      <x:c r="N29" s="108" t="str">
        <x:f>IF($A29="","",IF($H29&lt;=0,"Sin stock",IF($H29&lt;=$I29,"Crítico",IF($H29&lt;=$K29,"Reordenar",IF($H29&gt;$J29,"Sobre stock","OK")))))</x:f>
      </x:c>
      <x:c r="O29" s="108" t="str">
        <x:f>IF($A29="","",IF($N29="Sin stock","Comprar de inmediato",IF($N29="Crítico","Reponer urgente",IF($N29="Reordenar","Programar compra",IF($N29="Sobre stock","Revisar exceso","Mantener")))))</x:f>
      </x:c>
    </x:row>
    <x:row r="30">
      <x:c r="A30" s="108" t="str">
        <x:f>IF('03 Productos'!A30="","",'03 Productos'!A30)</x:f>
      </x:c>
      <x:c r="B30" s="108" t="str">
        <x:f>IF($A30="","",INDEX('03 Productos'!$B$5:$B$79,MATCH($A30,'03 Productos'!$A$5:$A$79,0)))</x:f>
      </x:c>
      <x:c r="C30" s="108" t="str">
        <x:f>IF($A30="","",INDEX('03 Productos'!$C$5:$C$79,MATCH($A30,'03 Productos'!$A$5:$A$79,0)))</x:f>
      </x:c>
      <x:c r="D30" s="108" t="str">
        <x:f>IF($A30="","",INDEX('03 Productos'!$D$5:$D$79,MATCH($A30,'03 Productos'!$A$5:$A$79,0)))</x:f>
      </x:c>
      <x:c r="E30" s="112" t="str">
        <x:f>IF($A30="","",INDEX('03 Productos'!$F$5:$F$79,MATCH($A30,'03 Productos'!$A$5:$A$79,0)))</x:f>
      </x:c>
      <x:c r="F30" s="112" t="str">
        <x:f>IF($A30="","",SUMIFS('04 Movimientos'!$I$5:$I$184,'04 Movimientos'!$C$5:$C$184,$A30))</x:f>
      </x:c>
      <x:c r="G30" s="112" t="str">
        <x:f>IF($A30="","",SUMIFS('04 Movimientos'!$J$5:$J$184,'04 Movimientos'!$C$5:$C$184,$A30))</x:f>
      </x:c>
      <x:c r="H30" s="112" t="str">
        <x:f>IF($A30="","",$E30+$F30-$G30)</x:f>
      </x:c>
      <x:c r="I30" s="112" t="str">
        <x:f>IF($A30="","",INDEX('03 Productos'!$H$5:$H$79,MATCH($A30,'03 Productos'!$A$5:$A$79,0)))</x:f>
      </x:c>
      <x:c r="J30" s="112" t="str">
        <x:f>IF($A30="","",INDEX('03 Productos'!$I$5:$I$79,MATCH($A30,'03 Productos'!$A$5:$A$79,0)))</x:f>
      </x:c>
      <x:c r="K30" s="112" t="str">
        <x:f>IF($A30="","",$I30+INDEX('03 Productos'!$J$5:$J$79,MATCH($A30,'03 Productos'!$A$5:$A$79,0))*INDEX('03 Productos'!$K$5:$K$79,MATCH($A30,'03 Productos'!$A$5:$A$79,0)))</x:f>
      </x:c>
      <x:c r="L30" s="114" t="str">
        <x:f>IF($A30="","",IFERROR(($E30*INDEX('03 Productos'!$G$5:$G$79,MATCH($A30,'03 Productos'!$A$5:$A$79,0))+SUMIFS('04 Movimientos'!$K$5:$K$184,'04 Movimientos'!$C$5:$C$184,$A30,'04 Movimientos'!$B$5:$B$184,"Entrada"))/($E30+$F30),INDEX('03 Productos'!$G$5:$G$79,MATCH($A30,'03 Productos'!$A$5:$A$79,0))))</x:f>
      </x:c>
      <x:c r="M30" s="114" t="str">
        <x:f>IF($A30="","",$H30*$L30)</x:f>
      </x:c>
      <x:c r="N30" s="108" t="str">
        <x:f>IF($A30="","",IF($H30&lt;=0,"Sin stock",IF($H30&lt;=$I30,"Crítico",IF($H30&lt;=$K30,"Reordenar",IF($H30&gt;$J30,"Sobre stock","OK")))))</x:f>
      </x:c>
      <x:c r="O30" s="108" t="str">
        <x:f>IF($A30="","",IF($N30="Sin stock","Comprar de inmediato",IF($N30="Crítico","Reponer urgente",IF($N30="Reordenar","Programar compra",IF($N30="Sobre stock","Revisar exceso","Mantener")))))</x:f>
      </x:c>
    </x:row>
    <x:row r="31">
      <x:c r="A31" s="108" t="str">
        <x:f>IF('03 Productos'!A31="","",'03 Productos'!A31)</x:f>
      </x:c>
      <x:c r="B31" s="108" t="str">
        <x:f>IF($A31="","",INDEX('03 Productos'!$B$5:$B$79,MATCH($A31,'03 Productos'!$A$5:$A$79,0)))</x:f>
      </x:c>
      <x:c r="C31" s="108" t="str">
        <x:f>IF($A31="","",INDEX('03 Productos'!$C$5:$C$79,MATCH($A31,'03 Productos'!$A$5:$A$79,0)))</x:f>
      </x:c>
      <x:c r="D31" s="108" t="str">
        <x:f>IF($A31="","",INDEX('03 Productos'!$D$5:$D$79,MATCH($A31,'03 Productos'!$A$5:$A$79,0)))</x:f>
      </x:c>
      <x:c r="E31" s="112" t="str">
        <x:f>IF($A31="","",INDEX('03 Productos'!$F$5:$F$79,MATCH($A31,'03 Productos'!$A$5:$A$79,0)))</x:f>
      </x:c>
      <x:c r="F31" s="112" t="str">
        <x:f>IF($A31="","",SUMIFS('04 Movimientos'!$I$5:$I$184,'04 Movimientos'!$C$5:$C$184,$A31))</x:f>
      </x:c>
      <x:c r="G31" s="112" t="str">
        <x:f>IF($A31="","",SUMIFS('04 Movimientos'!$J$5:$J$184,'04 Movimientos'!$C$5:$C$184,$A31))</x:f>
      </x:c>
      <x:c r="H31" s="112" t="str">
        <x:f>IF($A31="","",$E31+$F31-$G31)</x:f>
      </x:c>
      <x:c r="I31" s="112" t="str">
        <x:f>IF($A31="","",INDEX('03 Productos'!$H$5:$H$79,MATCH($A31,'03 Productos'!$A$5:$A$79,0)))</x:f>
      </x:c>
      <x:c r="J31" s="112" t="str">
        <x:f>IF($A31="","",INDEX('03 Productos'!$I$5:$I$79,MATCH($A31,'03 Productos'!$A$5:$A$79,0)))</x:f>
      </x:c>
      <x:c r="K31" s="112" t="str">
        <x:f>IF($A31="","",$I31+INDEX('03 Productos'!$J$5:$J$79,MATCH($A31,'03 Productos'!$A$5:$A$79,0))*INDEX('03 Productos'!$K$5:$K$79,MATCH($A31,'03 Productos'!$A$5:$A$79,0)))</x:f>
      </x:c>
      <x:c r="L31" s="114" t="str">
        <x:f>IF($A31="","",IFERROR(($E31*INDEX('03 Productos'!$G$5:$G$79,MATCH($A31,'03 Productos'!$A$5:$A$79,0))+SUMIFS('04 Movimientos'!$K$5:$K$184,'04 Movimientos'!$C$5:$C$184,$A31,'04 Movimientos'!$B$5:$B$184,"Entrada"))/($E31+$F31),INDEX('03 Productos'!$G$5:$G$79,MATCH($A31,'03 Productos'!$A$5:$A$79,0))))</x:f>
      </x:c>
      <x:c r="M31" s="114" t="str">
        <x:f>IF($A31="","",$H31*$L31)</x:f>
      </x:c>
      <x:c r="N31" s="108" t="str">
        <x:f>IF($A31="","",IF($H31&lt;=0,"Sin stock",IF($H31&lt;=$I31,"Crítico",IF($H31&lt;=$K31,"Reordenar",IF($H31&gt;$J31,"Sobre stock","OK")))))</x:f>
      </x:c>
      <x:c r="O31" s="108" t="str">
        <x:f>IF($A31="","",IF($N31="Sin stock","Comprar de inmediato",IF($N31="Crítico","Reponer urgente",IF($N31="Reordenar","Programar compra",IF($N31="Sobre stock","Revisar exceso","Mantener")))))</x:f>
      </x:c>
    </x:row>
    <x:row r="32">
      <x:c r="A32" s="108" t="str">
        <x:f>IF('03 Productos'!A32="","",'03 Productos'!A32)</x:f>
      </x:c>
      <x:c r="B32" s="108" t="str">
        <x:f>IF($A32="","",INDEX('03 Productos'!$B$5:$B$79,MATCH($A32,'03 Productos'!$A$5:$A$79,0)))</x:f>
      </x:c>
      <x:c r="C32" s="108" t="str">
        <x:f>IF($A32="","",INDEX('03 Productos'!$C$5:$C$79,MATCH($A32,'03 Productos'!$A$5:$A$79,0)))</x:f>
      </x:c>
      <x:c r="D32" s="108" t="str">
        <x:f>IF($A32="","",INDEX('03 Productos'!$D$5:$D$79,MATCH($A32,'03 Productos'!$A$5:$A$79,0)))</x:f>
      </x:c>
      <x:c r="E32" s="112" t="str">
        <x:f>IF($A32="","",INDEX('03 Productos'!$F$5:$F$79,MATCH($A32,'03 Productos'!$A$5:$A$79,0)))</x:f>
      </x:c>
      <x:c r="F32" s="112" t="str">
        <x:f>IF($A32="","",SUMIFS('04 Movimientos'!$I$5:$I$184,'04 Movimientos'!$C$5:$C$184,$A32))</x:f>
      </x:c>
      <x:c r="G32" s="112" t="str">
        <x:f>IF($A32="","",SUMIFS('04 Movimientos'!$J$5:$J$184,'04 Movimientos'!$C$5:$C$184,$A32))</x:f>
      </x:c>
      <x:c r="H32" s="112" t="str">
        <x:f>IF($A32="","",$E32+$F32-$G32)</x:f>
      </x:c>
      <x:c r="I32" s="112" t="str">
        <x:f>IF($A32="","",INDEX('03 Productos'!$H$5:$H$79,MATCH($A32,'03 Productos'!$A$5:$A$79,0)))</x:f>
      </x:c>
      <x:c r="J32" s="112" t="str">
        <x:f>IF($A32="","",INDEX('03 Productos'!$I$5:$I$79,MATCH($A32,'03 Productos'!$A$5:$A$79,0)))</x:f>
      </x:c>
      <x:c r="K32" s="112" t="str">
        <x:f>IF($A32="","",$I32+INDEX('03 Productos'!$J$5:$J$79,MATCH($A32,'03 Productos'!$A$5:$A$79,0))*INDEX('03 Productos'!$K$5:$K$79,MATCH($A32,'03 Productos'!$A$5:$A$79,0)))</x:f>
      </x:c>
      <x:c r="L32" s="114" t="str">
        <x:f>IF($A32="","",IFERROR(($E32*INDEX('03 Productos'!$G$5:$G$79,MATCH($A32,'03 Productos'!$A$5:$A$79,0))+SUMIFS('04 Movimientos'!$K$5:$K$184,'04 Movimientos'!$C$5:$C$184,$A32,'04 Movimientos'!$B$5:$B$184,"Entrada"))/($E32+$F32),INDEX('03 Productos'!$G$5:$G$79,MATCH($A32,'03 Productos'!$A$5:$A$79,0))))</x:f>
      </x:c>
      <x:c r="M32" s="114" t="str">
        <x:f>IF($A32="","",$H32*$L32)</x:f>
      </x:c>
      <x:c r="N32" s="108" t="str">
        <x:f>IF($A32="","",IF($H32&lt;=0,"Sin stock",IF($H32&lt;=$I32,"Crítico",IF($H32&lt;=$K32,"Reordenar",IF($H32&gt;$J32,"Sobre stock","OK")))))</x:f>
      </x:c>
      <x:c r="O32" s="108" t="str">
        <x:f>IF($A32="","",IF($N32="Sin stock","Comprar de inmediato",IF($N32="Crítico","Reponer urgente",IF($N32="Reordenar","Programar compra",IF($N32="Sobre stock","Revisar exceso","Mantener")))))</x:f>
      </x:c>
    </x:row>
    <x:row r="33">
      <x:c r="A33" s="108" t="str">
        <x:f>IF('03 Productos'!A33="","",'03 Productos'!A33)</x:f>
      </x:c>
      <x:c r="B33" s="108" t="str">
        <x:f>IF($A33="","",INDEX('03 Productos'!$B$5:$B$79,MATCH($A33,'03 Productos'!$A$5:$A$79,0)))</x:f>
      </x:c>
      <x:c r="C33" s="108" t="str">
        <x:f>IF($A33="","",INDEX('03 Productos'!$C$5:$C$79,MATCH($A33,'03 Productos'!$A$5:$A$79,0)))</x:f>
      </x:c>
      <x:c r="D33" s="108" t="str">
        <x:f>IF($A33="","",INDEX('03 Productos'!$D$5:$D$79,MATCH($A33,'03 Productos'!$A$5:$A$79,0)))</x:f>
      </x:c>
      <x:c r="E33" s="112" t="str">
        <x:f>IF($A33="","",INDEX('03 Productos'!$F$5:$F$79,MATCH($A33,'03 Productos'!$A$5:$A$79,0)))</x:f>
      </x:c>
      <x:c r="F33" s="112" t="str">
        <x:f>IF($A33="","",SUMIFS('04 Movimientos'!$I$5:$I$184,'04 Movimientos'!$C$5:$C$184,$A33))</x:f>
      </x:c>
      <x:c r="G33" s="112" t="str">
        <x:f>IF($A33="","",SUMIFS('04 Movimientos'!$J$5:$J$184,'04 Movimientos'!$C$5:$C$184,$A33))</x:f>
      </x:c>
      <x:c r="H33" s="112" t="str">
        <x:f>IF($A33="","",$E33+$F33-$G33)</x:f>
      </x:c>
      <x:c r="I33" s="112" t="str">
        <x:f>IF($A33="","",INDEX('03 Productos'!$H$5:$H$79,MATCH($A33,'03 Productos'!$A$5:$A$79,0)))</x:f>
      </x:c>
      <x:c r="J33" s="112" t="str">
        <x:f>IF($A33="","",INDEX('03 Productos'!$I$5:$I$79,MATCH($A33,'03 Productos'!$A$5:$A$79,0)))</x:f>
      </x:c>
      <x:c r="K33" s="112" t="str">
        <x:f>IF($A33="","",$I33+INDEX('03 Productos'!$J$5:$J$79,MATCH($A33,'03 Productos'!$A$5:$A$79,0))*INDEX('03 Productos'!$K$5:$K$79,MATCH($A33,'03 Productos'!$A$5:$A$79,0)))</x:f>
      </x:c>
      <x:c r="L33" s="114" t="str">
        <x:f>IF($A33="","",IFERROR(($E33*INDEX('03 Productos'!$G$5:$G$79,MATCH($A33,'03 Productos'!$A$5:$A$79,0))+SUMIFS('04 Movimientos'!$K$5:$K$184,'04 Movimientos'!$C$5:$C$184,$A33,'04 Movimientos'!$B$5:$B$184,"Entrada"))/($E33+$F33),INDEX('03 Productos'!$G$5:$G$79,MATCH($A33,'03 Productos'!$A$5:$A$79,0))))</x:f>
      </x:c>
      <x:c r="M33" s="114" t="str">
        <x:f>IF($A33="","",$H33*$L33)</x:f>
      </x:c>
      <x:c r="N33" s="108" t="str">
        <x:f>IF($A33="","",IF($H33&lt;=0,"Sin stock",IF($H33&lt;=$I33,"Crítico",IF($H33&lt;=$K33,"Reordenar",IF($H33&gt;$J33,"Sobre stock","OK")))))</x:f>
      </x:c>
      <x:c r="O33" s="108" t="str">
        <x:f>IF($A33="","",IF($N33="Sin stock","Comprar de inmediato",IF($N33="Crítico","Reponer urgente",IF($N33="Reordenar","Programar compra",IF($N33="Sobre stock","Revisar exceso","Mantener")))))</x:f>
      </x:c>
    </x:row>
    <x:row r="34">
      <x:c r="A34" s="108" t="str">
        <x:f>IF('03 Productos'!A34="","",'03 Productos'!A34)</x:f>
      </x:c>
      <x:c r="B34" s="108" t="str">
        <x:f>IF($A34="","",INDEX('03 Productos'!$B$5:$B$79,MATCH($A34,'03 Productos'!$A$5:$A$79,0)))</x:f>
      </x:c>
      <x:c r="C34" s="108" t="str">
        <x:f>IF($A34="","",INDEX('03 Productos'!$C$5:$C$79,MATCH($A34,'03 Productos'!$A$5:$A$79,0)))</x:f>
      </x:c>
      <x:c r="D34" s="108" t="str">
        <x:f>IF($A34="","",INDEX('03 Productos'!$D$5:$D$79,MATCH($A34,'03 Productos'!$A$5:$A$79,0)))</x:f>
      </x:c>
      <x:c r="E34" s="112" t="str">
        <x:f>IF($A34="","",INDEX('03 Productos'!$F$5:$F$79,MATCH($A34,'03 Productos'!$A$5:$A$79,0)))</x:f>
      </x:c>
      <x:c r="F34" s="112" t="str">
        <x:f>IF($A34="","",SUMIFS('04 Movimientos'!$I$5:$I$184,'04 Movimientos'!$C$5:$C$184,$A34))</x:f>
      </x:c>
      <x:c r="G34" s="112" t="str">
        <x:f>IF($A34="","",SUMIFS('04 Movimientos'!$J$5:$J$184,'04 Movimientos'!$C$5:$C$184,$A34))</x:f>
      </x:c>
      <x:c r="H34" s="112" t="str">
        <x:f>IF($A34="","",$E34+$F34-$G34)</x:f>
      </x:c>
      <x:c r="I34" s="112" t="str">
        <x:f>IF($A34="","",INDEX('03 Productos'!$H$5:$H$79,MATCH($A34,'03 Productos'!$A$5:$A$79,0)))</x:f>
      </x:c>
      <x:c r="J34" s="112" t="str">
        <x:f>IF($A34="","",INDEX('03 Productos'!$I$5:$I$79,MATCH($A34,'03 Productos'!$A$5:$A$79,0)))</x:f>
      </x:c>
      <x:c r="K34" s="112" t="str">
        <x:f>IF($A34="","",$I34+INDEX('03 Productos'!$J$5:$J$79,MATCH($A34,'03 Productos'!$A$5:$A$79,0))*INDEX('03 Productos'!$K$5:$K$79,MATCH($A34,'03 Productos'!$A$5:$A$79,0)))</x:f>
      </x:c>
      <x:c r="L34" s="114" t="str">
        <x:f>IF($A34="","",IFERROR(($E34*INDEX('03 Productos'!$G$5:$G$79,MATCH($A34,'03 Productos'!$A$5:$A$79,0))+SUMIFS('04 Movimientos'!$K$5:$K$184,'04 Movimientos'!$C$5:$C$184,$A34,'04 Movimientos'!$B$5:$B$184,"Entrada"))/($E34+$F34),INDEX('03 Productos'!$G$5:$G$79,MATCH($A34,'03 Productos'!$A$5:$A$79,0))))</x:f>
      </x:c>
      <x:c r="M34" s="114" t="str">
        <x:f>IF($A34="","",$H34*$L34)</x:f>
      </x:c>
      <x:c r="N34" s="108" t="str">
        <x:f>IF($A34="","",IF($H34&lt;=0,"Sin stock",IF($H34&lt;=$I34,"Crítico",IF($H34&lt;=$K34,"Reordenar",IF($H34&gt;$J34,"Sobre stock","OK")))))</x:f>
      </x:c>
      <x:c r="O34" s="108" t="str">
        <x:f>IF($A34="","",IF($N34="Sin stock","Comprar de inmediato",IF($N34="Crítico","Reponer urgente",IF($N34="Reordenar","Programar compra",IF($N34="Sobre stock","Revisar exceso","Mantener")))))</x:f>
      </x:c>
    </x:row>
    <x:row r="35">
      <x:c r="A35" s="108" t="str">
        <x:f>IF('03 Productos'!A35="","",'03 Productos'!A35)</x:f>
      </x:c>
      <x:c r="B35" s="108" t="str">
        <x:f>IF($A35="","",INDEX('03 Productos'!$B$5:$B$79,MATCH($A35,'03 Productos'!$A$5:$A$79,0)))</x:f>
      </x:c>
      <x:c r="C35" s="108" t="str">
        <x:f>IF($A35="","",INDEX('03 Productos'!$C$5:$C$79,MATCH($A35,'03 Productos'!$A$5:$A$79,0)))</x:f>
      </x:c>
      <x:c r="D35" s="108" t="str">
        <x:f>IF($A35="","",INDEX('03 Productos'!$D$5:$D$79,MATCH($A35,'03 Productos'!$A$5:$A$79,0)))</x:f>
      </x:c>
      <x:c r="E35" s="112" t="str">
        <x:f>IF($A35="","",INDEX('03 Productos'!$F$5:$F$79,MATCH($A35,'03 Productos'!$A$5:$A$79,0)))</x:f>
      </x:c>
      <x:c r="F35" s="112" t="str">
        <x:f>IF($A35="","",SUMIFS('04 Movimientos'!$I$5:$I$184,'04 Movimientos'!$C$5:$C$184,$A35))</x:f>
      </x:c>
      <x:c r="G35" s="112" t="str">
        <x:f>IF($A35="","",SUMIFS('04 Movimientos'!$J$5:$J$184,'04 Movimientos'!$C$5:$C$184,$A35))</x:f>
      </x:c>
      <x:c r="H35" s="112" t="str">
        <x:f>IF($A35="","",$E35+$F35-$G35)</x:f>
      </x:c>
      <x:c r="I35" s="112" t="str">
        <x:f>IF($A35="","",INDEX('03 Productos'!$H$5:$H$79,MATCH($A35,'03 Productos'!$A$5:$A$79,0)))</x:f>
      </x:c>
      <x:c r="J35" s="112" t="str">
        <x:f>IF($A35="","",INDEX('03 Productos'!$I$5:$I$79,MATCH($A35,'03 Productos'!$A$5:$A$79,0)))</x:f>
      </x:c>
      <x:c r="K35" s="112" t="str">
        <x:f>IF($A35="","",$I35+INDEX('03 Productos'!$J$5:$J$79,MATCH($A35,'03 Productos'!$A$5:$A$79,0))*INDEX('03 Productos'!$K$5:$K$79,MATCH($A35,'03 Productos'!$A$5:$A$79,0)))</x:f>
      </x:c>
      <x:c r="L35" s="114" t="str">
        <x:f>IF($A35="","",IFERROR(($E35*INDEX('03 Productos'!$G$5:$G$79,MATCH($A35,'03 Productos'!$A$5:$A$79,0))+SUMIFS('04 Movimientos'!$K$5:$K$184,'04 Movimientos'!$C$5:$C$184,$A35,'04 Movimientos'!$B$5:$B$184,"Entrada"))/($E35+$F35),INDEX('03 Productos'!$G$5:$G$79,MATCH($A35,'03 Productos'!$A$5:$A$79,0))))</x:f>
      </x:c>
      <x:c r="M35" s="114" t="str">
        <x:f>IF($A35="","",$H35*$L35)</x:f>
      </x:c>
      <x:c r="N35" s="108" t="str">
        <x:f>IF($A35="","",IF($H35&lt;=0,"Sin stock",IF($H35&lt;=$I35,"Crítico",IF($H35&lt;=$K35,"Reordenar",IF($H35&gt;$J35,"Sobre stock","OK")))))</x:f>
      </x:c>
      <x:c r="O35" s="108" t="str">
        <x:f>IF($A35="","",IF($N35="Sin stock","Comprar de inmediato",IF($N35="Crítico","Reponer urgente",IF($N35="Reordenar","Programar compra",IF($N35="Sobre stock","Revisar exceso","Mantener")))))</x:f>
      </x:c>
    </x:row>
    <x:row r="36">
      <x:c r="A36" s="108" t="str">
        <x:f>IF('03 Productos'!A36="","",'03 Productos'!A36)</x:f>
      </x:c>
      <x:c r="B36" s="108" t="str">
        <x:f>IF($A36="","",INDEX('03 Productos'!$B$5:$B$79,MATCH($A36,'03 Productos'!$A$5:$A$79,0)))</x:f>
      </x:c>
      <x:c r="C36" s="108" t="str">
        <x:f>IF($A36="","",INDEX('03 Productos'!$C$5:$C$79,MATCH($A36,'03 Productos'!$A$5:$A$79,0)))</x:f>
      </x:c>
      <x:c r="D36" s="108" t="str">
        <x:f>IF($A36="","",INDEX('03 Productos'!$D$5:$D$79,MATCH($A36,'03 Productos'!$A$5:$A$79,0)))</x:f>
      </x:c>
      <x:c r="E36" s="112" t="str">
        <x:f>IF($A36="","",INDEX('03 Productos'!$F$5:$F$79,MATCH($A36,'03 Productos'!$A$5:$A$79,0)))</x:f>
      </x:c>
      <x:c r="F36" s="112" t="str">
        <x:f>IF($A36="","",SUMIFS('04 Movimientos'!$I$5:$I$184,'04 Movimientos'!$C$5:$C$184,$A36))</x:f>
      </x:c>
      <x:c r="G36" s="112" t="str">
        <x:f>IF($A36="","",SUMIFS('04 Movimientos'!$J$5:$J$184,'04 Movimientos'!$C$5:$C$184,$A36))</x:f>
      </x:c>
      <x:c r="H36" s="112" t="str">
        <x:f>IF($A36="","",$E36+$F36-$G36)</x:f>
      </x:c>
      <x:c r="I36" s="112" t="str">
        <x:f>IF($A36="","",INDEX('03 Productos'!$H$5:$H$79,MATCH($A36,'03 Productos'!$A$5:$A$79,0)))</x:f>
      </x:c>
      <x:c r="J36" s="112" t="str">
        <x:f>IF($A36="","",INDEX('03 Productos'!$I$5:$I$79,MATCH($A36,'03 Productos'!$A$5:$A$79,0)))</x:f>
      </x:c>
      <x:c r="K36" s="112" t="str">
        <x:f>IF($A36="","",$I36+INDEX('03 Productos'!$J$5:$J$79,MATCH($A36,'03 Productos'!$A$5:$A$79,0))*INDEX('03 Productos'!$K$5:$K$79,MATCH($A36,'03 Productos'!$A$5:$A$79,0)))</x:f>
      </x:c>
      <x:c r="L36" s="114" t="str">
        <x:f>IF($A36="","",IFERROR(($E36*INDEX('03 Productos'!$G$5:$G$79,MATCH($A36,'03 Productos'!$A$5:$A$79,0))+SUMIFS('04 Movimientos'!$K$5:$K$184,'04 Movimientos'!$C$5:$C$184,$A36,'04 Movimientos'!$B$5:$B$184,"Entrada"))/($E36+$F36),INDEX('03 Productos'!$G$5:$G$79,MATCH($A36,'03 Productos'!$A$5:$A$79,0))))</x:f>
      </x:c>
      <x:c r="M36" s="114" t="str">
        <x:f>IF($A36="","",$H36*$L36)</x:f>
      </x:c>
      <x:c r="N36" s="108" t="str">
        <x:f>IF($A36="","",IF($H36&lt;=0,"Sin stock",IF($H36&lt;=$I36,"Crítico",IF($H36&lt;=$K36,"Reordenar",IF($H36&gt;$J36,"Sobre stock","OK")))))</x:f>
      </x:c>
      <x:c r="O36" s="108" t="str">
        <x:f>IF($A36="","",IF($N36="Sin stock","Comprar de inmediato",IF($N36="Crítico","Reponer urgente",IF($N36="Reordenar","Programar compra",IF($N36="Sobre stock","Revisar exceso","Mantener")))))</x:f>
      </x:c>
    </x:row>
    <x:row r="37">
      <x:c r="A37" s="108" t="str">
        <x:f>IF('03 Productos'!A37="","",'03 Productos'!A37)</x:f>
      </x:c>
      <x:c r="B37" s="108" t="str">
        <x:f>IF($A37="","",INDEX('03 Productos'!$B$5:$B$79,MATCH($A37,'03 Productos'!$A$5:$A$79,0)))</x:f>
      </x:c>
      <x:c r="C37" s="108" t="str">
        <x:f>IF($A37="","",INDEX('03 Productos'!$C$5:$C$79,MATCH($A37,'03 Productos'!$A$5:$A$79,0)))</x:f>
      </x:c>
      <x:c r="D37" s="108" t="str">
        <x:f>IF($A37="","",INDEX('03 Productos'!$D$5:$D$79,MATCH($A37,'03 Productos'!$A$5:$A$79,0)))</x:f>
      </x:c>
      <x:c r="E37" s="112" t="str">
        <x:f>IF($A37="","",INDEX('03 Productos'!$F$5:$F$79,MATCH($A37,'03 Productos'!$A$5:$A$79,0)))</x:f>
      </x:c>
      <x:c r="F37" s="112" t="str">
        <x:f>IF($A37="","",SUMIFS('04 Movimientos'!$I$5:$I$184,'04 Movimientos'!$C$5:$C$184,$A37))</x:f>
      </x:c>
      <x:c r="G37" s="112" t="str">
        <x:f>IF($A37="","",SUMIFS('04 Movimientos'!$J$5:$J$184,'04 Movimientos'!$C$5:$C$184,$A37))</x:f>
      </x:c>
      <x:c r="H37" s="112" t="str">
        <x:f>IF($A37="","",$E37+$F37-$G37)</x:f>
      </x:c>
      <x:c r="I37" s="112" t="str">
        <x:f>IF($A37="","",INDEX('03 Productos'!$H$5:$H$79,MATCH($A37,'03 Productos'!$A$5:$A$79,0)))</x:f>
      </x:c>
      <x:c r="J37" s="112" t="str">
        <x:f>IF($A37="","",INDEX('03 Productos'!$I$5:$I$79,MATCH($A37,'03 Productos'!$A$5:$A$79,0)))</x:f>
      </x:c>
      <x:c r="K37" s="112" t="str">
        <x:f>IF($A37="","",$I37+INDEX('03 Productos'!$J$5:$J$79,MATCH($A37,'03 Productos'!$A$5:$A$79,0))*INDEX('03 Productos'!$K$5:$K$79,MATCH($A37,'03 Productos'!$A$5:$A$79,0)))</x:f>
      </x:c>
      <x:c r="L37" s="114" t="str">
        <x:f>IF($A37="","",IFERROR(($E37*INDEX('03 Productos'!$G$5:$G$79,MATCH($A37,'03 Productos'!$A$5:$A$79,0))+SUMIFS('04 Movimientos'!$K$5:$K$184,'04 Movimientos'!$C$5:$C$184,$A37,'04 Movimientos'!$B$5:$B$184,"Entrada"))/($E37+$F37),INDEX('03 Productos'!$G$5:$G$79,MATCH($A37,'03 Productos'!$A$5:$A$79,0))))</x:f>
      </x:c>
      <x:c r="M37" s="114" t="str">
        <x:f>IF($A37="","",$H37*$L37)</x:f>
      </x:c>
      <x:c r="N37" s="108" t="str">
        <x:f>IF($A37="","",IF($H37&lt;=0,"Sin stock",IF($H37&lt;=$I37,"Crítico",IF($H37&lt;=$K37,"Reordenar",IF($H37&gt;$J37,"Sobre stock","OK")))))</x:f>
      </x:c>
      <x:c r="O37" s="108" t="str">
        <x:f>IF($A37="","",IF($N37="Sin stock","Comprar de inmediato",IF($N37="Crítico","Reponer urgente",IF($N37="Reordenar","Programar compra",IF($N37="Sobre stock","Revisar exceso","Mantener")))))</x:f>
      </x:c>
    </x:row>
    <x:row r="38">
      <x:c r="A38" s="108" t="str">
        <x:f>IF('03 Productos'!A38="","",'03 Productos'!A38)</x:f>
      </x:c>
      <x:c r="B38" s="108" t="str">
        <x:f>IF($A38="","",INDEX('03 Productos'!$B$5:$B$79,MATCH($A38,'03 Productos'!$A$5:$A$79,0)))</x:f>
      </x:c>
      <x:c r="C38" s="108" t="str">
        <x:f>IF($A38="","",INDEX('03 Productos'!$C$5:$C$79,MATCH($A38,'03 Productos'!$A$5:$A$79,0)))</x:f>
      </x:c>
      <x:c r="D38" s="108" t="str">
        <x:f>IF($A38="","",INDEX('03 Productos'!$D$5:$D$79,MATCH($A38,'03 Productos'!$A$5:$A$79,0)))</x:f>
      </x:c>
      <x:c r="E38" s="112" t="str">
        <x:f>IF($A38="","",INDEX('03 Productos'!$F$5:$F$79,MATCH($A38,'03 Productos'!$A$5:$A$79,0)))</x:f>
      </x:c>
      <x:c r="F38" s="112" t="str">
        <x:f>IF($A38="","",SUMIFS('04 Movimientos'!$I$5:$I$184,'04 Movimientos'!$C$5:$C$184,$A38))</x:f>
      </x:c>
      <x:c r="G38" s="112" t="str">
        <x:f>IF($A38="","",SUMIFS('04 Movimientos'!$J$5:$J$184,'04 Movimientos'!$C$5:$C$184,$A38))</x:f>
      </x:c>
      <x:c r="H38" s="112" t="str">
        <x:f>IF($A38="","",$E38+$F38-$G38)</x:f>
      </x:c>
      <x:c r="I38" s="112" t="str">
        <x:f>IF($A38="","",INDEX('03 Productos'!$H$5:$H$79,MATCH($A38,'03 Productos'!$A$5:$A$79,0)))</x:f>
      </x:c>
      <x:c r="J38" s="112" t="str">
        <x:f>IF($A38="","",INDEX('03 Productos'!$I$5:$I$79,MATCH($A38,'03 Productos'!$A$5:$A$79,0)))</x:f>
      </x:c>
      <x:c r="K38" s="112" t="str">
        <x:f>IF($A38="","",$I38+INDEX('03 Productos'!$J$5:$J$79,MATCH($A38,'03 Productos'!$A$5:$A$79,0))*INDEX('03 Productos'!$K$5:$K$79,MATCH($A38,'03 Productos'!$A$5:$A$79,0)))</x:f>
      </x:c>
      <x:c r="L38" s="114" t="str">
        <x:f>IF($A38="","",IFERROR(($E38*INDEX('03 Productos'!$G$5:$G$79,MATCH($A38,'03 Productos'!$A$5:$A$79,0))+SUMIFS('04 Movimientos'!$K$5:$K$184,'04 Movimientos'!$C$5:$C$184,$A38,'04 Movimientos'!$B$5:$B$184,"Entrada"))/($E38+$F38),INDEX('03 Productos'!$G$5:$G$79,MATCH($A38,'03 Productos'!$A$5:$A$79,0))))</x:f>
      </x:c>
      <x:c r="M38" s="114" t="str">
        <x:f>IF($A38="","",$H38*$L38)</x:f>
      </x:c>
      <x:c r="N38" s="108" t="str">
        <x:f>IF($A38="","",IF($H38&lt;=0,"Sin stock",IF($H38&lt;=$I38,"Crítico",IF($H38&lt;=$K38,"Reordenar",IF($H38&gt;$J38,"Sobre stock","OK")))))</x:f>
      </x:c>
      <x:c r="O38" s="108" t="str">
        <x:f>IF($A38="","",IF($N38="Sin stock","Comprar de inmediato",IF($N38="Crítico","Reponer urgente",IF($N38="Reordenar","Programar compra",IF($N38="Sobre stock","Revisar exceso","Mantener")))))</x:f>
      </x:c>
    </x:row>
    <x:row r="39">
      <x:c r="A39" s="108" t="str">
        <x:f>IF('03 Productos'!A39="","",'03 Productos'!A39)</x:f>
      </x:c>
      <x:c r="B39" s="108" t="str">
        <x:f>IF($A39="","",INDEX('03 Productos'!$B$5:$B$79,MATCH($A39,'03 Productos'!$A$5:$A$79,0)))</x:f>
      </x:c>
      <x:c r="C39" s="108" t="str">
        <x:f>IF($A39="","",INDEX('03 Productos'!$C$5:$C$79,MATCH($A39,'03 Productos'!$A$5:$A$79,0)))</x:f>
      </x:c>
      <x:c r="D39" s="108" t="str">
        <x:f>IF($A39="","",INDEX('03 Productos'!$D$5:$D$79,MATCH($A39,'03 Productos'!$A$5:$A$79,0)))</x:f>
      </x:c>
      <x:c r="E39" s="112" t="str">
        <x:f>IF($A39="","",INDEX('03 Productos'!$F$5:$F$79,MATCH($A39,'03 Productos'!$A$5:$A$79,0)))</x:f>
      </x:c>
      <x:c r="F39" s="112" t="str">
        <x:f>IF($A39="","",SUMIFS('04 Movimientos'!$I$5:$I$184,'04 Movimientos'!$C$5:$C$184,$A39))</x:f>
      </x:c>
      <x:c r="G39" s="112" t="str">
        <x:f>IF($A39="","",SUMIFS('04 Movimientos'!$J$5:$J$184,'04 Movimientos'!$C$5:$C$184,$A39))</x:f>
      </x:c>
      <x:c r="H39" s="112" t="str">
        <x:f>IF($A39="","",$E39+$F39-$G39)</x:f>
      </x:c>
      <x:c r="I39" s="112" t="str">
        <x:f>IF($A39="","",INDEX('03 Productos'!$H$5:$H$79,MATCH($A39,'03 Productos'!$A$5:$A$79,0)))</x:f>
      </x:c>
      <x:c r="J39" s="112" t="str">
        <x:f>IF($A39="","",INDEX('03 Productos'!$I$5:$I$79,MATCH($A39,'03 Productos'!$A$5:$A$79,0)))</x:f>
      </x:c>
      <x:c r="K39" s="112" t="str">
        <x:f>IF($A39="","",$I39+INDEX('03 Productos'!$J$5:$J$79,MATCH($A39,'03 Productos'!$A$5:$A$79,0))*INDEX('03 Productos'!$K$5:$K$79,MATCH($A39,'03 Productos'!$A$5:$A$79,0)))</x:f>
      </x:c>
      <x:c r="L39" s="114" t="str">
        <x:f>IF($A39="","",IFERROR(($E39*INDEX('03 Productos'!$G$5:$G$79,MATCH($A39,'03 Productos'!$A$5:$A$79,0))+SUMIFS('04 Movimientos'!$K$5:$K$184,'04 Movimientos'!$C$5:$C$184,$A39,'04 Movimientos'!$B$5:$B$184,"Entrada"))/($E39+$F39),INDEX('03 Productos'!$G$5:$G$79,MATCH($A39,'03 Productos'!$A$5:$A$79,0))))</x:f>
      </x:c>
      <x:c r="M39" s="114" t="str">
        <x:f>IF($A39="","",$H39*$L39)</x:f>
      </x:c>
      <x:c r="N39" s="108" t="str">
        <x:f>IF($A39="","",IF($H39&lt;=0,"Sin stock",IF($H39&lt;=$I39,"Crítico",IF($H39&lt;=$K39,"Reordenar",IF($H39&gt;$J39,"Sobre stock","OK")))))</x:f>
      </x:c>
      <x:c r="O39" s="108" t="str">
        <x:f>IF($A39="","",IF($N39="Sin stock","Comprar de inmediato",IF($N39="Crítico","Reponer urgente",IF($N39="Reordenar","Programar compra",IF($N39="Sobre stock","Revisar exceso","Mantener")))))</x:f>
      </x:c>
    </x:row>
    <x:row r="40">
      <x:c r="A40" s="108" t="str">
        <x:f>IF('03 Productos'!A40="","",'03 Productos'!A40)</x:f>
      </x:c>
      <x:c r="B40" s="108" t="str">
        <x:f>IF($A40="","",INDEX('03 Productos'!$B$5:$B$79,MATCH($A40,'03 Productos'!$A$5:$A$79,0)))</x:f>
      </x:c>
      <x:c r="C40" s="108" t="str">
        <x:f>IF($A40="","",INDEX('03 Productos'!$C$5:$C$79,MATCH($A40,'03 Productos'!$A$5:$A$79,0)))</x:f>
      </x:c>
      <x:c r="D40" s="108" t="str">
        <x:f>IF($A40="","",INDEX('03 Productos'!$D$5:$D$79,MATCH($A40,'03 Productos'!$A$5:$A$79,0)))</x:f>
      </x:c>
      <x:c r="E40" s="112" t="str">
        <x:f>IF($A40="","",INDEX('03 Productos'!$F$5:$F$79,MATCH($A40,'03 Productos'!$A$5:$A$79,0)))</x:f>
      </x:c>
      <x:c r="F40" s="112" t="str">
        <x:f>IF($A40="","",SUMIFS('04 Movimientos'!$I$5:$I$184,'04 Movimientos'!$C$5:$C$184,$A40))</x:f>
      </x:c>
      <x:c r="G40" s="112" t="str">
        <x:f>IF($A40="","",SUMIFS('04 Movimientos'!$J$5:$J$184,'04 Movimientos'!$C$5:$C$184,$A40))</x:f>
      </x:c>
      <x:c r="H40" s="112" t="str">
        <x:f>IF($A40="","",$E40+$F40-$G40)</x:f>
      </x:c>
      <x:c r="I40" s="112" t="str">
        <x:f>IF($A40="","",INDEX('03 Productos'!$H$5:$H$79,MATCH($A40,'03 Productos'!$A$5:$A$79,0)))</x:f>
      </x:c>
      <x:c r="J40" s="112" t="str">
        <x:f>IF($A40="","",INDEX('03 Productos'!$I$5:$I$79,MATCH($A40,'03 Productos'!$A$5:$A$79,0)))</x:f>
      </x:c>
      <x:c r="K40" s="112" t="str">
        <x:f>IF($A40="","",$I40+INDEX('03 Productos'!$J$5:$J$79,MATCH($A40,'03 Productos'!$A$5:$A$79,0))*INDEX('03 Productos'!$K$5:$K$79,MATCH($A40,'03 Productos'!$A$5:$A$79,0)))</x:f>
      </x:c>
      <x:c r="L40" s="114" t="str">
        <x:f>IF($A40="","",IFERROR(($E40*INDEX('03 Productos'!$G$5:$G$79,MATCH($A40,'03 Productos'!$A$5:$A$79,0))+SUMIFS('04 Movimientos'!$K$5:$K$184,'04 Movimientos'!$C$5:$C$184,$A40,'04 Movimientos'!$B$5:$B$184,"Entrada"))/($E40+$F40),INDEX('03 Productos'!$G$5:$G$79,MATCH($A40,'03 Productos'!$A$5:$A$79,0))))</x:f>
      </x:c>
      <x:c r="M40" s="114" t="str">
        <x:f>IF($A40="","",$H40*$L40)</x:f>
      </x:c>
      <x:c r="N40" s="108" t="str">
        <x:f>IF($A40="","",IF($H40&lt;=0,"Sin stock",IF($H40&lt;=$I40,"Crítico",IF($H40&lt;=$K40,"Reordenar",IF($H40&gt;$J40,"Sobre stock","OK")))))</x:f>
      </x:c>
      <x:c r="O40" s="108" t="str">
        <x:f>IF($A40="","",IF($N40="Sin stock","Comprar de inmediato",IF($N40="Crítico","Reponer urgente",IF($N40="Reordenar","Programar compra",IF($N40="Sobre stock","Revisar exceso","Mantener")))))</x:f>
      </x:c>
    </x:row>
    <x:row r="41">
      <x:c r="A41" s="108" t="str">
        <x:f>IF('03 Productos'!A41="","",'03 Productos'!A41)</x:f>
      </x:c>
      <x:c r="B41" s="108" t="str">
        <x:f>IF($A41="","",INDEX('03 Productos'!$B$5:$B$79,MATCH($A41,'03 Productos'!$A$5:$A$79,0)))</x:f>
      </x:c>
      <x:c r="C41" s="108" t="str">
        <x:f>IF($A41="","",INDEX('03 Productos'!$C$5:$C$79,MATCH($A41,'03 Productos'!$A$5:$A$79,0)))</x:f>
      </x:c>
      <x:c r="D41" s="108" t="str">
        <x:f>IF($A41="","",INDEX('03 Productos'!$D$5:$D$79,MATCH($A41,'03 Productos'!$A$5:$A$79,0)))</x:f>
      </x:c>
      <x:c r="E41" s="112" t="str">
        <x:f>IF($A41="","",INDEX('03 Productos'!$F$5:$F$79,MATCH($A41,'03 Productos'!$A$5:$A$79,0)))</x:f>
      </x:c>
      <x:c r="F41" s="112" t="str">
        <x:f>IF($A41="","",SUMIFS('04 Movimientos'!$I$5:$I$184,'04 Movimientos'!$C$5:$C$184,$A41))</x:f>
      </x:c>
      <x:c r="G41" s="112" t="str">
        <x:f>IF($A41="","",SUMIFS('04 Movimientos'!$J$5:$J$184,'04 Movimientos'!$C$5:$C$184,$A41))</x:f>
      </x:c>
      <x:c r="H41" s="112" t="str">
        <x:f>IF($A41="","",$E41+$F41-$G41)</x:f>
      </x:c>
      <x:c r="I41" s="112" t="str">
        <x:f>IF($A41="","",INDEX('03 Productos'!$H$5:$H$79,MATCH($A41,'03 Productos'!$A$5:$A$79,0)))</x:f>
      </x:c>
      <x:c r="J41" s="112" t="str">
        <x:f>IF($A41="","",INDEX('03 Productos'!$I$5:$I$79,MATCH($A41,'03 Productos'!$A$5:$A$79,0)))</x:f>
      </x:c>
      <x:c r="K41" s="112" t="str">
        <x:f>IF($A41="","",$I41+INDEX('03 Productos'!$J$5:$J$79,MATCH($A41,'03 Productos'!$A$5:$A$79,0))*INDEX('03 Productos'!$K$5:$K$79,MATCH($A41,'03 Productos'!$A$5:$A$79,0)))</x:f>
      </x:c>
      <x:c r="L41" s="114" t="str">
        <x:f>IF($A41="","",IFERROR(($E41*INDEX('03 Productos'!$G$5:$G$79,MATCH($A41,'03 Productos'!$A$5:$A$79,0))+SUMIFS('04 Movimientos'!$K$5:$K$184,'04 Movimientos'!$C$5:$C$184,$A41,'04 Movimientos'!$B$5:$B$184,"Entrada"))/($E41+$F41),INDEX('03 Productos'!$G$5:$G$79,MATCH($A41,'03 Productos'!$A$5:$A$79,0))))</x:f>
      </x:c>
      <x:c r="M41" s="114" t="str">
        <x:f>IF($A41="","",$H41*$L41)</x:f>
      </x:c>
      <x:c r="N41" s="108" t="str">
        <x:f>IF($A41="","",IF($H41&lt;=0,"Sin stock",IF($H41&lt;=$I41,"Crítico",IF($H41&lt;=$K41,"Reordenar",IF($H41&gt;$J41,"Sobre stock","OK")))))</x:f>
      </x:c>
      <x:c r="O41" s="108" t="str">
        <x:f>IF($A41="","",IF($N41="Sin stock","Comprar de inmediato",IF($N41="Crítico","Reponer urgente",IF($N41="Reordenar","Programar compra",IF($N41="Sobre stock","Revisar exceso","Mantener")))))</x:f>
      </x:c>
    </x:row>
    <x:row r="42">
      <x:c r="A42" s="108" t="str">
        <x:f>IF('03 Productos'!A42="","",'03 Productos'!A42)</x:f>
      </x:c>
      <x:c r="B42" s="108" t="str">
        <x:f>IF($A42="","",INDEX('03 Productos'!$B$5:$B$79,MATCH($A42,'03 Productos'!$A$5:$A$79,0)))</x:f>
      </x:c>
      <x:c r="C42" s="108" t="str">
        <x:f>IF($A42="","",INDEX('03 Productos'!$C$5:$C$79,MATCH($A42,'03 Productos'!$A$5:$A$79,0)))</x:f>
      </x:c>
      <x:c r="D42" s="108" t="str">
        <x:f>IF($A42="","",INDEX('03 Productos'!$D$5:$D$79,MATCH($A42,'03 Productos'!$A$5:$A$79,0)))</x:f>
      </x:c>
      <x:c r="E42" s="112" t="str">
        <x:f>IF($A42="","",INDEX('03 Productos'!$F$5:$F$79,MATCH($A42,'03 Productos'!$A$5:$A$79,0)))</x:f>
      </x:c>
      <x:c r="F42" s="112" t="str">
        <x:f>IF($A42="","",SUMIFS('04 Movimientos'!$I$5:$I$184,'04 Movimientos'!$C$5:$C$184,$A42))</x:f>
      </x:c>
      <x:c r="G42" s="112" t="str">
        <x:f>IF($A42="","",SUMIFS('04 Movimientos'!$J$5:$J$184,'04 Movimientos'!$C$5:$C$184,$A42))</x:f>
      </x:c>
      <x:c r="H42" s="112" t="str">
        <x:f>IF($A42="","",$E42+$F42-$G42)</x:f>
      </x:c>
      <x:c r="I42" s="112" t="str">
        <x:f>IF($A42="","",INDEX('03 Productos'!$H$5:$H$79,MATCH($A42,'03 Productos'!$A$5:$A$79,0)))</x:f>
      </x:c>
      <x:c r="J42" s="112" t="str">
        <x:f>IF($A42="","",INDEX('03 Productos'!$I$5:$I$79,MATCH($A42,'03 Productos'!$A$5:$A$79,0)))</x:f>
      </x:c>
      <x:c r="K42" s="112" t="str">
        <x:f>IF($A42="","",$I42+INDEX('03 Productos'!$J$5:$J$79,MATCH($A42,'03 Productos'!$A$5:$A$79,0))*INDEX('03 Productos'!$K$5:$K$79,MATCH($A42,'03 Productos'!$A$5:$A$79,0)))</x:f>
      </x:c>
      <x:c r="L42" s="114" t="str">
        <x:f>IF($A42="","",IFERROR(($E42*INDEX('03 Productos'!$G$5:$G$79,MATCH($A42,'03 Productos'!$A$5:$A$79,0))+SUMIFS('04 Movimientos'!$K$5:$K$184,'04 Movimientos'!$C$5:$C$184,$A42,'04 Movimientos'!$B$5:$B$184,"Entrada"))/($E42+$F42),INDEX('03 Productos'!$G$5:$G$79,MATCH($A42,'03 Productos'!$A$5:$A$79,0))))</x:f>
      </x:c>
      <x:c r="M42" s="114" t="str">
        <x:f>IF($A42="","",$H42*$L42)</x:f>
      </x:c>
      <x:c r="N42" s="108" t="str">
        <x:f>IF($A42="","",IF($H42&lt;=0,"Sin stock",IF($H42&lt;=$I42,"Crítico",IF($H42&lt;=$K42,"Reordenar",IF($H42&gt;$J42,"Sobre stock","OK")))))</x:f>
      </x:c>
      <x:c r="O42" s="108" t="str">
        <x:f>IF($A42="","",IF($N42="Sin stock","Comprar de inmediato",IF($N42="Crítico","Reponer urgente",IF($N42="Reordenar","Programar compra",IF($N42="Sobre stock","Revisar exceso","Mantener")))))</x:f>
      </x:c>
    </x:row>
    <x:row r="43">
      <x:c r="A43" s="108" t="str">
        <x:f>IF('03 Productos'!A43="","",'03 Productos'!A43)</x:f>
      </x:c>
      <x:c r="B43" s="108" t="str">
        <x:f>IF($A43="","",INDEX('03 Productos'!$B$5:$B$79,MATCH($A43,'03 Productos'!$A$5:$A$79,0)))</x:f>
      </x:c>
      <x:c r="C43" s="108" t="str">
        <x:f>IF($A43="","",INDEX('03 Productos'!$C$5:$C$79,MATCH($A43,'03 Productos'!$A$5:$A$79,0)))</x:f>
      </x:c>
      <x:c r="D43" s="108" t="str">
        <x:f>IF($A43="","",INDEX('03 Productos'!$D$5:$D$79,MATCH($A43,'03 Productos'!$A$5:$A$79,0)))</x:f>
      </x:c>
      <x:c r="E43" s="112" t="str">
        <x:f>IF($A43="","",INDEX('03 Productos'!$F$5:$F$79,MATCH($A43,'03 Productos'!$A$5:$A$79,0)))</x:f>
      </x:c>
      <x:c r="F43" s="112" t="str">
        <x:f>IF($A43="","",SUMIFS('04 Movimientos'!$I$5:$I$184,'04 Movimientos'!$C$5:$C$184,$A43))</x:f>
      </x:c>
      <x:c r="G43" s="112" t="str">
        <x:f>IF($A43="","",SUMIFS('04 Movimientos'!$J$5:$J$184,'04 Movimientos'!$C$5:$C$184,$A43))</x:f>
      </x:c>
      <x:c r="H43" s="112" t="str">
        <x:f>IF($A43="","",$E43+$F43-$G43)</x:f>
      </x:c>
      <x:c r="I43" s="112" t="str">
        <x:f>IF($A43="","",INDEX('03 Productos'!$H$5:$H$79,MATCH($A43,'03 Productos'!$A$5:$A$79,0)))</x:f>
      </x:c>
      <x:c r="J43" s="112" t="str">
        <x:f>IF($A43="","",INDEX('03 Productos'!$I$5:$I$79,MATCH($A43,'03 Productos'!$A$5:$A$79,0)))</x:f>
      </x:c>
      <x:c r="K43" s="112" t="str">
        <x:f>IF($A43="","",$I43+INDEX('03 Productos'!$J$5:$J$79,MATCH($A43,'03 Productos'!$A$5:$A$79,0))*INDEX('03 Productos'!$K$5:$K$79,MATCH($A43,'03 Productos'!$A$5:$A$79,0)))</x:f>
      </x:c>
      <x:c r="L43" s="114" t="str">
        <x:f>IF($A43="","",IFERROR(($E43*INDEX('03 Productos'!$G$5:$G$79,MATCH($A43,'03 Productos'!$A$5:$A$79,0))+SUMIFS('04 Movimientos'!$K$5:$K$184,'04 Movimientos'!$C$5:$C$184,$A43,'04 Movimientos'!$B$5:$B$184,"Entrada"))/($E43+$F43),INDEX('03 Productos'!$G$5:$G$79,MATCH($A43,'03 Productos'!$A$5:$A$79,0))))</x:f>
      </x:c>
      <x:c r="M43" s="114" t="str">
        <x:f>IF($A43="","",$H43*$L43)</x:f>
      </x:c>
      <x:c r="N43" s="108" t="str">
        <x:f>IF($A43="","",IF($H43&lt;=0,"Sin stock",IF($H43&lt;=$I43,"Crítico",IF($H43&lt;=$K43,"Reordenar",IF($H43&gt;$J43,"Sobre stock","OK")))))</x:f>
      </x:c>
      <x:c r="O43" s="108" t="str">
        <x:f>IF($A43="","",IF($N43="Sin stock","Comprar de inmediato",IF($N43="Crítico","Reponer urgente",IF($N43="Reordenar","Programar compra",IF($N43="Sobre stock","Revisar exceso","Mantener")))))</x:f>
      </x:c>
    </x:row>
    <x:row r="44">
      <x:c r="A44" s="108" t="str">
        <x:f>IF('03 Productos'!A44="","",'03 Productos'!A44)</x:f>
      </x:c>
      <x:c r="B44" s="108" t="str">
        <x:f>IF($A44="","",INDEX('03 Productos'!$B$5:$B$79,MATCH($A44,'03 Productos'!$A$5:$A$79,0)))</x:f>
      </x:c>
      <x:c r="C44" s="108" t="str">
        <x:f>IF($A44="","",INDEX('03 Productos'!$C$5:$C$79,MATCH($A44,'03 Productos'!$A$5:$A$79,0)))</x:f>
      </x:c>
      <x:c r="D44" s="108" t="str">
        <x:f>IF($A44="","",INDEX('03 Productos'!$D$5:$D$79,MATCH($A44,'03 Productos'!$A$5:$A$79,0)))</x:f>
      </x:c>
      <x:c r="E44" s="112" t="str">
        <x:f>IF($A44="","",INDEX('03 Productos'!$F$5:$F$79,MATCH($A44,'03 Productos'!$A$5:$A$79,0)))</x:f>
      </x:c>
      <x:c r="F44" s="112" t="str">
        <x:f>IF($A44="","",SUMIFS('04 Movimientos'!$I$5:$I$184,'04 Movimientos'!$C$5:$C$184,$A44))</x:f>
      </x:c>
      <x:c r="G44" s="112" t="str">
        <x:f>IF($A44="","",SUMIFS('04 Movimientos'!$J$5:$J$184,'04 Movimientos'!$C$5:$C$184,$A44))</x:f>
      </x:c>
      <x:c r="H44" s="112" t="str">
        <x:f>IF($A44="","",$E44+$F44-$G44)</x:f>
      </x:c>
      <x:c r="I44" s="112" t="str">
        <x:f>IF($A44="","",INDEX('03 Productos'!$H$5:$H$79,MATCH($A44,'03 Productos'!$A$5:$A$79,0)))</x:f>
      </x:c>
      <x:c r="J44" s="112" t="str">
        <x:f>IF($A44="","",INDEX('03 Productos'!$I$5:$I$79,MATCH($A44,'03 Productos'!$A$5:$A$79,0)))</x:f>
      </x:c>
      <x:c r="K44" s="112" t="str">
        <x:f>IF($A44="","",$I44+INDEX('03 Productos'!$J$5:$J$79,MATCH($A44,'03 Productos'!$A$5:$A$79,0))*INDEX('03 Productos'!$K$5:$K$79,MATCH($A44,'03 Productos'!$A$5:$A$79,0)))</x:f>
      </x:c>
      <x:c r="L44" s="114" t="str">
        <x:f>IF($A44="","",IFERROR(($E44*INDEX('03 Productos'!$G$5:$G$79,MATCH($A44,'03 Productos'!$A$5:$A$79,0))+SUMIFS('04 Movimientos'!$K$5:$K$184,'04 Movimientos'!$C$5:$C$184,$A44,'04 Movimientos'!$B$5:$B$184,"Entrada"))/($E44+$F44),INDEX('03 Productos'!$G$5:$G$79,MATCH($A44,'03 Productos'!$A$5:$A$79,0))))</x:f>
      </x:c>
      <x:c r="M44" s="114" t="str">
        <x:f>IF($A44="","",$H44*$L44)</x:f>
      </x:c>
      <x:c r="N44" s="108" t="str">
        <x:f>IF($A44="","",IF($H44&lt;=0,"Sin stock",IF($H44&lt;=$I44,"Crítico",IF($H44&lt;=$K44,"Reordenar",IF($H44&gt;$J44,"Sobre stock","OK")))))</x:f>
      </x:c>
      <x:c r="O44" s="108" t="str">
        <x:f>IF($A44="","",IF($N44="Sin stock","Comprar de inmediato",IF($N44="Crítico","Reponer urgente",IF($N44="Reordenar","Programar compra",IF($N44="Sobre stock","Revisar exceso","Mantener")))))</x:f>
      </x:c>
    </x:row>
    <x:row r="45">
      <x:c r="A45" s="108" t="str">
        <x:f>IF('03 Productos'!A45="","",'03 Productos'!A45)</x:f>
      </x:c>
      <x:c r="B45" s="108" t="str">
        <x:f>IF($A45="","",INDEX('03 Productos'!$B$5:$B$79,MATCH($A45,'03 Productos'!$A$5:$A$79,0)))</x:f>
      </x:c>
      <x:c r="C45" s="108" t="str">
        <x:f>IF($A45="","",INDEX('03 Productos'!$C$5:$C$79,MATCH($A45,'03 Productos'!$A$5:$A$79,0)))</x:f>
      </x:c>
      <x:c r="D45" s="108" t="str">
        <x:f>IF($A45="","",INDEX('03 Productos'!$D$5:$D$79,MATCH($A45,'03 Productos'!$A$5:$A$79,0)))</x:f>
      </x:c>
      <x:c r="E45" s="112" t="str">
        <x:f>IF($A45="","",INDEX('03 Productos'!$F$5:$F$79,MATCH($A45,'03 Productos'!$A$5:$A$79,0)))</x:f>
      </x:c>
      <x:c r="F45" s="112" t="str">
        <x:f>IF($A45="","",SUMIFS('04 Movimientos'!$I$5:$I$184,'04 Movimientos'!$C$5:$C$184,$A45))</x:f>
      </x:c>
      <x:c r="G45" s="112" t="str">
        <x:f>IF($A45="","",SUMIFS('04 Movimientos'!$J$5:$J$184,'04 Movimientos'!$C$5:$C$184,$A45))</x:f>
      </x:c>
      <x:c r="H45" s="112" t="str">
        <x:f>IF($A45="","",$E45+$F45-$G45)</x:f>
      </x:c>
      <x:c r="I45" s="112" t="str">
        <x:f>IF($A45="","",INDEX('03 Productos'!$H$5:$H$79,MATCH($A45,'03 Productos'!$A$5:$A$79,0)))</x:f>
      </x:c>
      <x:c r="J45" s="112" t="str">
        <x:f>IF($A45="","",INDEX('03 Productos'!$I$5:$I$79,MATCH($A45,'03 Productos'!$A$5:$A$79,0)))</x:f>
      </x:c>
      <x:c r="K45" s="112" t="str">
        <x:f>IF($A45="","",$I45+INDEX('03 Productos'!$J$5:$J$79,MATCH($A45,'03 Productos'!$A$5:$A$79,0))*INDEX('03 Productos'!$K$5:$K$79,MATCH($A45,'03 Productos'!$A$5:$A$79,0)))</x:f>
      </x:c>
      <x:c r="L45" s="114" t="str">
        <x:f>IF($A45="","",IFERROR(($E45*INDEX('03 Productos'!$G$5:$G$79,MATCH($A45,'03 Productos'!$A$5:$A$79,0))+SUMIFS('04 Movimientos'!$K$5:$K$184,'04 Movimientos'!$C$5:$C$184,$A45,'04 Movimientos'!$B$5:$B$184,"Entrada"))/($E45+$F45),INDEX('03 Productos'!$G$5:$G$79,MATCH($A45,'03 Productos'!$A$5:$A$79,0))))</x:f>
      </x:c>
      <x:c r="M45" s="114" t="str">
        <x:f>IF($A45="","",$H45*$L45)</x:f>
      </x:c>
      <x:c r="N45" s="108" t="str">
        <x:f>IF($A45="","",IF($H45&lt;=0,"Sin stock",IF($H45&lt;=$I45,"Crítico",IF($H45&lt;=$K45,"Reordenar",IF($H45&gt;$J45,"Sobre stock","OK")))))</x:f>
      </x:c>
      <x:c r="O45" s="108" t="str">
        <x:f>IF($A45="","",IF($N45="Sin stock","Comprar de inmediato",IF($N45="Crítico","Reponer urgente",IF($N45="Reordenar","Programar compra",IF($N45="Sobre stock","Revisar exceso","Mantener")))))</x:f>
      </x:c>
    </x:row>
    <x:row r="46">
      <x:c r="A46" s="108" t="str">
        <x:f>IF('03 Productos'!A46="","",'03 Productos'!A46)</x:f>
      </x:c>
      <x:c r="B46" s="108" t="str">
        <x:f>IF($A46="","",INDEX('03 Productos'!$B$5:$B$79,MATCH($A46,'03 Productos'!$A$5:$A$79,0)))</x:f>
      </x:c>
      <x:c r="C46" s="108" t="str">
        <x:f>IF($A46="","",INDEX('03 Productos'!$C$5:$C$79,MATCH($A46,'03 Productos'!$A$5:$A$79,0)))</x:f>
      </x:c>
      <x:c r="D46" s="108" t="str">
        <x:f>IF($A46="","",INDEX('03 Productos'!$D$5:$D$79,MATCH($A46,'03 Productos'!$A$5:$A$79,0)))</x:f>
      </x:c>
      <x:c r="E46" s="112" t="str">
        <x:f>IF($A46="","",INDEX('03 Productos'!$F$5:$F$79,MATCH($A46,'03 Productos'!$A$5:$A$79,0)))</x:f>
      </x:c>
      <x:c r="F46" s="112" t="str">
        <x:f>IF($A46="","",SUMIFS('04 Movimientos'!$I$5:$I$184,'04 Movimientos'!$C$5:$C$184,$A46))</x:f>
      </x:c>
      <x:c r="G46" s="112" t="str">
        <x:f>IF($A46="","",SUMIFS('04 Movimientos'!$J$5:$J$184,'04 Movimientos'!$C$5:$C$184,$A46))</x:f>
      </x:c>
      <x:c r="H46" s="112" t="str">
        <x:f>IF($A46="","",$E46+$F46-$G46)</x:f>
      </x:c>
      <x:c r="I46" s="112" t="str">
        <x:f>IF($A46="","",INDEX('03 Productos'!$H$5:$H$79,MATCH($A46,'03 Productos'!$A$5:$A$79,0)))</x:f>
      </x:c>
      <x:c r="J46" s="112" t="str">
        <x:f>IF($A46="","",INDEX('03 Productos'!$I$5:$I$79,MATCH($A46,'03 Productos'!$A$5:$A$79,0)))</x:f>
      </x:c>
      <x:c r="K46" s="112" t="str">
        <x:f>IF($A46="","",$I46+INDEX('03 Productos'!$J$5:$J$79,MATCH($A46,'03 Productos'!$A$5:$A$79,0))*INDEX('03 Productos'!$K$5:$K$79,MATCH($A46,'03 Productos'!$A$5:$A$79,0)))</x:f>
      </x:c>
      <x:c r="L46" s="114" t="str">
        <x:f>IF($A46="","",IFERROR(($E46*INDEX('03 Productos'!$G$5:$G$79,MATCH($A46,'03 Productos'!$A$5:$A$79,0))+SUMIFS('04 Movimientos'!$K$5:$K$184,'04 Movimientos'!$C$5:$C$184,$A46,'04 Movimientos'!$B$5:$B$184,"Entrada"))/($E46+$F46),INDEX('03 Productos'!$G$5:$G$79,MATCH($A46,'03 Productos'!$A$5:$A$79,0))))</x:f>
      </x:c>
      <x:c r="M46" s="114" t="str">
        <x:f>IF($A46="","",$H46*$L46)</x:f>
      </x:c>
      <x:c r="N46" s="108" t="str">
        <x:f>IF($A46="","",IF($H46&lt;=0,"Sin stock",IF($H46&lt;=$I46,"Crítico",IF($H46&lt;=$K46,"Reordenar",IF($H46&gt;$J46,"Sobre stock","OK")))))</x:f>
      </x:c>
      <x:c r="O46" s="108" t="str">
        <x:f>IF($A46="","",IF($N46="Sin stock","Comprar de inmediato",IF($N46="Crítico","Reponer urgente",IF($N46="Reordenar","Programar compra",IF($N46="Sobre stock","Revisar exceso","Mantener")))))</x:f>
      </x:c>
    </x:row>
    <x:row r="47">
      <x:c r="A47" s="108" t="str">
        <x:f>IF('03 Productos'!A47="","",'03 Productos'!A47)</x:f>
      </x:c>
      <x:c r="B47" s="108" t="str">
        <x:f>IF($A47="","",INDEX('03 Productos'!$B$5:$B$79,MATCH($A47,'03 Productos'!$A$5:$A$79,0)))</x:f>
      </x:c>
      <x:c r="C47" s="108" t="str">
        <x:f>IF($A47="","",INDEX('03 Productos'!$C$5:$C$79,MATCH($A47,'03 Productos'!$A$5:$A$79,0)))</x:f>
      </x:c>
      <x:c r="D47" s="108" t="str">
        <x:f>IF($A47="","",INDEX('03 Productos'!$D$5:$D$79,MATCH($A47,'03 Productos'!$A$5:$A$79,0)))</x:f>
      </x:c>
      <x:c r="E47" s="112" t="str">
        <x:f>IF($A47="","",INDEX('03 Productos'!$F$5:$F$79,MATCH($A47,'03 Productos'!$A$5:$A$79,0)))</x:f>
      </x:c>
      <x:c r="F47" s="112" t="str">
        <x:f>IF($A47="","",SUMIFS('04 Movimientos'!$I$5:$I$184,'04 Movimientos'!$C$5:$C$184,$A47))</x:f>
      </x:c>
      <x:c r="G47" s="112" t="str">
        <x:f>IF($A47="","",SUMIFS('04 Movimientos'!$J$5:$J$184,'04 Movimientos'!$C$5:$C$184,$A47))</x:f>
      </x:c>
      <x:c r="H47" s="112" t="str">
        <x:f>IF($A47="","",$E47+$F47-$G47)</x:f>
      </x:c>
      <x:c r="I47" s="112" t="str">
        <x:f>IF($A47="","",INDEX('03 Productos'!$H$5:$H$79,MATCH($A47,'03 Productos'!$A$5:$A$79,0)))</x:f>
      </x:c>
      <x:c r="J47" s="112" t="str">
        <x:f>IF($A47="","",INDEX('03 Productos'!$I$5:$I$79,MATCH($A47,'03 Productos'!$A$5:$A$79,0)))</x:f>
      </x:c>
      <x:c r="K47" s="112" t="str">
        <x:f>IF($A47="","",$I47+INDEX('03 Productos'!$J$5:$J$79,MATCH($A47,'03 Productos'!$A$5:$A$79,0))*INDEX('03 Productos'!$K$5:$K$79,MATCH($A47,'03 Productos'!$A$5:$A$79,0)))</x:f>
      </x:c>
      <x:c r="L47" s="114" t="str">
        <x:f>IF($A47="","",IFERROR(($E47*INDEX('03 Productos'!$G$5:$G$79,MATCH($A47,'03 Productos'!$A$5:$A$79,0))+SUMIFS('04 Movimientos'!$K$5:$K$184,'04 Movimientos'!$C$5:$C$184,$A47,'04 Movimientos'!$B$5:$B$184,"Entrada"))/($E47+$F47),INDEX('03 Productos'!$G$5:$G$79,MATCH($A47,'03 Productos'!$A$5:$A$79,0))))</x:f>
      </x:c>
      <x:c r="M47" s="114" t="str">
        <x:f>IF($A47="","",$H47*$L47)</x:f>
      </x:c>
      <x:c r="N47" s="108" t="str">
        <x:f>IF($A47="","",IF($H47&lt;=0,"Sin stock",IF($H47&lt;=$I47,"Crítico",IF($H47&lt;=$K47,"Reordenar",IF($H47&gt;$J47,"Sobre stock","OK")))))</x:f>
      </x:c>
      <x:c r="O47" s="108" t="str">
        <x:f>IF($A47="","",IF($N47="Sin stock","Comprar de inmediato",IF($N47="Crítico","Reponer urgente",IF($N47="Reordenar","Programar compra",IF($N47="Sobre stock","Revisar exceso","Mantener")))))</x:f>
      </x:c>
    </x:row>
    <x:row r="48">
      <x:c r="A48" s="108" t="str">
        <x:f>IF('03 Productos'!A48="","",'03 Productos'!A48)</x:f>
      </x:c>
      <x:c r="B48" s="108" t="str">
        <x:f>IF($A48="","",INDEX('03 Productos'!$B$5:$B$79,MATCH($A48,'03 Productos'!$A$5:$A$79,0)))</x:f>
      </x:c>
      <x:c r="C48" s="108" t="str">
        <x:f>IF($A48="","",INDEX('03 Productos'!$C$5:$C$79,MATCH($A48,'03 Productos'!$A$5:$A$79,0)))</x:f>
      </x:c>
      <x:c r="D48" s="108" t="str">
        <x:f>IF($A48="","",INDEX('03 Productos'!$D$5:$D$79,MATCH($A48,'03 Productos'!$A$5:$A$79,0)))</x:f>
      </x:c>
      <x:c r="E48" s="112" t="str">
        <x:f>IF($A48="","",INDEX('03 Productos'!$F$5:$F$79,MATCH($A48,'03 Productos'!$A$5:$A$79,0)))</x:f>
      </x:c>
      <x:c r="F48" s="112" t="str">
        <x:f>IF($A48="","",SUMIFS('04 Movimientos'!$I$5:$I$184,'04 Movimientos'!$C$5:$C$184,$A48))</x:f>
      </x:c>
      <x:c r="G48" s="112" t="str">
        <x:f>IF($A48="","",SUMIFS('04 Movimientos'!$J$5:$J$184,'04 Movimientos'!$C$5:$C$184,$A48))</x:f>
      </x:c>
      <x:c r="H48" s="112" t="str">
        <x:f>IF($A48="","",$E48+$F48-$G48)</x:f>
      </x:c>
      <x:c r="I48" s="112" t="str">
        <x:f>IF($A48="","",INDEX('03 Productos'!$H$5:$H$79,MATCH($A48,'03 Productos'!$A$5:$A$79,0)))</x:f>
      </x:c>
      <x:c r="J48" s="112" t="str">
        <x:f>IF($A48="","",INDEX('03 Productos'!$I$5:$I$79,MATCH($A48,'03 Productos'!$A$5:$A$79,0)))</x:f>
      </x:c>
      <x:c r="K48" s="112" t="str">
        <x:f>IF($A48="","",$I48+INDEX('03 Productos'!$J$5:$J$79,MATCH($A48,'03 Productos'!$A$5:$A$79,0))*INDEX('03 Productos'!$K$5:$K$79,MATCH($A48,'03 Productos'!$A$5:$A$79,0)))</x:f>
      </x:c>
      <x:c r="L48" s="114" t="str">
        <x:f>IF($A48="","",IFERROR(($E48*INDEX('03 Productos'!$G$5:$G$79,MATCH($A48,'03 Productos'!$A$5:$A$79,0))+SUMIFS('04 Movimientos'!$K$5:$K$184,'04 Movimientos'!$C$5:$C$184,$A48,'04 Movimientos'!$B$5:$B$184,"Entrada"))/($E48+$F48),INDEX('03 Productos'!$G$5:$G$79,MATCH($A48,'03 Productos'!$A$5:$A$79,0))))</x:f>
      </x:c>
      <x:c r="M48" s="114" t="str">
        <x:f>IF($A48="","",$H48*$L48)</x:f>
      </x:c>
      <x:c r="N48" s="108" t="str">
        <x:f>IF($A48="","",IF($H48&lt;=0,"Sin stock",IF($H48&lt;=$I48,"Crítico",IF($H48&lt;=$K48,"Reordenar",IF($H48&gt;$J48,"Sobre stock","OK")))))</x:f>
      </x:c>
      <x:c r="O48" s="108" t="str">
        <x:f>IF($A48="","",IF($N48="Sin stock","Comprar de inmediato",IF($N48="Crítico","Reponer urgente",IF($N48="Reordenar","Programar compra",IF($N48="Sobre stock","Revisar exceso","Mantener")))))</x:f>
      </x:c>
    </x:row>
    <x:row r="49">
      <x:c r="A49" s="108" t="str">
        <x:f>IF('03 Productos'!A49="","",'03 Productos'!A49)</x:f>
      </x:c>
      <x:c r="B49" s="108" t="str">
        <x:f>IF($A49="","",INDEX('03 Productos'!$B$5:$B$79,MATCH($A49,'03 Productos'!$A$5:$A$79,0)))</x:f>
      </x:c>
      <x:c r="C49" s="108" t="str">
        <x:f>IF($A49="","",INDEX('03 Productos'!$C$5:$C$79,MATCH($A49,'03 Productos'!$A$5:$A$79,0)))</x:f>
      </x:c>
      <x:c r="D49" s="108" t="str">
        <x:f>IF($A49="","",INDEX('03 Productos'!$D$5:$D$79,MATCH($A49,'03 Productos'!$A$5:$A$79,0)))</x:f>
      </x:c>
      <x:c r="E49" s="112" t="str">
        <x:f>IF($A49="","",INDEX('03 Productos'!$F$5:$F$79,MATCH($A49,'03 Productos'!$A$5:$A$79,0)))</x:f>
      </x:c>
      <x:c r="F49" s="112" t="str">
        <x:f>IF($A49="","",SUMIFS('04 Movimientos'!$I$5:$I$184,'04 Movimientos'!$C$5:$C$184,$A49))</x:f>
      </x:c>
      <x:c r="G49" s="112" t="str">
        <x:f>IF($A49="","",SUMIFS('04 Movimientos'!$J$5:$J$184,'04 Movimientos'!$C$5:$C$184,$A49))</x:f>
      </x:c>
      <x:c r="H49" s="112" t="str">
        <x:f>IF($A49="","",$E49+$F49-$G49)</x:f>
      </x:c>
      <x:c r="I49" s="112" t="str">
        <x:f>IF($A49="","",INDEX('03 Productos'!$H$5:$H$79,MATCH($A49,'03 Productos'!$A$5:$A$79,0)))</x:f>
      </x:c>
      <x:c r="J49" s="112" t="str">
        <x:f>IF($A49="","",INDEX('03 Productos'!$I$5:$I$79,MATCH($A49,'03 Productos'!$A$5:$A$79,0)))</x:f>
      </x:c>
      <x:c r="K49" s="112" t="str">
        <x:f>IF($A49="","",$I49+INDEX('03 Productos'!$J$5:$J$79,MATCH($A49,'03 Productos'!$A$5:$A$79,0))*INDEX('03 Productos'!$K$5:$K$79,MATCH($A49,'03 Productos'!$A$5:$A$79,0)))</x:f>
      </x:c>
      <x:c r="L49" s="114" t="str">
        <x:f>IF($A49="","",IFERROR(($E49*INDEX('03 Productos'!$G$5:$G$79,MATCH($A49,'03 Productos'!$A$5:$A$79,0))+SUMIFS('04 Movimientos'!$K$5:$K$184,'04 Movimientos'!$C$5:$C$184,$A49,'04 Movimientos'!$B$5:$B$184,"Entrada"))/($E49+$F49),INDEX('03 Productos'!$G$5:$G$79,MATCH($A49,'03 Productos'!$A$5:$A$79,0))))</x:f>
      </x:c>
      <x:c r="M49" s="114" t="str">
        <x:f>IF($A49="","",$H49*$L49)</x:f>
      </x:c>
      <x:c r="N49" s="108" t="str">
        <x:f>IF($A49="","",IF($H49&lt;=0,"Sin stock",IF($H49&lt;=$I49,"Crítico",IF($H49&lt;=$K49,"Reordenar",IF($H49&gt;$J49,"Sobre stock","OK")))))</x:f>
      </x:c>
      <x:c r="O49" s="108" t="str">
        <x:f>IF($A49="","",IF($N49="Sin stock","Comprar de inmediato",IF($N49="Crítico","Reponer urgente",IF($N49="Reordenar","Programar compra",IF($N49="Sobre stock","Revisar exceso","Mantener")))))</x:f>
      </x:c>
    </x:row>
    <x:row r="50">
      <x:c r="A50" s="108" t="str">
        <x:f>IF('03 Productos'!A50="","",'03 Productos'!A50)</x:f>
      </x:c>
      <x:c r="B50" s="108" t="str">
        <x:f>IF($A50="","",INDEX('03 Productos'!$B$5:$B$79,MATCH($A50,'03 Productos'!$A$5:$A$79,0)))</x:f>
      </x:c>
      <x:c r="C50" s="108" t="str">
        <x:f>IF($A50="","",INDEX('03 Productos'!$C$5:$C$79,MATCH($A50,'03 Productos'!$A$5:$A$79,0)))</x:f>
      </x:c>
      <x:c r="D50" s="108" t="str">
        <x:f>IF($A50="","",INDEX('03 Productos'!$D$5:$D$79,MATCH($A50,'03 Productos'!$A$5:$A$79,0)))</x:f>
      </x:c>
      <x:c r="E50" s="112" t="str">
        <x:f>IF($A50="","",INDEX('03 Productos'!$F$5:$F$79,MATCH($A50,'03 Productos'!$A$5:$A$79,0)))</x:f>
      </x:c>
      <x:c r="F50" s="112" t="str">
        <x:f>IF($A50="","",SUMIFS('04 Movimientos'!$I$5:$I$184,'04 Movimientos'!$C$5:$C$184,$A50))</x:f>
      </x:c>
      <x:c r="G50" s="112" t="str">
        <x:f>IF($A50="","",SUMIFS('04 Movimientos'!$J$5:$J$184,'04 Movimientos'!$C$5:$C$184,$A50))</x:f>
      </x:c>
      <x:c r="H50" s="112" t="str">
        <x:f>IF($A50="","",$E50+$F50-$G50)</x:f>
      </x:c>
      <x:c r="I50" s="112" t="str">
        <x:f>IF($A50="","",INDEX('03 Productos'!$H$5:$H$79,MATCH($A50,'03 Productos'!$A$5:$A$79,0)))</x:f>
      </x:c>
      <x:c r="J50" s="112" t="str">
        <x:f>IF($A50="","",INDEX('03 Productos'!$I$5:$I$79,MATCH($A50,'03 Productos'!$A$5:$A$79,0)))</x:f>
      </x:c>
      <x:c r="K50" s="112" t="str">
        <x:f>IF($A50="","",$I50+INDEX('03 Productos'!$J$5:$J$79,MATCH($A50,'03 Productos'!$A$5:$A$79,0))*INDEX('03 Productos'!$K$5:$K$79,MATCH($A50,'03 Productos'!$A$5:$A$79,0)))</x:f>
      </x:c>
      <x:c r="L50" s="114" t="str">
        <x:f>IF($A50="","",IFERROR(($E50*INDEX('03 Productos'!$G$5:$G$79,MATCH($A50,'03 Productos'!$A$5:$A$79,0))+SUMIFS('04 Movimientos'!$K$5:$K$184,'04 Movimientos'!$C$5:$C$184,$A50,'04 Movimientos'!$B$5:$B$184,"Entrada"))/($E50+$F50),INDEX('03 Productos'!$G$5:$G$79,MATCH($A50,'03 Productos'!$A$5:$A$79,0))))</x:f>
      </x:c>
      <x:c r="M50" s="114" t="str">
        <x:f>IF($A50="","",$H50*$L50)</x:f>
      </x:c>
      <x:c r="N50" s="108" t="str">
        <x:f>IF($A50="","",IF($H50&lt;=0,"Sin stock",IF($H50&lt;=$I50,"Crítico",IF($H50&lt;=$K50,"Reordenar",IF($H50&gt;$J50,"Sobre stock","OK")))))</x:f>
      </x:c>
      <x:c r="O50" s="108" t="str">
        <x:f>IF($A50="","",IF($N50="Sin stock","Comprar de inmediato",IF($N50="Crítico","Reponer urgente",IF($N50="Reordenar","Programar compra",IF($N50="Sobre stock","Revisar exceso","Mantener")))))</x:f>
      </x:c>
    </x:row>
    <x:row r="51">
      <x:c r="A51" s="108" t="str">
        <x:f>IF('03 Productos'!A51="","",'03 Productos'!A51)</x:f>
      </x:c>
      <x:c r="B51" s="108" t="str">
        <x:f>IF($A51="","",INDEX('03 Productos'!$B$5:$B$79,MATCH($A51,'03 Productos'!$A$5:$A$79,0)))</x:f>
      </x:c>
      <x:c r="C51" s="108" t="str">
        <x:f>IF($A51="","",INDEX('03 Productos'!$C$5:$C$79,MATCH($A51,'03 Productos'!$A$5:$A$79,0)))</x:f>
      </x:c>
      <x:c r="D51" s="108" t="str">
        <x:f>IF($A51="","",INDEX('03 Productos'!$D$5:$D$79,MATCH($A51,'03 Productos'!$A$5:$A$79,0)))</x:f>
      </x:c>
      <x:c r="E51" s="112" t="str">
        <x:f>IF($A51="","",INDEX('03 Productos'!$F$5:$F$79,MATCH($A51,'03 Productos'!$A$5:$A$79,0)))</x:f>
      </x:c>
      <x:c r="F51" s="112" t="str">
        <x:f>IF($A51="","",SUMIFS('04 Movimientos'!$I$5:$I$184,'04 Movimientos'!$C$5:$C$184,$A51))</x:f>
      </x:c>
      <x:c r="G51" s="112" t="str">
        <x:f>IF($A51="","",SUMIFS('04 Movimientos'!$J$5:$J$184,'04 Movimientos'!$C$5:$C$184,$A51))</x:f>
      </x:c>
      <x:c r="H51" s="112" t="str">
        <x:f>IF($A51="","",$E51+$F51-$G51)</x:f>
      </x:c>
      <x:c r="I51" s="112" t="str">
        <x:f>IF($A51="","",INDEX('03 Productos'!$H$5:$H$79,MATCH($A51,'03 Productos'!$A$5:$A$79,0)))</x:f>
      </x:c>
      <x:c r="J51" s="112" t="str">
        <x:f>IF($A51="","",INDEX('03 Productos'!$I$5:$I$79,MATCH($A51,'03 Productos'!$A$5:$A$79,0)))</x:f>
      </x:c>
      <x:c r="K51" s="112" t="str">
        <x:f>IF($A51="","",$I51+INDEX('03 Productos'!$J$5:$J$79,MATCH($A51,'03 Productos'!$A$5:$A$79,0))*INDEX('03 Productos'!$K$5:$K$79,MATCH($A51,'03 Productos'!$A$5:$A$79,0)))</x:f>
      </x:c>
      <x:c r="L51" s="114" t="str">
        <x:f>IF($A51="","",IFERROR(($E51*INDEX('03 Productos'!$G$5:$G$79,MATCH($A51,'03 Productos'!$A$5:$A$79,0))+SUMIFS('04 Movimientos'!$K$5:$K$184,'04 Movimientos'!$C$5:$C$184,$A51,'04 Movimientos'!$B$5:$B$184,"Entrada"))/($E51+$F51),INDEX('03 Productos'!$G$5:$G$79,MATCH($A51,'03 Productos'!$A$5:$A$79,0))))</x:f>
      </x:c>
      <x:c r="M51" s="114" t="str">
        <x:f>IF($A51="","",$H51*$L51)</x:f>
      </x:c>
      <x:c r="N51" s="108" t="str">
        <x:f>IF($A51="","",IF($H51&lt;=0,"Sin stock",IF($H51&lt;=$I51,"Crítico",IF($H51&lt;=$K51,"Reordenar",IF($H51&gt;$J51,"Sobre stock","OK")))))</x:f>
      </x:c>
      <x:c r="O51" s="108" t="str">
        <x:f>IF($A51="","",IF($N51="Sin stock","Comprar de inmediato",IF($N51="Crítico","Reponer urgente",IF($N51="Reordenar","Programar compra",IF($N51="Sobre stock","Revisar exceso","Mantener")))))</x:f>
      </x:c>
    </x:row>
    <x:row r="52">
      <x:c r="A52" s="108" t="str">
        <x:f>IF('03 Productos'!A52="","",'03 Productos'!A52)</x:f>
      </x:c>
      <x:c r="B52" s="108" t="str">
        <x:f>IF($A52="","",INDEX('03 Productos'!$B$5:$B$79,MATCH($A52,'03 Productos'!$A$5:$A$79,0)))</x:f>
      </x:c>
      <x:c r="C52" s="108" t="str">
        <x:f>IF($A52="","",INDEX('03 Productos'!$C$5:$C$79,MATCH($A52,'03 Productos'!$A$5:$A$79,0)))</x:f>
      </x:c>
      <x:c r="D52" s="108" t="str">
        <x:f>IF($A52="","",INDEX('03 Productos'!$D$5:$D$79,MATCH($A52,'03 Productos'!$A$5:$A$79,0)))</x:f>
      </x:c>
      <x:c r="E52" s="112" t="str">
        <x:f>IF($A52="","",INDEX('03 Productos'!$F$5:$F$79,MATCH($A52,'03 Productos'!$A$5:$A$79,0)))</x:f>
      </x:c>
      <x:c r="F52" s="112" t="str">
        <x:f>IF($A52="","",SUMIFS('04 Movimientos'!$I$5:$I$184,'04 Movimientos'!$C$5:$C$184,$A52))</x:f>
      </x:c>
      <x:c r="G52" s="112" t="str">
        <x:f>IF($A52="","",SUMIFS('04 Movimientos'!$J$5:$J$184,'04 Movimientos'!$C$5:$C$184,$A52))</x:f>
      </x:c>
      <x:c r="H52" s="112" t="str">
        <x:f>IF($A52="","",$E52+$F52-$G52)</x:f>
      </x:c>
      <x:c r="I52" s="112" t="str">
        <x:f>IF($A52="","",INDEX('03 Productos'!$H$5:$H$79,MATCH($A52,'03 Productos'!$A$5:$A$79,0)))</x:f>
      </x:c>
      <x:c r="J52" s="112" t="str">
        <x:f>IF($A52="","",INDEX('03 Productos'!$I$5:$I$79,MATCH($A52,'03 Productos'!$A$5:$A$79,0)))</x:f>
      </x:c>
      <x:c r="K52" s="112" t="str">
        <x:f>IF($A52="","",$I52+INDEX('03 Productos'!$J$5:$J$79,MATCH($A52,'03 Productos'!$A$5:$A$79,0))*INDEX('03 Productos'!$K$5:$K$79,MATCH($A52,'03 Productos'!$A$5:$A$79,0)))</x:f>
      </x:c>
      <x:c r="L52" s="114" t="str">
        <x:f>IF($A52="","",IFERROR(($E52*INDEX('03 Productos'!$G$5:$G$79,MATCH($A52,'03 Productos'!$A$5:$A$79,0))+SUMIFS('04 Movimientos'!$K$5:$K$184,'04 Movimientos'!$C$5:$C$184,$A52,'04 Movimientos'!$B$5:$B$184,"Entrada"))/($E52+$F52),INDEX('03 Productos'!$G$5:$G$79,MATCH($A52,'03 Productos'!$A$5:$A$79,0))))</x:f>
      </x:c>
      <x:c r="M52" s="114" t="str">
        <x:f>IF($A52="","",$H52*$L52)</x:f>
      </x:c>
      <x:c r="N52" s="108" t="str">
        <x:f>IF($A52="","",IF($H52&lt;=0,"Sin stock",IF($H52&lt;=$I52,"Crítico",IF($H52&lt;=$K52,"Reordenar",IF($H52&gt;$J52,"Sobre stock","OK")))))</x:f>
      </x:c>
      <x:c r="O52" s="108" t="str">
        <x:f>IF($A52="","",IF($N52="Sin stock","Comprar de inmediato",IF($N52="Crítico","Reponer urgente",IF($N52="Reordenar","Programar compra",IF($N52="Sobre stock","Revisar exceso","Mantener")))))</x:f>
      </x:c>
    </x:row>
    <x:row r="53">
      <x:c r="A53" s="108" t="str">
        <x:f>IF('03 Productos'!A53="","",'03 Productos'!A53)</x:f>
      </x:c>
      <x:c r="B53" s="108" t="str">
        <x:f>IF($A53="","",INDEX('03 Productos'!$B$5:$B$79,MATCH($A53,'03 Productos'!$A$5:$A$79,0)))</x:f>
      </x:c>
      <x:c r="C53" s="108" t="str">
        <x:f>IF($A53="","",INDEX('03 Productos'!$C$5:$C$79,MATCH($A53,'03 Productos'!$A$5:$A$79,0)))</x:f>
      </x:c>
      <x:c r="D53" s="108" t="str">
        <x:f>IF($A53="","",INDEX('03 Productos'!$D$5:$D$79,MATCH($A53,'03 Productos'!$A$5:$A$79,0)))</x:f>
      </x:c>
      <x:c r="E53" s="112" t="str">
        <x:f>IF($A53="","",INDEX('03 Productos'!$F$5:$F$79,MATCH($A53,'03 Productos'!$A$5:$A$79,0)))</x:f>
      </x:c>
      <x:c r="F53" s="112" t="str">
        <x:f>IF($A53="","",SUMIFS('04 Movimientos'!$I$5:$I$184,'04 Movimientos'!$C$5:$C$184,$A53))</x:f>
      </x:c>
      <x:c r="G53" s="112" t="str">
        <x:f>IF($A53="","",SUMIFS('04 Movimientos'!$J$5:$J$184,'04 Movimientos'!$C$5:$C$184,$A53))</x:f>
      </x:c>
      <x:c r="H53" s="112" t="str">
        <x:f>IF($A53="","",$E53+$F53-$G53)</x:f>
      </x:c>
      <x:c r="I53" s="112" t="str">
        <x:f>IF($A53="","",INDEX('03 Productos'!$H$5:$H$79,MATCH($A53,'03 Productos'!$A$5:$A$79,0)))</x:f>
      </x:c>
      <x:c r="J53" s="112" t="str">
        <x:f>IF($A53="","",INDEX('03 Productos'!$I$5:$I$79,MATCH($A53,'03 Productos'!$A$5:$A$79,0)))</x:f>
      </x:c>
      <x:c r="K53" s="112" t="str">
        <x:f>IF($A53="","",$I53+INDEX('03 Productos'!$J$5:$J$79,MATCH($A53,'03 Productos'!$A$5:$A$79,0))*INDEX('03 Productos'!$K$5:$K$79,MATCH($A53,'03 Productos'!$A$5:$A$79,0)))</x:f>
      </x:c>
      <x:c r="L53" s="114" t="str">
        <x:f>IF($A53="","",IFERROR(($E53*INDEX('03 Productos'!$G$5:$G$79,MATCH($A53,'03 Productos'!$A$5:$A$79,0))+SUMIFS('04 Movimientos'!$K$5:$K$184,'04 Movimientos'!$C$5:$C$184,$A53,'04 Movimientos'!$B$5:$B$184,"Entrada"))/($E53+$F53),INDEX('03 Productos'!$G$5:$G$79,MATCH($A53,'03 Productos'!$A$5:$A$79,0))))</x:f>
      </x:c>
      <x:c r="M53" s="114" t="str">
        <x:f>IF($A53="","",$H53*$L53)</x:f>
      </x:c>
      <x:c r="N53" s="108" t="str">
        <x:f>IF($A53="","",IF($H53&lt;=0,"Sin stock",IF($H53&lt;=$I53,"Crítico",IF($H53&lt;=$K53,"Reordenar",IF($H53&gt;$J53,"Sobre stock","OK")))))</x:f>
      </x:c>
      <x:c r="O53" s="108" t="str">
        <x:f>IF($A53="","",IF($N53="Sin stock","Comprar de inmediato",IF($N53="Crítico","Reponer urgente",IF($N53="Reordenar","Programar compra",IF($N53="Sobre stock","Revisar exceso","Mantener")))))</x:f>
      </x:c>
    </x:row>
    <x:row r="54">
      <x:c r="A54" s="108" t="str">
        <x:f>IF('03 Productos'!A54="","",'03 Productos'!A54)</x:f>
      </x:c>
      <x:c r="B54" s="108" t="str">
        <x:f>IF($A54="","",INDEX('03 Productos'!$B$5:$B$79,MATCH($A54,'03 Productos'!$A$5:$A$79,0)))</x:f>
      </x:c>
      <x:c r="C54" s="108" t="str">
        <x:f>IF($A54="","",INDEX('03 Productos'!$C$5:$C$79,MATCH($A54,'03 Productos'!$A$5:$A$79,0)))</x:f>
      </x:c>
      <x:c r="D54" s="108" t="str">
        <x:f>IF($A54="","",INDEX('03 Productos'!$D$5:$D$79,MATCH($A54,'03 Productos'!$A$5:$A$79,0)))</x:f>
      </x:c>
      <x:c r="E54" s="112" t="str">
        <x:f>IF($A54="","",INDEX('03 Productos'!$F$5:$F$79,MATCH($A54,'03 Productos'!$A$5:$A$79,0)))</x:f>
      </x:c>
      <x:c r="F54" s="112" t="str">
        <x:f>IF($A54="","",SUMIFS('04 Movimientos'!$I$5:$I$184,'04 Movimientos'!$C$5:$C$184,$A54))</x:f>
      </x:c>
      <x:c r="G54" s="112" t="str">
        <x:f>IF($A54="","",SUMIFS('04 Movimientos'!$J$5:$J$184,'04 Movimientos'!$C$5:$C$184,$A54))</x:f>
      </x:c>
      <x:c r="H54" s="112" t="str">
        <x:f>IF($A54="","",$E54+$F54-$G54)</x:f>
      </x:c>
      <x:c r="I54" s="112" t="str">
        <x:f>IF($A54="","",INDEX('03 Productos'!$H$5:$H$79,MATCH($A54,'03 Productos'!$A$5:$A$79,0)))</x:f>
      </x:c>
      <x:c r="J54" s="112" t="str">
        <x:f>IF($A54="","",INDEX('03 Productos'!$I$5:$I$79,MATCH($A54,'03 Productos'!$A$5:$A$79,0)))</x:f>
      </x:c>
      <x:c r="K54" s="112" t="str">
        <x:f>IF($A54="","",$I54+INDEX('03 Productos'!$J$5:$J$79,MATCH($A54,'03 Productos'!$A$5:$A$79,0))*INDEX('03 Productos'!$K$5:$K$79,MATCH($A54,'03 Productos'!$A$5:$A$79,0)))</x:f>
      </x:c>
      <x:c r="L54" s="114" t="str">
        <x:f>IF($A54="","",IFERROR(($E54*INDEX('03 Productos'!$G$5:$G$79,MATCH($A54,'03 Productos'!$A$5:$A$79,0))+SUMIFS('04 Movimientos'!$K$5:$K$184,'04 Movimientos'!$C$5:$C$184,$A54,'04 Movimientos'!$B$5:$B$184,"Entrada"))/($E54+$F54),INDEX('03 Productos'!$G$5:$G$79,MATCH($A54,'03 Productos'!$A$5:$A$79,0))))</x:f>
      </x:c>
      <x:c r="M54" s="114" t="str">
        <x:f>IF($A54="","",$H54*$L54)</x:f>
      </x:c>
      <x:c r="N54" s="108" t="str">
        <x:f>IF($A54="","",IF($H54&lt;=0,"Sin stock",IF($H54&lt;=$I54,"Crítico",IF($H54&lt;=$K54,"Reordenar",IF($H54&gt;$J54,"Sobre stock","OK")))))</x:f>
      </x:c>
      <x:c r="O54" s="108" t="str">
        <x:f>IF($A54="","",IF($N54="Sin stock","Comprar de inmediato",IF($N54="Crítico","Reponer urgente",IF($N54="Reordenar","Programar compra",IF($N54="Sobre stock","Revisar exceso","Mantener")))))</x:f>
      </x:c>
    </x:row>
    <x:row r="55">
      <x:c r="A55" s="108" t="str">
        <x:f>IF('03 Productos'!A55="","",'03 Productos'!A55)</x:f>
      </x:c>
      <x:c r="B55" s="108" t="str">
        <x:f>IF($A55="","",INDEX('03 Productos'!$B$5:$B$79,MATCH($A55,'03 Productos'!$A$5:$A$79,0)))</x:f>
      </x:c>
      <x:c r="C55" s="108" t="str">
        <x:f>IF($A55="","",INDEX('03 Productos'!$C$5:$C$79,MATCH($A55,'03 Productos'!$A$5:$A$79,0)))</x:f>
      </x:c>
      <x:c r="D55" s="108" t="str">
        <x:f>IF($A55="","",INDEX('03 Productos'!$D$5:$D$79,MATCH($A55,'03 Productos'!$A$5:$A$79,0)))</x:f>
      </x:c>
      <x:c r="E55" s="112" t="str">
        <x:f>IF($A55="","",INDEX('03 Productos'!$F$5:$F$79,MATCH($A55,'03 Productos'!$A$5:$A$79,0)))</x:f>
      </x:c>
      <x:c r="F55" s="112" t="str">
        <x:f>IF($A55="","",SUMIFS('04 Movimientos'!$I$5:$I$184,'04 Movimientos'!$C$5:$C$184,$A55))</x:f>
      </x:c>
      <x:c r="G55" s="112" t="str">
        <x:f>IF($A55="","",SUMIFS('04 Movimientos'!$J$5:$J$184,'04 Movimientos'!$C$5:$C$184,$A55))</x:f>
      </x:c>
      <x:c r="H55" s="112" t="str">
        <x:f>IF($A55="","",$E55+$F55-$G55)</x:f>
      </x:c>
      <x:c r="I55" s="112" t="str">
        <x:f>IF($A55="","",INDEX('03 Productos'!$H$5:$H$79,MATCH($A55,'03 Productos'!$A$5:$A$79,0)))</x:f>
      </x:c>
      <x:c r="J55" s="112" t="str">
        <x:f>IF($A55="","",INDEX('03 Productos'!$I$5:$I$79,MATCH($A55,'03 Productos'!$A$5:$A$79,0)))</x:f>
      </x:c>
      <x:c r="K55" s="112" t="str">
        <x:f>IF($A55="","",$I55+INDEX('03 Productos'!$J$5:$J$79,MATCH($A55,'03 Productos'!$A$5:$A$79,0))*INDEX('03 Productos'!$K$5:$K$79,MATCH($A55,'03 Productos'!$A$5:$A$79,0)))</x:f>
      </x:c>
      <x:c r="L55" s="114" t="str">
        <x:f>IF($A55="","",IFERROR(($E55*INDEX('03 Productos'!$G$5:$G$79,MATCH($A55,'03 Productos'!$A$5:$A$79,0))+SUMIFS('04 Movimientos'!$K$5:$K$184,'04 Movimientos'!$C$5:$C$184,$A55,'04 Movimientos'!$B$5:$B$184,"Entrada"))/($E55+$F55),INDEX('03 Productos'!$G$5:$G$79,MATCH($A55,'03 Productos'!$A$5:$A$79,0))))</x:f>
      </x:c>
      <x:c r="M55" s="114" t="str">
        <x:f>IF($A55="","",$H55*$L55)</x:f>
      </x:c>
      <x:c r="N55" s="108" t="str">
        <x:f>IF($A55="","",IF($H55&lt;=0,"Sin stock",IF($H55&lt;=$I55,"Crítico",IF($H55&lt;=$K55,"Reordenar",IF($H55&gt;$J55,"Sobre stock","OK")))))</x:f>
      </x:c>
      <x:c r="O55" s="108" t="str">
        <x:f>IF($A55="","",IF($N55="Sin stock","Comprar de inmediato",IF($N55="Crítico","Reponer urgente",IF($N55="Reordenar","Programar compra",IF($N55="Sobre stock","Revisar exceso","Mantener")))))</x:f>
      </x:c>
    </x:row>
    <x:row r="56">
      <x:c r="A56" s="108" t="str">
        <x:f>IF('03 Productos'!A56="","",'03 Productos'!A56)</x:f>
      </x:c>
      <x:c r="B56" s="108" t="str">
        <x:f>IF($A56="","",INDEX('03 Productos'!$B$5:$B$79,MATCH($A56,'03 Productos'!$A$5:$A$79,0)))</x:f>
      </x:c>
      <x:c r="C56" s="108" t="str">
        <x:f>IF($A56="","",INDEX('03 Productos'!$C$5:$C$79,MATCH($A56,'03 Productos'!$A$5:$A$79,0)))</x:f>
      </x:c>
      <x:c r="D56" s="108" t="str">
        <x:f>IF($A56="","",INDEX('03 Productos'!$D$5:$D$79,MATCH($A56,'03 Productos'!$A$5:$A$79,0)))</x:f>
      </x:c>
      <x:c r="E56" s="112" t="str">
        <x:f>IF($A56="","",INDEX('03 Productos'!$F$5:$F$79,MATCH($A56,'03 Productos'!$A$5:$A$79,0)))</x:f>
      </x:c>
      <x:c r="F56" s="112" t="str">
        <x:f>IF($A56="","",SUMIFS('04 Movimientos'!$I$5:$I$184,'04 Movimientos'!$C$5:$C$184,$A56))</x:f>
      </x:c>
      <x:c r="G56" s="112" t="str">
        <x:f>IF($A56="","",SUMIFS('04 Movimientos'!$J$5:$J$184,'04 Movimientos'!$C$5:$C$184,$A56))</x:f>
      </x:c>
      <x:c r="H56" s="112" t="str">
        <x:f>IF($A56="","",$E56+$F56-$G56)</x:f>
      </x:c>
      <x:c r="I56" s="112" t="str">
        <x:f>IF($A56="","",INDEX('03 Productos'!$H$5:$H$79,MATCH($A56,'03 Productos'!$A$5:$A$79,0)))</x:f>
      </x:c>
      <x:c r="J56" s="112" t="str">
        <x:f>IF($A56="","",INDEX('03 Productos'!$I$5:$I$79,MATCH($A56,'03 Productos'!$A$5:$A$79,0)))</x:f>
      </x:c>
      <x:c r="K56" s="112" t="str">
        <x:f>IF($A56="","",$I56+INDEX('03 Productos'!$J$5:$J$79,MATCH($A56,'03 Productos'!$A$5:$A$79,0))*INDEX('03 Productos'!$K$5:$K$79,MATCH($A56,'03 Productos'!$A$5:$A$79,0)))</x:f>
      </x:c>
      <x:c r="L56" s="114" t="str">
        <x:f>IF($A56="","",IFERROR(($E56*INDEX('03 Productos'!$G$5:$G$79,MATCH($A56,'03 Productos'!$A$5:$A$79,0))+SUMIFS('04 Movimientos'!$K$5:$K$184,'04 Movimientos'!$C$5:$C$184,$A56,'04 Movimientos'!$B$5:$B$184,"Entrada"))/($E56+$F56),INDEX('03 Productos'!$G$5:$G$79,MATCH($A56,'03 Productos'!$A$5:$A$79,0))))</x:f>
      </x:c>
      <x:c r="M56" s="114" t="str">
        <x:f>IF($A56="","",$H56*$L56)</x:f>
      </x:c>
      <x:c r="N56" s="108" t="str">
        <x:f>IF($A56="","",IF($H56&lt;=0,"Sin stock",IF($H56&lt;=$I56,"Crítico",IF($H56&lt;=$K56,"Reordenar",IF($H56&gt;$J56,"Sobre stock","OK")))))</x:f>
      </x:c>
      <x:c r="O56" s="108" t="str">
        <x:f>IF($A56="","",IF($N56="Sin stock","Comprar de inmediato",IF($N56="Crítico","Reponer urgente",IF($N56="Reordenar","Programar compra",IF($N56="Sobre stock","Revisar exceso","Mantener")))))</x:f>
      </x:c>
    </x:row>
    <x:row r="57">
      <x:c r="A57" s="108" t="str">
        <x:f>IF('03 Productos'!A57="","",'03 Productos'!A57)</x:f>
      </x:c>
      <x:c r="B57" s="108" t="str">
        <x:f>IF($A57="","",INDEX('03 Productos'!$B$5:$B$79,MATCH($A57,'03 Productos'!$A$5:$A$79,0)))</x:f>
      </x:c>
      <x:c r="C57" s="108" t="str">
        <x:f>IF($A57="","",INDEX('03 Productos'!$C$5:$C$79,MATCH($A57,'03 Productos'!$A$5:$A$79,0)))</x:f>
      </x:c>
      <x:c r="D57" s="108" t="str">
        <x:f>IF($A57="","",INDEX('03 Productos'!$D$5:$D$79,MATCH($A57,'03 Productos'!$A$5:$A$79,0)))</x:f>
      </x:c>
      <x:c r="E57" s="112" t="str">
        <x:f>IF($A57="","",INDEX('03 Productos'!$F$5:$F$79,MATCH($A57,'03 Productos'!$A$5:$A$79,0)))</x:f>
      </x:c>
      <x:c r="F57" s="112" t="str">
        <x:f>IF($A57="","",SUMIFS('04 Movimientos'!$I$5:$I$184,'04 Movimientos'!$C$5:$C$184,$A57))</x:f>
      </x:c>
      <x:c r="G57" s="112" t="str">
        <x:f>IF($A57="","",SUMIFS('04 Movimientos'!$J$5:$J$184,'04 Movimientos'!$C$5:$C$184,$A57))</x:f>
      </x:c>
      <x:c r="H57" s="112" t="str">
        <x:f>IF($A57="","",$E57+$F57-$G57)</x:f>
      </x:c>
      <x:c r="I57" s="112" t="str">
        <x:f>IF($A57="","",INDEX('03 Productos'!$H$5:$H$79,MATCH($A57,'03 Productos'!$A$5:$A$79,0)))</x:f>
      </x:c>
      <x:c r="J57" s="112" t="str">
        <x:f>IF($A57="","",INDEX('03 Productos'!$I$5:$I$79,MATCH($A57,'03 Productos'!$A$5:$A$79,0)))</x:f>
      </x:c>
      <x:c r="K57" s="112" t="str">
        <x:f>IF($A57="","",$I57+INDEX('03 Productos'!$J$5:$J$79,MATCH($A57,'03 Productos'!$A$5:$A$79,0))*INDEX('03 Productos'!$K$5:$K$79,MATCH($A57,'03 Productos'!$A$5:$A$79,0)))</x:f>
      </x:c>
      <x:c r="L57" s="114" t="str">
        <x:f>IF($A57="","",IFERROR(($E57*INDEX('03 Productos'!$G$5:$G$79,MATCH($A57,'03 Productos'!$A$5:$A$79,0))+SUMIFS('04 Movimientos'!$K$5:$K$184,'04 Movimientos'!$C$5:$C$184,$A57,'04 Movimientos'!$B$5:$B$184,"Entrada"))/($E57+$F57),INDEX('03 Productos'!$G$5:$G$79,MATCH($A57,'03 Productos'!$A$5:$A$79,0))))</x:f>
      </x:c>
      <x:c r="M57" s="114" t="str">
        <x:f>IF($A57="","",$H57*$L57)</x:f>
      </x:c>
      <x:c r="N57" s="108" t="str">
        <x:f>IF($A57="","",IF($H57&lt;=0,"Sin stock",IF($H57&lt;=$I57,"Crítico",IF($H57&lt;=$K57,"Reordenar",IF($H57&gt;$J57,"Sobre stock","OK")))))</x:f>
      </x:c>
      <x:c r="O57" s="108" t="str">
        <x:f>IF($A57="","",IF($N57="Sin stock","Comprar de inmediato",IF($N57="Crítico","Reponer urgente",IF($N57="Reordenar","Programar compra",IF($N57="Sobre stock","Revisar exceso","Mantener")))))</x:f>
      </x:c>
    </x:row>
    <x:row r="58">
      <x:c r="A58" s="108" t="str">
        <x:f>IF('03 Productos'!A58="","",'03 Productos'!A58)</x:f>
      </x:c>
      <x:c r="B58" s="108" t="str">
        <x:f>IF($A58="","",INDEX('03 Productos'!$B$5:$B$79,MATCH($A58,'03 Productos'!$A$5:$A$79,0)))</x:f>
      </x:c>
      <x:c r="C58" s="108" t="str">
        <x:f>IF($A58="","",INDEX('03 Productos'!$C$5:$C$79,MATCH($A58,'03 Productos'!$A$5:$A$79,0)))</x:f>
      </x:c>
      <x:c r="D58" s="108" t="str">
        <x:f>IF($A58="","",INDEX('03 Productos'!$D$5:$D$79,MATCH($A58,'03 Productos'!$A$5:$A$79,0)))</x:f>
      </x:c>
      <x:c r="E58" s="112" t="str">
        <x:f>IF($A58="","",INDEX('03 Productos'!$F$5:$F$79,MATCH($A58,'03 Productos'!$A$5:$A$79,0)))</x:f>
      </x:c>
      <x:c r="F58" s="112" t="str">
        <x:f>IF($A58="","",SUMIFS('04 Movimientos'!$I$5:$I$184,'04 Movimientos'!$C$5:$C$184,$A58))</x:f>
      </x:c>
      <x:c r="G58" s="112" t="str">
        <x:f>IF($A58="","",SUMIFS('04 Movimientos'!$J$5:$J$184,'04 Movimientos'!$C$5:$C$184,$A58))</x:f>
      </x:c>
      <x:c r="H58" s="112" t="str">
        <x:f>IF($A58="","",$E58+$F58-$G58)</x:f>
      </x:c>
      <x:c r="I58" s="112" t="str">
        <x:f>IF($A58="","",INDEX('03 Productos'!$H$5:$H$79,MATCH($A58,'03 Productos'!$A$5:$A$79,0)))</x:f>
      </x:c>
      <x:c r="J58" s="112" t="str">
        <x:f>IF($A58="","",INDEX('03 Productos'!$I$5:$I$79,MATCH($A58,'03 Productos'!$A$5:$A$79,0)))</x:f>
      </x:c>
      <x:c r="K58" s="112" t="str">
        <x:f>IF($A58="","",$I58+INDEX('03 Productos'!$J$5:$J$79,MATCH($A58,'03 Productos'!$A$5:$A$79,0))*INDEX('03 Productos'!$K$5:$K$79,MATCH($A58,'03 Productos'!$A$5:$A$79,0)))</x:f>
      </x:c>
      <x:c r="L58" s="114" t="str">
        <x:f>IF($A58="","",IFERROR(($E58*INDEX('03 Productos'!$G$5:$G$79,MATCH($A58,'03 Productos'!$A$5:$A$79,0))+SUMIFS('04 Movimientos'!$K$5:$K$184,'04 Movimientos'!$C$5:$C$184,$A58,'04 Movimientos'!$B$5:$B$184,"Entrada"))/($E58+$F58),INDEX('03 Productos'!$G$5:$G$79,MATCH($A58,'03 Productos'!$A$5:$A$79,0))))</x:f>
      </x:c>
      <x:c r="M58" s="114" t="str">
        <x:f>IF($A58="","",$H58*$L58)</x:f>
      </x:c>
      <x:c r="N58" s="108" t="str">
        <x:f>IF($A58="","",IF($H58&lt;=0,"Sin stock",IF($H58&lt;=$I58,"Crítico",IF($H58&lt;=$K58,"Reordenar",IF($H58&gt;$J58,"Sobre stock","OK")))))</x:f>
      </x:c>
      <x:c r="O58" s="108" t="str">
        <x:f>IF($A58="","",IF($N58="Sin stock","Comprar de inmediato",IF($N58="Crítico","Reponer urgente",IF($N58="Reordenar","Programar compra",IF($N58="Sobre stock","Revisar exceso","Mantener")))))</x:f>
      </x:c>
    </x:row>
    <x:row r="59">
      <x:c r="A59" s="108" t="str">
        <x:f>IF('03 Productos'!A59="","",'03 Productos'!A59)</x:f>
      </x:c>
      <x:c r="B59" s="108" t="str">
        <x:f>IF($A59="","",INDEX('03 Productos'!$B$5:$B$79,MATCH($A59,'03 Productos'!$A$5:$A$79,0)))</x:f>
      </x:c>
      <x:c r="C59" s="108" t="str">
        <x:f>IF($A59="","",INDEX('03 Productos'!$C$5:$C$79,MATCH($A59,'03 Productos'!$A$5:$A$79,0)))</x:f>
      </x:c>
      <x:c r="D59" s="108" t="str">
        <x:f>IF($A59="","",INDEX('03 Productos'!$D$5:$D$79,MATCH($A59,'03 Productos'!$A$5:$A$79,0)))</x:f>
      </x:c>
      <x:c r="E59" s="112" t="str">
        <x:f>IF($A59="","",INDEX('03 Productos'!$F$5:$F$79,MATCH($A59,'03 Productos'!$A$5:$A$79,0)))</x:f>
      </x:c>
      <x:c r="F59" s="112" t="str">
        <x:f>IF($A59="","",SUMIFS('04 Movimientos'!$I$5:$I$184,'04 Movimientos'!$C$5:$C$184,$A59))</x:f>
      </x:c>
      <x:c r="G59" s="112" t="str">
        <x:f>IF($A59="","",SUMIFS('04 Movimientos'!$J$5:$J$184,'04 Movimientos'!$C$5:$C$184,$A59))</x:f>
      </x:c>
      <x:c r="H59" s="112" t="str">
        <x:f>IF($A59="","",$E59+$F59-$G59)</x:f>
      </x:c>
      <x:c r="I59" s="112" t="str">
        <x:f>IF($A59="","",INDEX('03 Productos'!$H$5:$H$79,MATCH($A59,'03 Productos'!$A$5:$A$79,0)))</x:f>
      </x:c>
      <x:c r="J59" s="112" t="str">
        <x:f>IF($A59="","",INDEX('03 Productos'!$I$5:$I$79,MATCH($A59,'03 Productos'!$A$5:$A$79,0)))</x:f>
      </x:c>
      <x:c r="K59" s="112" t="str">
        <x:f>IF($A59="","",$I59+INDEX('03 Productos'!$J$5:$J$79,MATCH($A59,'03 Productos'!$A$5:$A$79,0))*INDEX('03 Productos'!$K$5:$K$79,MATCH($A59,'03 Productos'!$A$5:$A$79,0)))</x:f>
      </x:c>
      <x:c r="L59" s="114" t="str">
        <x:f>IF($A59="","",IFERROR(($E59*INDEX('03 Productos'!$G$5:$G$79,MATCH($A59,'03 Productos'!$A$5:$A$79,0))+SUMIFS('04 Movimientos'!$K$5:$K$184,'04 Movimientos'!$C$5:$C$184,$A59,'04 Movimientos'!$B$5:$B$184,"Entrada"))/($E59+$F59),INDEX('03 Productos'!$G$5:$G$79,MATCH($A59,'03 Productos'!$A$5:$A$79,0))))</x:f>
      </x:c>
      <x:c r="M59" s="114" t="str">
        <x:f>IF($A59="","",$H59*$L59)</x:f>
      </x:c>
      <x:c r="N59" s="108" t="str">
        <x:f>IF($A59="","",IF($H59&lt;=0,"Sin stock",IF($H59&lt;=$I59,"Crítico",IF($H59&lt;=$K59,"Reordenar",IF($H59&gt;$J59,"Sobre stock","OK")))))</x:f>
      </x:c>
      <x:c r="O59" s="108" t="str">
        <x:f>IF($A59="","",IF($N59="Sin stock","Comprar de inmediato",IF($N59="Crítico","Reponer urgente",IF($N59="Reordenar","Programar compra",IF($N59="Sobre stock","Revisar exceso","Mantener")))))</x:f>
      </x:c>
    </x:row>
    <x:row r="60">
      <x:c r="A60" s="108" t="str">
        <x:f>IF('03 Productos'!A60="","",'03 Productos'!A60)</x:f>
      </x:c>
      <x:c r="B60" s="108" t="str">
        <x:f>IF($A60="","",INDEX('03 Productos'!$B$5:$B$79,MATCH($A60,'03 Productos'!$A$5:$A$79,0)))</x:f>
      </x:c>
      <x:c r="C60" s="108" t="str">
        <x:f>IF($A60="","",INDEX('03 Productos'!$C$5:$C$79,MATCH($A60,'03 Productos'!$A$5:$A$79,0)))</x:f>
      </x:c>
      <x:c r="D60" s="108" t="str">
        <x:f>IF($A60="","",INDEX('03 Productos'!$D$5:$D$79,MATCH($A60,'03 Productos'!$A$5:$A$79,0)))</x:f>
      </x:c>
      <x:c r="E60" s="112" t="str">
        <x:f>IF($A60="","",INDEX('03 Productos'!$F$5:$F$79,MATCH($A60,'03 Productos'!$A$5:$A$79,0)))</x:f>
      </x:c>
      <x:c r="F60" s="112" t="str">
        <x:f>IF($A60="","",SUMIFS('04 Movimientos'!$I$5:$I$184,'04 Movimientos'!$C$5:$C$184,$A60))</x:f>
      </x:c>
      <x:c r="G60" s="112" t="str">
        <x:f>IF($A60="","",SUMIFS('04 Movimientos'!$J$5:$J$184,'04 Movimientos'!$C$5:$C$184,$A60))</x:f>
      </x:c>
      <x:c r="H60" s="112" t="str">
        <x:f>IF($A60="","",$E60+$F60-$G60)</x:f>
      </x:c>
      <x:c r="I60" s="112" t="str">
        <x:f>IF($A60="","",INDEX('03 Productos'!$H$5:$H$79,MATCH($A60,'03 Productos'!$A$5:$A$79,0)))</x:f>
      </x:c>
      <x:c r="J60" s="112" t="str">
        <x:f>IF($A60="","",INDEX('03 Productos'!$I$5:$I$79,MATCH($A60,'03 Productos'!$A$5:$A$79,0)))</x:f>
      </x:c>
      <x:c r="K60" s="112" t="str">
        <x:f>IF($A60="","",$I60+INDEX('03 Productos'!$J$5:$J$79,MATCH($A60,'03 Productos'!$A$5:$A$79,0))*INDEX('03 Productos'!$K$5:$K$79,MATCH($A60,'03 Productos'!$A$5:$A$79,0)))</x:f>
      </x:c>
      <x:c r="L60" s="114" t="str">
        <x:f>IF($A60="","",IFERROR(($E60*INDEX('03 Productos'!$G$5:$G$79,MATCH($A60,'03 Productos'!$A$5:$A$79,0))+SUMIFS('04 Movimientos'!$K$5:$K$184,'04 Movimientos'!$C$5:$C$184,$A60,'04 Movimientos'!$B$5:$B$184,"Entrada"))/($E60+$F60),INDEX('03 Productos'!$G$5:$G$79,MATCH($A60,'03 Productos'!$A$5:$A$79,0))))</x:f>
      </x:c>
      <x:c r="M60" s="114" t="str">
        <x:f>IF($A60="","",$H60*$L60)</x:f>
      </x:c>
      <x:c r="N60" s="108" t="str">
        <x:f>IF($A60="","",IF($H60&lt;=0,"Sin stock",IF($H60&lt;=$I60,"Crítico",IF($H60&lt;=$K60,"Reordenar",IF($H60&gt;$J60,"Sobre stock","OK")))))</x:f>
      </x:c>
      <x:c r="O60" s="108" t="str">
        <x:f>IF($A60="","",IF($N60="Sin stock","Comprar de inmediato",IF($N60="Crítico","Reponer urgente",IF($N60="Reordenar","Programar compra",IF($N60="Sobre stock","Revisar exceso","Mantener")))))</x:f>
      </x:c>
    </x:row>
    <x:row r="61">
      <x:c r="A61" s="108" t="str">
        <x:f>IF('03 Productos'!A61="","",'03 Productos'!A61)</x:f>
      </x:c>
      <x:c r="B61" s="108" t="str">
        <x:f>IF($A61="","",INDEX('03 Productos'!$B$5:$B$79,MATCH($A61,'03 Productos'!$A$5:$A$79,0)))</x:f>
      </x:c>
      <x:c r="C61" s="108" t="str">
        <x:f>IF($A61="","",INDEX('03 Productos'!$C$5:$C$79,MATCH($A61,'03 Productos'!$A$5:$A$79,0)))</x:f>
      </x:c>
      <x:c r="D61" s="108" t="str">
        <x:f>IF($A61="","",INDEX('03 Productos'!$D$5:$D$79,MATCH($A61,'03 Productos'!$A$5:$A$79,0)))</x:f>
      </x:c>
      <x:c r="E61" s="112" t="str">
        <x:f>IF($A61="","",INDEX('03 Productos'!$F$5:$F$79,MATCH($A61,'03 Productos'!$A$5:$A$79,0)))</x:f>
      </x:c>
      <x:c r="F61" s="112" t="str">
        <x:f>IF($A61="","",SUMIFS('04 Movimientos'!$I$5:$I$184,'04 Movimientos'!$C$5:$C$184,$A61))</x:f>
      </x:c>
      <x:c r="G61" s="112" t="str">
        <x:f>IF($A61="","",SUMIFS('04 Movimientos'!$J$5:$J$184,'04 Movimientos'!$C$5:$C$184,$A61))</x:f>
      </x:c>
      <x:c r="H61" s="112" t="str">
        <x:f>IF($A61="","",$E61+$F61-$G61)</x:f>
      </x:c>
      <x:c r="I61" s="112" t="str">
        <x:f>IF($A61="","",INDEX('03 Productos'!$H$5:$H$79,MATCH($A61,'03 Productos'!$A$5:$A$79,0)))</x:f>
      </x:c>
      <x:c r="J61" s="112" t="str">
        <x:f>IF($A61="","",INDEX('03 Productos'!$I$5:$I$79,MATCH($A61,'03 Productos'!$A$5:$A$79,0)))</x:f>
      </x:c>
      <x:c r="K61" s="112" t="str">
        <x:f>IF($A61="","",$I61+INDEX('03 Productos'!$J$5:$J$79,MATCH($A61,'03 Productos'!$A$5:$A$79,0))*INDEX('03 Productos'!$K$5:$K$79,MATCH($A61,'03 Productos'!$A$5:$A$79,0)))</x:f>
      </x:c>
      <x:c r="L61" s="114" t="str">
        <x:f>IF($A61="","",IFERROR(($E61*INDEX('03 Productos'!$G$5:$G$79,MATCH($A61,'03 Productos'!$A$5:$A$79,0))+SUMIFS('04 Movimientos'!$K$5:$K$184,'04 Movimientos'!$C$5:$C$184,$A61,'04 Movimientos'!$B$5:$B$184,"Entrada"))/($E61+$F61),INDEX('03 Productos'!$G$5:$G$79,MATCH($A61,'03 Productos'!$A$5:$A$79,0))))</x:f>
      </x:c>
      <x:c r="M61" s="114" t="str">
        <x:f>IF($A61="","",$H61*$L61)</x:f>
      </x:c>
      <x:c r="N61" s="108" t="str">
        <x:f>IF($A61="","",IF($H61&lt;=0,"Sin stock",IF($H61&lt;=$I61,"Crítico",IF($H61&lt;=$K61,"Reordenar",IF($H61&gt;$J61,"Sobre stock","OK")))))</x:f>
      </x:c>
      <x:c r="O61" s="108" t="str">
        <x:f>IF($A61="","",IF($N61="Sin stock","Comprar de inmediato",IF($N61="Crítico","Reponer urgente",IF($N61="Reordenar","Programar compra",IF($N61="Sobre stock","Revisar exceso","Mantener")))))</x:f>
      </x:c>
    </x:row>
    <x:row r="62">
      <x:c r="A62" s="108" t="str">
        <x:f>IF('03 Productos'!A62="","",'03 Productos'!A62)</x:f>
      </x:c>
      <x:c r="B62" s="108" t="str">
        <x:f>IF($A62="","",INDEX('03 Productos'!$B$5:$B$79,MATCH($A62,'03 Productos'!$A$5:$A$79,0)))</x:f>
      </x:c>
      <x:c r="C62" s="108" t="str">
        <x:f>IF($A62="","",INDEX('03 Productos'!$C$5:$C$79,MATCH($A62,'03 Productos'!$A$5:$A$79,0)))</x:f>
      </x:c>
      <x:c r="D62" s="108" t="str">
        <x:f>IF($A62="","",INDEX('03 Productos'!$D$5:$D$79,MATCH($A62,'03 Productos'!$A$5:$A$79,0)))</x:f>
      </x:c>
      <x:c r="E62" s="112" t="str">
        <x:f>IF($A62="","",INDEX('03 Productos'!$F$5:$F$79,MATCH($A62,'03 Productos'!$A$5:$A$79,0)))</x:f>
      </x:c>
      <x:c r="F62" s="112" t="str">
        <x:f>IF($A62="","",SUMIFS('04 Movimientos'!$I$5:$I$184,'04 Movimientos'!$C$5:$C$184,$A62))</x:f>
      </x:c>
      <x:c r="G62" s="112" t="str">
        <x:f>IF($A62="","",SUMIFS('04 Movimientos'!$J$5:$J$184,'04 Movimientos'!$C$5:$C$184,$A62))</x:f>
      </x:c>
      <x:c r="H62" s="112" t="str">
        <x:f>IF($A62="","",$E62+$F62-$G62)</x:f>
      </x:c>
      <x:c r="I62" s="112" t="str">
        <x:f>IF($A62="","",INDEX('03 Productos'!$H$5:$H$79,MATCH($A62,'03 Productos'!$A$5:$A$79,0)))</x:f>
      </x:c>
      <x:c r="J62" s="112" t="str">
        <x:f>IF($A62="","",INDEX('03 Productos'!$I$5:$I$79,MATCH($A62,'03 Productos'!$A$5:$A$79,0)))</x:f>
      </x:c>
      <x:c r="K62" s="112" t="str">
        <x:f>IF($A62="","",$I62+INDEX('03 Productos'!$J$5:$J$79,MATCH($A62,'03 Productos'!$A$5:$A$79,0))*INDEX('03 Productos'!$K$5:$K$79,MATCH($A62,'03 Productos'!$A$5:$A$79,0)))</x:f>
      </x:c>
      <x:c r="L62" s="114" t="str">
        <x:f>IF($A62="","",IFERROR(($E62*INDEX('03 Productos'!$G$5:$G$79,MATCH($A62,'03 Productos'!$A$5:$A$79,0))+SUMIFS('04 Movimientos'!$K$5:$K$184,'04 Movimientos'!$C$5:$C$184,$A62,'04 Movimientos'!$B$5:$B$184,"Entrada"))/($E62+$F62),INDEX('03 Productos'!$G$5:$G$79,MATCH($A62,'03 Productos'!$A$5:$A$79,0))))</x:f>
      </x:c>
      <x:c r="M62" s="114" t="str">
        <x:f>IF($A62="","",$H62*$L62)</x:f>
      </x:c>
      <x:c r="N62" s="108" t="str">
        <x:f>IF($A62="","",IF($H62&lt;=0,"Sin stock",IF($H62&lt;=$I62,"Crítico",IF($H62&lt;=$K62,"Reordenar",IF($H62&gt;$J62,"Sobre stock","OK")))))</x:f>
      </x:c>
      <x:c r="O62" s="108" t="str">
        <x:f>IF($A62="","",IF($N62="Sin stock","Comprar de inmediato",IF($N62="Crítico","Reponer urgente",IF($N62="Reordenar","Programar compra",IF($N62="Sobre stock","Revisar exceso","Mantener")))))</x:f>
      </x:c>
    </x:row>
    <x:row r="63">
      <x:c r="A63" s="108" t="str">
        <x:f>IF('03 Productos'!A63="","",'03 Productos'!A63)</x:f>
      </x:c>
      <x:c r="B63" s="108" t="str">
        <x:f>IF($A63="","",INDEX('03 Productos'!$B$5:$B$79,MATCH($A63,'03 Productos'!$A$5:$A$79,0)))</x:f>
      </x:c>
      <x:c r="C63" s="108" t="str">
        <x:f>IF($A63="","",INDEX('03 Productos'!$C$5:$C$79,MATCH($A63,'03 Productos'!$A$5:$A$79,0)))</x:f>
      </x:c>
      <x:c r="D63" s="108" t="str">
        <x:f>IF($A63="","",INDEX('03 Productos'!$D$5:$D$79,MATCH($A63,'03 Productos'!$A$5:$A$79,0)))</x:f>
      </x:c>
      <x:c r="E63" s="112" t="str">
        <x:f>IF($A63="","",INDEX('03 Productos'!$F$5:$F$79,MATCH($A63,'03 Productos'!$A$5:$A$79,0)))</x:f>
      </x:c>
      <x:c r="F63" s="112" t="str">
        <x:f>IF($A63="","",SUMIFS('04 Movimientos'!$I$5:$I$184,'04 Movimientos'!$C$5:$C$184,$A63))</x:f>
      </x:c>
      <x:c r="G63" s="112" t="str">
        <x:f>IF($A63="","",SUMIFS('04 Movimientos'!$J$5:$J$184,'04 Movimientos'!$C$5:$C$184,$A63))</x:f>
      </x:c>
      <x:c r="H63" s="112" t="str">
        <x:f>IF($A63="","",$E63+$F63-$G63)</x:f>
      </x:c>
      <x:c r="I63" s="112" t="str">
        <x:f>IF($A63="","",INDEX('03 Productos'!$H$5:$H$79,MATCH($A63,'03 Productos'!$A$5:$A$79,0)))</x:f>
      </x:c>
      <x:c r="J63" s="112" t="str">
        <x:f>IF($A63="","",INDEX('03 Productos'!$I$5:$I$79,MATCH($A63,'03 Productos'!$A$5:$A$79,0)))</x:f>
      </x:c>
      <x:c r="K63" s="112" t="str">
        <x:f>IF($A63="","",$I63+INDEX('03 Productos'!$J$5:$J$79,MATCH($A63,'03 Productos'!$A$5:$A$79,0))*INDEX('03 Productos'!$K$5:$K$79,MATCH($A63,'03 Productos'!$A$5:$A$79,0)))</x:f>
      </x:c>
      <x:c r="L63" s="114" t="str">
        <x:f>IF($A63="","",IFERROR(($E63*INDEX('03 Productos'!$G$5:$G$79,MATCH($A63,'03 Productos'!$A$5:$A$79,0))+SUMIFS('04 Movimientos'!$K$5:$K$184,'04 Movimientos'!$C$5:$C$184,$A63,'04 Movimientos'!$B$5:$B$184,"Entrada"))/($E63+$F63),INDEX('03 Productos'!$G$5:$G$79,MATCH($A63,'03 Productos'!$A$5:$A$79,0))))</x:f>
      </x:c>
      <x:c r="M63" s="114" t="str">
        <x:f>IF($A63="","",$H63*$L63)</x:f>
      </x:c>
      <x:c r="N63" s="108" t="str">
        <x:f>IF($A63="","",IF($H63&lt;=0,"Sin stock",IF($H63&lt;=$I63,"Crítico",IF($H63&lt;=$K63,"Reordenar",IF($H63&gt;$J63,"Sobre stock","OK")))))</x:f>
      </x:c>
      <x:c r="O63" s="108" t="str">
        <x:f>IF($A63="","",IF($N63="Sin stock","Comprar de inmediato",IF($N63="Crítico","Reponer urgente",IF($N63="Reordenar","Programar compra",IF($N63="Sobre stock","Revisar exceso","Mantener")))))</x:f>
      </x:c>
    </x:row>
    <x:row r="64">
      <x:c r="A64" s="108" t="str">
        <x:f>IF('03 Productos'!A64="","",'03 Productos'!A64)</x:f>
      </x:c>
      <x:c r="B64" s="108" t="str">
        <x:f>IF($A64="","",INDEX('03 Productos'!$B$5:$B$79,MATCH($A64,'03 Productos'!$A$5:$A$79,0)))</x:f>
      </x:c>
      <x:c r="C64" s="108" t="str">
        <x:f>IF($A64="","",INDEX('03 Productos'!$C$5:$C$79,MATCH($A64,'03 Productos'!$A$5:$A$79,0)))</x:f>
      </x:c>
      <x:c r="D64" s="108" t="str">
        <x:f>IF($A64="","",INDEX('03 Productos'!$D$5:$D$79,MATCH($A64,'03 Productos'!$A$5:$A$79,0)))</x:f>
      </x:c>
      <x:c r="E64" s="112" t="str">
        <x:f>IF($A64="","",INDEX('03 Productos'!$F$5:$F$79,MATCH($A64,'03 Productos'!$A$5:$A$79,0)))</x:f>
      </x:c>
      <x:c r="F64" s="112" t="str">
        <x:f>IF($A64="","",SUMIFS('04 Movimientos'!$I$5:$I$184,'04 Movimientos'!$C$5:$C$184,$A64))</x:f>
      </x:c>
      <x:c r="G64" s="112" t="str">
        <x:f>IF($A64="","",SUMIFS('04 Movimientos'!$J$5:$J$184,'04 Movimientos'!$C$5:$C$184,$A64))</x:f>
      </x:c>
      <x:c r="H64" s="112" t="str">
        <x:f>IF($A64="","",$E64+$F64-$G64)</x:f>
      </x:c>
      <x:c r="I64" s="112" t="str">
        <x:f>IF($A64="","",INDEX('03 Productos'!$H$5:$H$79,MATCH($A64,'03 Productos'!$A$5:$A$79,0)))</x:f>
      </x:c>
      <x:c r="J64" s="112" t="str">
        <x:f>IF($A64="","",INDEX('03 Productos'!$I$5:$I$79,MATCH($A64,'03 Productos'!$A$5:$A$79,0)))</x:f>
      </x:c>
      <x:c r="K64" s="112" t="str">
        <x:f>IF($A64="","",$I64+INDEX('03 Productos'!$J$5:$J$79,MATCH($A64,'03 Productos'!$A$5:$A$79,0))*INDEX('03 Productos'!$K$5:$K$79,MATCH($A64,'03 Productos'!$A$5:$A$79,0)))</x:f>
      </x:c>
      <x:c r="L64" s="114" t="str">
        <x:f>IF($A64="","",IFERROR(($E64*INDEX('03 Productos'!$G$5:$G$79,MATCH($A64,'03 Productos'!$A$5:$A$79,0))+SUMIFS('04 Movimientos'!$K$5:$K$184,'04 Movimientos'!$C$5:$C$184,$A64,'04 Movimientos'!$B$5:$B$184,"Entrada"))/($E64+$F64),INDEX('03 Productos'!$G$5:$G$79,MATCH($A64,'03 Productos'!$A$5:$A$79,0))))</x:f>
      </x:c>
      <x:c r="M64" s="114" t="str">
        <x:f>IF($A64="","",$H64*$L64)</x:f>
      </x:c>
      <x:c r="N64" s="108" t="str">
        <x:f>IF($A64="","",IF($H64&lt;=0,"Sin stock",IF($H64&lt;=$I64,"Crítico",IF($H64&lt;=$K64,"Reordenar",IF($H64&gt;$J64,"Sobre stock","OK")))))</x:f>
      </x:c>
      <x:c r="O64" s="108" t="str">
        <x:f>IF($A64="","",IF($N64="Sin stock","Comprar de inmediato",IF($N64="Crítico","Reponer urgente",IF($N64="Reordenar","Programar compra",IF($N64="Sobre stock","Revisar exceso","Mantener")))))</x:f>
      </x:c>
    </x:row>
    <x:row r="65">
      <x:c r="A65" s="108" t="str">
        <x:f>IF('03 Productos'!A65="","",'03 Productos'!A65)</x:f>
      </x:c>
      <x:c r="B65" s="108" t="str">
        <x:f>IF($A65="","",INDEX('03 Productos'!$B$5:$B$79,MATCH($A65,'03 Productos'!$A$5:$A$79,0)))</x:f>
      </x:c>
      <x:c r="C65" s="108" t="str">
        <x:f>IF($A65="","",INDEX('03 Productos'!$C$5:$C$79,MATCH($A65,'03 Productos'!$A$5:$A$79,0)))</x:f>
      </x:c>
      <x:c r="D65" s="108" t="str">
        <x:f>IF($A65="","",INDEX('03 Productos'!$D$5:$D$79,MATCH($A65,'03 Productos'!$A$5:$A$79,0)))</x:f>
      </x:c>
      <x:c r="E65" s="112" t="str">
        <x:f>IF($A65="","",INDEX('03 Productos'!$F$5:$F$79,MATCH($A65,'03 Productos'!$A$5:$A$79,0)))</x:f>
      </x:c>
      <x:c r="F65" s="112" t="str">
        <x:f>IF($A65="","",SUMIFS('04 Movimientos'!$I$5:$I$184,'04 Movimientos'!$C$5:$C$184,$A65))</x:f>
      </x:c>
      <x:c r="G65" s="112" t="str">
        <x:f>IF($A65="","",SUMIFS('04 Movimientos'!$J$5:$J$184,'04 Movimientos'!$C$5:$C$184,$A65))</x:f>
      </x:c>
      <x:c r="H65" s="112" t="str">
        <x:f>IF($A65="","",$E65+$F65-$G65)</x:f>
      </x:c>
      <x:c r="I65" s="112" t="str">
        <x:f>IF($A65="","",INDEX('03 Productos'!$H$5:$H$79,MATCH($A65,'03 Productos'!$A$5:$A$79,0)))</x:f>
      </x:c>
      <x:c r="J65" s="112" t="str">
        <x:f>IF($A65="","",INDEX('03 Productos'!$I$5:$I$79,MATCH($A65,'03 Productos'!$A$5:$A$79,0)))</x:f>
      </x:c>
      <x:c r="K65" s="112" t="str">
        <x:f>IF($A65="","",$I65+INDEX('03 Productos'!$J$5:$J$79,MATCH($A65,'03 Productos'!$A$5:$A$79,0))*INDEX('03 Productos'!$K$5:$K$79,MATCH($A65,'03 Productos'!$A$5:$A$79,0)))</x:f>
      </x:c>
      <x:c r="L65" s="114" t="str">
        <x:f>IF($A65="","",IFERROR(($E65*INDEX('03 Productos'!$G$5:$G$79,MATCH($A65,'03 Productos'!$A$5:$A$79,0))+SUMIFS('04 Movimientos'!$K$5:$K$184,'04 Movimientos'!$C$5:$C$184,$A65,'04 Movimientos'!$B$5:$B$184,"Entrada"))/($E65+$F65),INDEX('03 Productos'!$G$5:$G$79,MATCH($A65,'03 Productos'!$A$5:$A$79,0))))</x:f>
      </x:c>
      <x:c r="M65" s="114" t="str">
        <x:f>IF($A65="","",$H65*$L65)</x:f>
      </x:c>
      <x:c r="N65" s="108" t="str">
        <x:f>IF($A65="","",IF($H65&lt;=0,"Sin stock",IF($H65&lt;=$I65,"Crítico",IF($H65&lt;=$K65,"Reordenar",IF($H65&gt;$J65,"Sobre stock","OK")))))</x:f>
      </x:c>
      <x:c r="O65" s="108" t="str">
        <x:f>IF($A65="","",IF($N65="Sin stock","Comprar de inmediato",IF($N65="Crítico","Reponer urgente",IF($N65="Reordenar","Programar compra",IF($N65="Sobre stock","Revisar exceso","Mantener")))))</x:f>
      </x:c>
    </x:row>
    <x:row r="66">
      <x:c r="A66" s="108" t="str">
        <x:f>IF('03 Productos'!A66="","",'03 Productos'!A66)</x:f>
      </x:c>
      <x:c r="B66" s="108" t="str">
        <x:f>IF($A66="","",INDEX('03 Productos'!$B$5:$B$79,MATCH($A66,'03 Productos'!$A$5:$A$79,0)))</x:f>
      </x:c>
      <x:c r="C66" s="108" t="str">
        <x:f>IF($A66="","",INDEX('03 Productos'!$C$5:$C$79,MATCH($A66,'03 Productos'!$A$5:$A$79,0)))</x:f>
      </x:c>
      <x:c r="D66" s="108" t="str">
        <x:f>IF($A66="","",INDEX('03 Productos'!$D$5:$D$79,MATCH($A66,'03 Productos'!$A$5:$A$79,0)))</x:f>
      </x:c>
      <x:c r="E66" s="112" t="str">
        <x:f>IF($A66="","",INDEX('03 Productos'!$F$5:$F$79,MATCH($A66,'03 Productos'!$A$5:$A$79,0)))</x:f>
      </x:c>
      <x:c r="F66" s="112" t="str">
        <x:f>IF($A66="","",SUMIFS('04 Movimientos'!$I$5:$I$184,'04 Movimientos'!$C$5:$C$184,$A66))</x:f>
      </x:c>
      <x:c r="G66" s="112" t="str">
        <x:f>IF($A66="","",SUMIFS('04 Movimientos'!$J$5:$J$184,'04 Movimientos'!$C$5:$C$184,$A66))</x:f>
      </x:c>
      <x:c r="H66" s="112" t="str">
        <x:f>IF($A66="","",$E66+$F66-$G66)</x:f>
      </x:c>
      <x:c r="I66" s="112" t="str">
        <x:f>IF($A66="","",INDEX('03 Productos'!$H$5:$H$79,MATCH($A66,'03 Productos'!$A$5:$A$79,0)))</x:f>
      </x:c>
      <x:c r="J66" s="112" t="str">
        <x:f>IF($A66="","",INDEX('03 Productos'!$I$5:$I$79,MATCH($A66,'03 Productos'!$A$5:$A$79,0)))</x:f>
      </x:c>
      <x:c r="K66" s="112" t="str">
        <x:f>IF($A66="","",$I66+INDEX('03 Productos'!$J$5:$J$79,MATCH($A66,'03 Productos'!$A$5:$A$79,0))*INDEX('03 Productos'!$K$5:$K$79,MATCH($A66,'03 Productos'!$A$5:$A$79,0)))</x:f>
      </x:c>
      <x:c r="L66" s="114" t="str">
        <x:f>IF($A66="","",IFERROR(($E66*INDEX('03 Productos'!$G$5:$G$79,MATCH($A66,'03 Productos'!$A$5:$A$79,0))+SUMIFS('04 Movimientos'!$K$5:$K$184,'04 Movimientos'!$C$5:$C$184,$A66,'04 Movimientos'!$B$5:$B$184,"Entrada"))/($E66+$F66),INDEX('03 Productos'!$G$5:$G$79,MATCH($A66,'03 Productos'!$A$5:$A$79,0))))</x:f>
      </x:c>
      <x:c r="M66" s="114" t="str">
        <x:f>IF($A66="","",$H66*$L66)</x:f>
      </x:c>
      <x:c r="N66" s="108" t="str">
        <x:f>IF($A66="","",IF($H66&lt;=0,"Sin stock",IF($H66&lt;=$I66,"Crítico",IF($H66&lt;=$K66,"Reordenar",IF($H66&gt;$J66,"Sobre stock","OK")))))</x:f>
      </x:c>
      <x:c r="O66" s="108" t="str">
        <x:f>IF($A66="","",IF($N66="Sin stock","Comprar de inmediato",IF($N66="Crítico","Reponer urgente",IF($N66="Reordenar","Programar compra",IF($N66="Sobre stock","Revisar exceso","Mantener")))))</x:f>
      </x:c>
    </x:row>
    <x:row r="67">
      <x:c r="A67" s="108" t="str">
        <x:f>IF('03 Productos'!A67="","",'03 Productos'!A67)</x:f>
      </x:c>
      <x:c r="B67" s="108" t="str">
        <x:f>IF($A67="","",INDEX('03 Productos'!$B$5:$B$79,MATCH($A67,'03 Productos'!$A$5:$A$79,0)))</x:f>
      </x:c>
      <x:c r="C67" s="108" t="str">
        <x:f>IF($A67="","",INDEX('03 Productos'!$C$5:$C$79,MATCH($A67,'03 Productos'!$A$5:$A$79,0)))</x:f>
      </x:c>
      <x:c r="D67" s="108" t="str">
        <x:f>IF($A67="","",INDEX('03 Productos'!$D$5:$D$79,MATCH($A67,'03 Productos'!$A$5:$A$79,0)))</x:f>
      </x:c>
      <x:c r="E67" s="112" t="str">
        <x:f>IF($A67="","",INDEX('03 Productos'!$F$5:$F$79,MATCH($A67,'03 Productos'!$A$5:$A$79,0)))</x:f>
      </x:c>
      <x:c r="F67" s="112" t="str">
        <x:f>IF($A67="","",SUMIFS('04 Movimientos'!$I$5:$I$184,'04 Movimientos'!$C$5:$C$184,$A67))</x:f>
      </x:c>
      <x:c r="G67" s="112" t="str">
        <x:f>IF($A67="","",SUMIFS('04 Movimientos'!$J$5:$J$184,'04 Movimientos'!$C$5:$C$184,$A67))</x:f>
      </x:c>
      <x:c r="H67" s="112" t="str">
        <x:f>IF($A67="","",$E67+$F67-$G67)</x:f>
      </x:c>
      <x:c r="I67" s="112" t="str">
        <x:f>IF($A67="","",INDEX('03 Productos'!$H$5:$H$79,MATCH($A67,'03 Productos'!$A$5:$A$79,0)))</x:f>
      </x:c>
      <x:c r="J67" s="112" t="str">
        <x:f>IF($A67="","",INDEX('03 Productos'!$I$5:$I$79,MATCH($A67,'03 Productos'!$A$5:$A$79,0)))</x:f>
      </x:c>
      <x:c r="K67" s="112" t="str">
        <x:f>IF($A67="","",$I67+INDEX('03 Productos'!$J$5:$J$79,MATCH($A67,'03 Productos'!$A$5:$A$79,0))*INDEX('03 Productos'!$K$5:$K$79,MATCH($A67,'03 Productos'!$A$5:$A$79,0)))</x:f>
      </x:c>
      <x:c r="L67" s="114" t="str">
        <x:f>IF($A67="","",IFERROR(($E67*INDEX('03 Productos'!$G$5:$G$79,MATCH($A67,'03 Productos'!$A$5:$A$79,0))+SUMIFS('04 Movimientos'!$K$5:$K$184,'04 Movimientos'!$C$5:$C$184,$A67,'04 Movimientos'!$B$5:$B$184,"Entrada"))/($E67+$F67),INDEX('03 Productos'!$G$5:$G$79,MATCH($A67,'03 Productos'!$A$5:$A$79,0))))</x:f>
      </x:c>
      <x:c r="M67" s="114" t="str">
        <x:f>IF($A67="","",$H67*$L67)</x:f>
      </x:c>
      <x:c r="N67" s="108" t="str">
        <x:f>IF($A67="","",IF($H67&lt;=0,"Sin stock",IF($H67&lt;=$I67,"Crítico",IF($H67&lt;=$K67,"Reordenar",IF($H67&gt;$J67,"Sobre stock","OK")))))</x:f>
      </x:c>
      <x:c r="O67" s="108" t="str">
        <x:f>IF($A67="","",IF($N67="Sin stock","Comprar de inmediato",IF($N67="Crítico","Reponer urgente",IF($N67="Reordenar","Programar compra",IF($N67="Sobre stock","Revisar exceso","Mantener")))))</x:f>
      </x:c>
    </x:row>
    <x:row r="68">
      <x:c r="A68" s="108" t="str">
        <x:f>IF('03 Productos'!A68="","",'03 Productos'!A68)</x:f>
      </x:c>
      <x:c r="B68" s="108" t="str">
        <x:f>IF($A68="","",INDEX('03 Productos'!$B$5:$B$79,MATCH($A68,'03 Productos'!$A$5:$A$79,0)))</x:f>
      </x:c>
      <x:c r="C68" s="108" t="str">
        <x:f>IF($A68="","",INDEX('03 Productos'!$C$5:$C$79,MATCH($A68,'03 Productos'!$A$5:$A$79,0)))</x:f>
      </x:c>
      <x:c r="D68" s="108" t="str">
        <x:f>IF($A68="","",INDEX('03 Productos'!$D$5:$D$79,MATCH($A68,'03 Productos'!$A$5:$A$79,0)))</x:f>
      </x:c>
      <x:c r="E68" s="112" t="str">
        <x:f>IF($A68="","",INDEX('03 Productos'!$F$5:$F$79,MATCH($A68,'03 Productos'!$A$5:$A$79,0)))</x:f>
      </x:c>
      <x:c r="F68" s="112" t="str">
        <x:f>IF($A68="","",SUMIFS('04 Movimientos'!$I$5:$I$184,'04 Movimientos'!$C$5:$C$184,$A68))</x:f>
      </x:c>
      <x:c r="G68" s="112" t="str">
        <x:f>IF($A68="","",SUMIFS('04 Movimientos'!$J$5:$J$184,'04 Movimientos'!$C$5:$C$184,$A68))</x:f>
      </x:c>
      <x:c r="H68" s="112" t="str">
        <x:f>IF($A68="","",$E68+$F68-$G68)</x:f>
      </x:c>
      <x:c r="I68" s="112" t="str">
        <x:f>IF($A68="","",INDEX('03 Productos'!$H$5:$H$79,MATCH($A68,'03 Productos'!$A$5:$A$79,0)))</x:f>
      </x:c>
      <x:c r="J68" s="112" t="str">
        <x:f>IF($A68="","",INDEX('03 Productos'!$I$5:$I$79,MATCH($A68,'03 Productos'!$A$5:$A$79,0)))</x:f>
      </x:c>
      <x:c r="K68" s="112" t="str">
        <x:f>IF($A68="","",$I68+INDEX('03 Productos'!$J$5:$J$79,MATCH($A68,'03 Productos'!$A$5:$A$79,0))*INDEX('03 Productos'!$K$5:$K$79,MATCH($A68,'03 Productos'!$A$5:$A$79,0)))</x:f>
      </x:c>
      <x:c r="L68" s="114" t="str">
        <x:f>IF($A68="","",IFERROR(($E68*INDEX('03 Productos'!$G$5:$G$79,MATCH($A68,'03 Productos'!$A$5:$A$79,0))+SUMIFS('04 Movimientos'!$K$5:$K$184,'04 Movimientos'!$C$5:$C$184,$A68,'04 Movimientos'!$B$5:$B$184,"Entrada"))/($E68+$F68),INDEX('03 Productos'!$G$5:$G$79,MATCH($A68,'03 Productos'!$A$5:$A$79,0))))</x:f>
      </x:c>
      <x:c r="M68" s="114" t="str">
        <x:f>IF($A68="","",$H68*$L68)</x:f>
      </x:c>
      <x:c r="N68" s="108" t="str">
        <x:f>IF($A68="","",IF($H68&lt;=0,"Sin stock",IF($H68&lt;=$I68,"Crítico",IF($H68&lt;=$K68,"Reordenar",IF($H68&gt;$J68,"Sobre stock","OK")))))</x:f>
      </x:c>
      <x:c r="O68" s="108" t="str">
        <x:f>IF($A68="","",IF($N68="Sin stock","Comprar de inmediato",IF($N68="Crítico","Reponer urgente",IF($N68="Reordenar","Programar compra",IF($N68="Sobre stock","Revisar exceso","Mantener")))))</x:f>
      </x:c>
    </x:row>
    <x:row r="69">
      <x:c r="A69" s="108" t="str">
        <x:f>IF('03 Productos'!A69="","",'03 Productos'!A69)</x:f>
      </x:c>
      <x:c r="B69" s="108" t="str">
        <x:f>IF($A69="","",INDEX('03 Productos'!$B$5:$B$79,MATCH($A69,'03 Productos'!$A$5:$A$79,0)))</x:f>
      </x:c>
      <x:c r="C69" s="108" t="str">
        <x:f>IF($A69="","",INDEX('03 Productos'!$C$5:$C$79,MATCH($A69,'03 Productos'!$A$5:$A$79,0)))</x:f>
      </x:c>
      <x:c r="D69" s="108" t="str">
        <x:f>IF($A69="","",INDEX('03 Productos'!$D$5:$D$79,MATCH($A69,'03 Productos'!$A$5:$A$79,0)))</x:f>
      </x:c>
      <x:c r="E69" s="112" t="str">
        <x:f>IF($A69="","",INDEX('03 Productos'!$F$5:$F$79,MATCH($A69,'03 Productos'!$A$5:$A$79,0)))</x:f>
      </x:c>
      <x:c r="F69" s="112" t="str">
        <x:f>IF($A69="","",SUMIFS('04 Movimientos'!$I$5:$I$184,'04 Movimientos'!$C$5:$C$184,$A69))</x:f>
      </x:c>
      <x:c r="G69" s="112" t="str">
        <x:f>IF($A69="","",SUMIFS('04 Movimientos'!$J$5:$J$184,'04 Movimientos'!$C$5:$C$184,$A69))</x:f>
      </x:c>
      <x:c r="H69" s="112" t="str">
        <x:f>IF($A69="","",$E69+$F69-$G69)</x:f>
      </x:c>
      <x:c r="I69" s="112" t="str">
        <x:f>IF($A69="","",INDEX('03 Productos'!$H$5:$H$79,MATCH($A69,'03 Productos'!$A$5:$A$79,0)))</x:f>
      </x:c>
      <x:c r="J69" s="112" t="str">
        <x:f>IF($A69="","",INDEX('03 Productos'!$I$5:$I$79,MATCH($A69,'03 Productos'!$A$5:$A$79,0)))</x:f>
      </x:c>
      <x:c r="K69" s="112" t="str">
        <x:f>IF($A69="","",$I69+INDEX('03 Productos'!$J$5:$J$79,MATCH($A69,'03 Productos'!$A$5:$A$79,0))*INDEX('03 Productos'!$K$5:$K$79,MATCH($A69,'03 Productos'!$A$5:$A$79,0)))</x:f>
      </x:c>
      <x:c r="L69" s="114" t="str">
        <x:f>IF($A69="","",IFERROR(($E69*INDEX('03 Productos'!$G$5:$G$79,MATCH($A69,'03 Productos'!$A$5:$A$79,0))+SUMIFS('04 Movimientos'!$K$5:$K$184,'04 Movimientos'!$C$5:$C$184,$A69,'04 Movimientos'!$B$5:$B$184,"Entrada"))/($E69+$F69),INDEX('03 Productos'!$G$5:$G$79,MATCH($A69,'03 Productos'!$A$5:$A$79,0))))</x:f>
      </x:c>
      <x:c r="M69" s="114" t="str">
        <x:f>IF($A69="","",$H69*$L69)</x:f>
      </x:c>
      <x:c r="N69" s="108" t="str">
        <x:f>IF($A69="","",IF($H69&lt;=0,"Sin stock",IF($H69&lt;=$I69,"Crítico",IF($H69&lt;=$K69,"Reordenar",IF($H69&gt;$J69,"Sobre stock","OK")))))</x:f>
      </x:c>
      <x:c r="O69" s="108" t="str">
        <x:f>IF($A69="","",IF($N69="Sin stock","Comprar de inmediato",IF($N69="Crítico","Reponer urgente",IF($N69="Reordenar","Programar compra",IF($N69="Sobre stock","Revisar exceso","Mantener")))))</x:f>
      </x:c>
    </x:row>
    <x:row r="70">
      <x:c r="A70" s="108" t="str">
        <x:f>IF('03 Productos'!A70="","",'03 Productos'!A70)</x:f>
      </x:c>
      <x:c r="B70" s="108" t="str">
        <x:f>IF($A70="","",INDEX('03 Productos'!$B$5:$B$79,MATCH($A70,'03 Productos'!$A$5:$A$79,0)))</x:f>
      </x:c>
      <x:c r="C70" s="108" t="str">
        <x:f>IF($A70="","",INDEX('03 Productos'!$C$5:$C$79,MATCH($A70,'03 Productos'!$A$5:$A$79,0)))</x:f>
      </x:c>
      <x:c r="D70" s="108" t="str">
        <x:f>IF($A70="","",INDEX('03 Productos'!$D$5:$D$79,MATCH($A70,'03 Productos'!$A$5:$A$79,0)))</x:f>
      </x:c>
      <x:c r="E70" s="112" t="str">
        <x:f>IF($A70="","",INDEX('03 Productos'!$F$5:$F$79,MATCH($A70,'03 Productos'!$A$5:$A$79,0)))</x:f>
      </x:c>
      <x:c r="F70" s="112" t="str">
        <x:f>IF($A70="","",SUMIFS('04 Movimientos'!$I$5:$I$184,'04 Movimientos'!$C$5:$C$184,$A70))</x:f>
      </x:c>
      <x:c r="G70" s="112" t="str">
        <x:f>IF($A70="","",SUMIFS('04 Movimientos'!$J$5:$J$184,'04 Movimientos'!$C$5:$C$184,$A70))</x:f>
      </x:c>
      <x:c r="H70" s="112" t="str">
        <x:f>IF($A70="","",$E70+$F70-$G70)</x:f>
      </x:c>
      <x:c r="I70" s="112" t="str">
        <x:f>IF($A70="","",INDEX('03 Productos'!$H$5:$H$79,MATCH($A70,'03 Productos'!$A$5:$A$79,0)))</x:f>
      </x:c>
      <x:c r="J70" s="112" t="str">
        <x:f>IF($A70="","",INDEX('03 Productos'!$I$5:$I$79,MATCH($A70,'03 Productos'!$A$5:$A$79,0)))</x:f>
      </x:c>
      <x:c r="K70" s="112" t="str">
        <x:f>IF($A70="","",$I70+INDEX('03 Productos'!$J$5:$J$79,MATCH($A70,'03 Productos'!$A$5:$A$79,0))*INDEX('03 Productos'!$K$5:$K$79,MATCH($A70,'03 Productos'!$A$5:$A$79,0)))</x:f>
      </x:c>
      <x:c r="L70" s="114" t="str">
        <x:f>IF($A70="","",IFERROR(($E70*INDEX('03 Productos'!$G$5:$G$79,MATCH($A70,'03 Productos'!$A$5:$A$79,0))+SUMIFS('04 Movimientos'!$K$5:$K$184,'04 Movimientos'!$C$5:$C$184,$A70,'04 Movimientos'!$B$5:$B$184,"Entrada"))/($E70+$F70),INDEX('03 Productos'!$G$5:$G$79,MATCH($A70,'03 Productos'!$A$5:$A$79,0))))</x:f>
      </x:c>
      <x:c r="M70" s="114" t="str">
        <x:f>IF($A70="","",$H70*$L70)</x:f>
      </x:c>
      <x:c r="N70" s="108" t="str">
        <x:f>IF($A70="","",IF($H70&lt;=0,"Sin stock",IF($H70&lt;=$I70,"Crítico",IF($H70&lt;=$K70,"Reordenar",IF($H70&gt;$J70,"Sobre stock","OK")))))</x:f>
      </x:c>
      <x:c r="O70" s="108" t="str">
        <x:f>IF($A70="","",IF($N70="Sin stock","Comprar de inmediato",IF($N70="Crítico","Reponer urgente",IF($N70="Reordenar","Programar compra",IF($N70="Sobre stock","Revisar exceso","Mantener")))))</x:f>
      </x:c>
    </x:row>
    <x:row r="71">
      <x:c r="A71" s="108" t="str">
        <x:f>IF('03 Productos'!A71="","",'03 Productos'!A71)</x:f>
      </x:c>
      <x:c r="B71" s="108" t="str">
        <x:f>IF($A71="","",INDEX('03 Productos'!$B$5:$B$79,MATCH($A71,'03 Productos'!$A$5:$A$79,0)))</x:f>
      </x:c>
      <x:c r="C71" s="108" t="str">
        <x:f>IF($A71="","",INDEX('03 Productos'!$C$5:$C$79,MATCH($A71,'03 Productos'!$A$5:$A$79,0)))</x:f>
      </x:c>
      <x:c r="D71" s="108" t="str">
        <x:f>IF($A71="","",INDEX('03 Productos'!$D$5:$D$79,MATCH($A71,'03 Productos'!$A$5:$A$79,0)))</x:f>
      </x:c>
      <x:c r="E71" s="112" t="str">
        <x:f>IF($A71="","",INDEX('03 Productos'!$F$5:$F$79,MATCH($A71,'03 Productos'!$A$5:$A$79,0)))</x:f>
      </x:c>
      <x:c r="F71" s="112" t="str">
        <x:f>IF($A71="","",SUMIFS('04 Movimientos'!$I$5:$I$184,'04 Movimientos'!$C$5:$C$184,$A71))</x:f>
      </x:c>
      <x:c r="G71" s="112" t="str">
        <x:f>IF($A71="","",SUMIFS('04 Movimientos'!$J$5:$J$184,'04 Movimientos'!$C$5:$C$184,$A71))</x:f>
      </x:c>
      <x:c r="H71" s="112" t="str">
        <x:f>IF($A71="","",$E71+$F71-$G71)</x:f>
      </x:c>
      <x:c r="I71" s="112" t="str">
        <x:f>IF($A71="","",INDEX('03 Productos'!$H$5:$H$79,MATCH($A71,'03 Productos'!$A$5:$A$79,0)))</x:f>
      </x:c>
      <x:c r="J71" s="112" t="str">
        <x:f>IF($A71="","",INDEX('03 Productos'!$I$5:$I$79,MATCH($A71,'03 Productos'!$A$5:$A$79,0)))</x:f>
      </x:c>
      <x:c r="K71" s="112" t="str">
        <x:f>IF($A71="","",$I71+INDEX('03 Productos'!$J$5:$J$79,MATCH($A71,'03 Productos'!$A$5:$A$79,0))*INDEX('03 Productos'!$K$5:$K$79,MATCH($A71,'03 Productos'!$A$5:$A$79,0)))</x:f>
      </x:c>
      <x:c r="L71" s="114" t="str">
        <x:f>IF($A71="","",IFERROR(($E71*INDEX('03 Productos'!$G$5:$G$79,MATCH($A71,'03 Productos'!$A$5:$A$79,0))+SUMIFS('04 Movimientos'!$K$5:$K$184,'04 Movimientos'!$C$5:$C$184,$A71,'04 Movimientos'!$B$5:$B$184,"Entrada"))/($E71+$F71),INDEX('03 Productos'!$G$5:$G$79,MATCH($A71,'03 Productos'!$A$5:$A$79,0))))</x:f>
      </x:c>
      <x:c r="M71" s="114" t="str">
        <x:f>IF($A71="","",$H71*$L71)</x:f>
      </x:c>
      <x:c r="N71" s="108" t="str">
        <x:f>IF($A71="","",IF($H71&lt;=0,"Sin stock",IF($H71&lt;=$I71,"Crítico",IF($H71&lt;=$K71,"Reordenar",IF($H71&gt;$J71,"Sobre stock","OK")))))</x:f>
      </x:c>
      <x:c r="O71" s="108" t="str">
        <x:f>IF($A71="","",IF($N71="Sin stock","Comprar de inmediato",IF($N71="Crítico","Reponer urgente",IF($N71="Reordenar","Programar compra",IF($N71="Sobre stock","Revisar exceso","Mantener")))))</x:f>
      </x:c>
    </x:row>
    <x:row r="72">
      <x:c r="A72" s="108" t="str">
        <x:f>IF('03 Productos'!A72="","",'03 Productos'!A72)</x:f>
      </x:c>
      <x:c r="B72" s="108" t="str">
        <x:f>IF($A72="","",INDEX('03 Productos'!$B$5:$B$79,MATCH($A72,'03 Productos'!$A$5:$A$79,0)))</x:f>
      </x:c>
      <x:c r="C72" s="108" t="str">
        <x:f>IF($A72="","",INDEX('03 Productos'!$C$5:$C$79,MATCH($A72,'03 Productos'!$A$5:$A$79,0)))</x:f>
      </x:c>
      <x:c r="D72" s="108" t="str">
        <x:f>IF($A72="","",INDEX('03 Productos'!$D$5:$D$79,MATCH($A72,'03 Productos'!$A$5:$A$79,0)))</x:f>
      </x:c>
      <x:c r="E72" s="112" t="str">
        <x:f>IF($A72="","",INDEX('03 Productos'!$F$5:$F$79,MATCH($A72,'03 Productos'!$A$5:$A$79,0)))</x:f>
      </x:c>
      <x:c r="F72" s="112" t="str">
        <x:f>IF($A72="","",SUMIFS('04 Movimientos'!$I$5:$I$184,'04 Movimientos'!$C$5:$C$184,$A72))</x:f>
      </x:c>
      <x:c r="G72" s="112" t="str">
        <x:f>IF($A72="","",SUMIFS('04 Movimientos'!$J$5:$J$184,'04 Movimientos'!$C$5:$C$184,$A72))</x:f>
      </x:c>
      <x:c r="H72" s="112" t="str">
        <x:f>IF($A72="","",$E72+$F72-$G72)</x:f>
      </x:c>
      <x:c r="I72" s="112" t="str">
        <x:f>IF($A72="","",INDEX('03 Productos'!$H$5:$H$79,MATCH($A72,'03 Productos'!$A$5:$A$79,0)))</x:f>
      </x:c>
      <x:c r="J72" s="112" t="str">
        <x:f>IF($A72="","",INDEX('03 Productos'!$I$5:$I$79,MATCH($A72,'03 Productos'!$A$5:$A$79,0)))</x:f>
      </x:c>
      <x:c r="K72" s="112" t="str">
        <x:f>IF($A72="","",$I72+INDEX('03 Productos'!$J$5:$J$79,MATCH($A72,'03 Productos'!$A$5:$A$79,0))*INDEX('03 Productos'!$K$5:$K$79,MATCH($A72,'03 Productos'!$A$5:$A$79,0)))</x:f>
      </x:c>
      <x:c r="L72" s="114" t="str">
        <x:f>IF($A72="","",IFERROR(($E72*INDEX('03 Productos'!$G$5:$G$79,MATCH($A72,'03 Productos'!$A$5:$A$79,0))+SUMIFS('04 Movimientos'!$K$5:$K$184,'04 Movimientos'!$C$5:$C$184,$A72,'04 Movimientos'!$B$5:$B$184,"Entrada"))/($E72+$F72),INDEX('03 Productos'!$G$5:$G$79,MATCH($A72,'03 Productos'!$A$5:$A$79,0))))</x:f>
      </x:c>
      <x:c r="M72" s="114" t="str">
        <x:f>IF($A72="","",$H72*$L72)</x:f>
      </x:c>
      <x:c r="N72" s="108" t="str">
        <x:f>IF($A72="","",IF($H72&lt;=0,"Sin stock",IF($H72&lt;=$I72,"Crítico",IF($H72&lt;=$K72,"Reordenar",IF($H72&gt;$J72,"Sobre stock","OK")))))</x:f>
      </x:c>
      <x:c r="O72" s="108" t="str">
        <x:f>IF($A72="","",IF($N72="Sin stock","Comprar de inmediato",IF($N72="Crítico","Reponer urgente",IF($N72="Reordenar","Programar compra",IF($N72="Sobre stock","Revisar exceso","Mantener")))))</x:f>
      </x:c>
    </x:row>
    <x:row r="73">
      <x:c r="A73" s="108" t="str">
        <x:f>IF('03 Productos'!A73="","",'03 Productos'!A73)</x:f>
      </x:c>
      <x:c r="B73" s="108" t="str">
        <x:f>IF($A73="","",INDEX('03 Productos'!$B$5:$B$79,MATCH($A73,'03 Productos'!$A$5:$A$79,0)))</x:f>
      </x:c>
      <x:c r="C73" s="108" t="str">
        <x:f>IF($A73="","",INDEX('03 Productos'!$C$5:$C$79,MATCH($A73,'03 Productos'!$A$5:$A$79,0)))</x:f>
      </x:c>
      <x:c r="D73" s="108" t="str">
        <x:f>IF($A73="","",INDEX('03 Productos'!$D$5:$D$79,MATCH($A73,'03 Productos'!$A$5:$A$79,0)))</x:f>
      </x:c>
      <x:c r="E73" s="112" t="str">
        <x:f>IF($A73="","",INDEX('03 Productos'!$F$5:$F$79,MATCH($A73,'03 Productos'!$A$5:$A$79,0)))</x:f>
      </x:c>
      <x:c r="F73" s="112" t="str">
        <x:f>IF($A73="","",SUMIFS('04 Movimientos'!$I$5:$I$184,'04 Movimientos'!$C$5:$C$184,$A73))</x:f>
      </x:c>
      <x:c r="G73" s="112" t="str">
        <x:f>IF($A73="","",SUMIFS('04 Movimientos'!$J$5:$J$184,'04 Movimientos'!$C$5:$C$184,$A73))</x:f>
      </x:c>
      <x:c r="H73" s="112" t="str">
        <x:f>IF($A73="","",$E73+$F73-$G73)</x:f>
      </x:c>
      <x:c r="I73" s="112" t="str">
        <x:f>IF($A73="","",INDEX('03 Productos'!$H$5:$H$79,MATCH($A73,'03 Productos'!$A$5:$A$79,0)))</x:f>
      </x:c>
      <x:c r="J73" s="112" t="str">
        <x:f>IF($A73="","",INDEX('03 Productos'!$I$5:$I$79,MATCH($A73,'03 Productos'!$A$5:$A$79,0)))</x:f>
      </x:c>
      <x:c r="K73" s="112" t="str">
        <x:f>IF($A73="","",$I73+INDEX('03 Productos'!$J$5:$J$79,MATCH($A73,'03 Productos'!$A$5:$A$79,0))*INDEX('03 Productos'!$K$5:$K$79,MATCH($A73,'03 Productos'!$A$5:$A$79,0)))</x:f>
      </x:c>
      <x:c r="L73" s="114" t="str">
        <x:f>IF($A73="","",IFERROR(($E73*INDEX('03 Productos'!$G$5:$G$79,MATCH($A73,'03 Productos'!$A$5:$A$79,0))+SUMIFS('04 Movimientos'!$K$5:$K$184,'04 Movimientos'!$C$5:$C$184,$A73,'04 Movimientos'!$B$5:$B$184,"Entrada"))/($E73+$F73),INDEX('03 Productos'!$G$5:$G$79,MATCH($A73,'03 Productos'!$A$5:$A$79,0))))</x:f>
      </x:c>
      <x:c r="M73" s="114" t="str">
        <x:f>IF($A73="","",$H73*$L73)</x:f>
      </x:c>
      <x:c r="N73" s="108" t="str">
        <x:f>IF($A73="","",IF($H73&lt;=0,"Sin stock",IF($H73&lt;=$I73,"Crítico",IF($H73&lt;=$K73,"Reordenar",IF($H73&gt;$J73,"Sobre stock","OK")))))</x:f>
      </x:c>
      <x:c r="O73" s="108" t="str">
        <x:f>IF($A73="","",IF($N73="Sin stock","Comprar de inmediato",IF($N73="Crítico","Reponer urgente",IF($N73="Reordenar","Programar compra",IF($N73="Sobre stock","Revisar exceso","Mantener")))))</x:f>
      </x:c>
    </x:row>
    <x:row r="74">
      <x:c r="A74" s="108" t="str">
        <x:f>IF('03 Productos'!A74="","",'03 Productos'!A74)</x:f>
      </x:c>
      <x:c r="B74" s="108" t="str">
        <x:f>IF($A74="","",INDEX('03 Productos'!$B$5:$B$79,MATCH($A74,'03 Productos'!$A$5:$A$79,0)))</x:f>
      </x:c>
      <x:c r="C74" s="108" t="str">
        <x:f>IF($A74="","",INDEX('03 Productos'!$C$5:$C$79,MATCH($A74,'03 Productos'!$A$5:$A$79,0)))</x:f>
      </x:c>
      <x:c r="D74" s="108" t="str">
        <x:f>IF($A74="","",INDEX('03 Productos'!$D$5:$D$79,MATCH($A74,'03 Productos'!$A$5:$A$79,0)))</x:f>
      </x:c>
      <x:c r="E74" s="112" t="str">
        <x:f>IF($A74="","",INDEX('03 Productos'!$F$5:$F$79,MATCH($A74,'03 Productos'!$A$5:$A$79,0)))</x:f>
      </x:c>
      <x:c r="F74" s="112" t="str">
        <x:f>IF($A74="","",SUMIFS('04 Movimientos'!$I$5:$I$184,'04 Movimientos'!$C$5:$C$184,$A74))</x:f>
      </x:c>
      <x:c r="G74" s="112" t="str">
        <x:f>IF($A74="","",SUMIFS('04 Movimientos'!$J$5:$J$184,'04 Movimientos'!$C$5:$C$184,$A74))</x:f>
      </x:c>
      <x:c r="H74" s="112" t="str">
        <x:f>IF($A74="","",$E74+$F74-$G74)</x:f>
      </x:c>
      <x:c r="I74" s="112" t="str">
        <x:f>IF($A74="","",INDEX('03 Productos'!$H$5:$H$79,MATCH($A74,'03 Productos'!$A$5:$A$79,0)))</x:f>
      </x:c>
      <x:c r="J74" s="112" t="str">
        <x:f>IF($A74="","",INDEX('03 Productos'!$I$5:$I$79,MATCH($A74,'03 Productos'!$A$5:$A$79,0)))</x:f>
      </x:c>
      <x:c r="K74" s="112" t="str">
        <x:f>IF($A74="","",$I74+INDEX('03 Productos'!$J$5:$J$79,MATCH($A74,'03 Productos'!$A$5:$A$79,0))*INDEX('03 Productos'!$K$5:$K$79,MATCH($A74,'03 Productos'!$A$5:$A$79,0)))</x:f>
      </x:c>
      <x:c r="L74" s="114" t="str">
        <x:f>IF($A74="","",IFERROR(($E74*INDEX('03 Productos'!$G$5:$G$79,MATCH($A74,'03 Productos'!$A$5:$A$79,0))+SUMIFS('04 Movimientos'!$K$5:$K$184,'04 Movimientos'!$C$5:$C$184,$A74,'04 Movimientos'!$B$5:$B$184,"Entrada"))/($E74+$F74),INDEX('03 Productos'!$G$5:$G$79,MATCH($A74,'03 Productos'!$A$5:$A$79,0))))</x:f>
      </x:c>
      <x:c r="M74" s="114" t="str">
        <x:f>IF($A74="","",$H74*$L74)</x:f>
      </x:c>
      <x:c r="N74" s="108" t="str">
        <x:f>IF($A74="","",IF($H74&lt;=0,"Sin stock",IF($H74&lt;=$I74,"Crítico",IF($H74&lt;=$K74,"Reordenar",IF($H74&gt;$J74,"Sobre stock","OK")))))</x:f>
      </x:c>
      <x:c r="O74" s="108" t="str">
        <x:f>IF($A74="","",IF($N74="Sin stock","Comprar de inmediato",IF($N74="Crítico","Reponer urgente",IF($N74="Reordenar","Programar compra",IF($N74="Sobre stock","Revisar exceso","Mantener")))))</x:f>
      </x:c>
    </x:row>
    <x:row r="75">
      <x:c r="A75" s="108" t="str">
        <x:f>IF('03 Productos'!A75="","",'03 Productos'!A75)</x:f>
      </x:c>
      <x:c r="B75" s="108" t="str">
        <x:f>IF($A75="","",INDEX('03 Productos'!$B$5:$B$79,MATCH($A75,'03 Productos'!$A$5:$A$79,0)))</x:f>
      </x:c>
      <x:c r="C75" s="108" t="str">
        <x:f>IF($A75="","",INDEX('03 Productos'!$C$5:$C$79,MATCH($A75,'03 Productos'!$A$5:$A$79,0)))</x:f>
      </x:c>
      <x:c r="D75" s="108" t="str">
        <x:f>IF($A75="","",INDEX('03 Productos'!$D$5:$D$79,MATCH($A75,'03 Productos'!$A$5:$A$79,0)))</x:f>
      </x:c>
      <x:c r="E75" s="112" t="str">
        <x:f>IF($A75="","",INDEX('03 Productos'!$F$5:$F$79,MATCH($A75,'03 Productos'!$A$5:$A$79,0)))</x:f>
      </x:c>
      <x:c r="F75" s="112" t="str">
        <x:f>IF($A75="","",SUMIFS('04 Movimientos'!$I$5:$I$184,'04 Movimientos'!$C$5:$C$184,$A75))</x:f>
      </x:c>
      <x:c r="G75" s="112" t="str">
        <x:f>IF($A75="","",SUMIFS('04 Movimientos'!$J$5:$J$184,'04 Movimientos'!$C$5:$C$184,$A75))</x:f>
      </x:c>
      <x:c r="H75" s="112" t="str">
        <x:f>IF($A75="","",$E75+$F75-$G75)</x:f>
      </x:c>
      <x:c r="I75" s="112" t="str">
        <x:f>IF($A75="","",INDEX('03 Productos'!$H$5:$H$79,MATCH($A75,'03 Productos'!$A$5:$A$79,0)))</x:f>
      </x:c>
      <x:c r="J75" s="112" t="str">
        <x:f>IF($A75="","",INDEX('03 Productos'!$I$5:$I$79,MATCH($A75,'03 Productos'!$A$5:$A$79,0)))</x:f>
      </x:c>
      <x:c r="K75" s="112" t="str">
        <x:f>IF($A75="","",$I75+INDEX('03 Productos'!$J$5:$J$79,MATCH($A75,'03 Productos'!$A$5:$A$79,0))*INDEX('03 Productos'!$K$5:$K$79,MATCH($A75,'03 Productos'!$A$5:$A$79,0)))</x:f>
      </x:c>
      <x:c r="L75" s="114" t="str">
        <x:f>IF($A75="","",IFERROR(($E75*INDEX('03 Productos'!$G$5:$G$79,MATCH($A75,'03 Productos'!$A$5:$A$79,0))+SUMIFS('04 Movimientos'!$K$5:$K$184,'04 Movimientos'!$C$5:$C$184,$A75,'04 Movimientos'!$B$5:$B$184,"Entrada"))/($E75+$F75),INDEX('03 Productos'!$G$5:$G$79,MATCH($A75,'03 Productos'!$A$5:$A$79,0))))</x:f>
      </x:c>
      <x:c r="M75" s="114" t="str">
        <x:f>IF($A75="","",$H75*$L75)</x:f>
      </x:c>
      <x:c r="N75" s="108" t="str">
        <x:f>IF($A75="","",IF($H75&lt;=0,"Sin stock",IF($H75&lt;=$I75,"Crítico",IF($H75&lt;=$K75,"Reordenar",IF($H75&gt;$J75,"Sobre stock","OK")))))</x:f>
      </x:c>
      <x:c r="O75" s="108" t="str">
        <x:f>IF($A75="","",IF($N75="Sin stock","Comprar de inmediato",IF($N75="Crítico","Reponer urgente",IF($N75="Reordenar","Programar compra",IF($N75="Sobre stock","Revisar exceso","Mantener")))))</x:f>
      </x:c>
    </x:row>
    <x:row r="76">
      <x:c r="A76" s="108" t="str">
        <x:f>IF('03 Productos'!A76="","",'03 Productos'!A76)</x:f>
      </x:c>
      <x:c r="B76" s="108" t="str">
        <x:f>IF($A76="","",INDEX('03 Productos'!$B$5:$B$79,MATCH($A76,'03 Productos'!$A$5:$A$79,0)))</x:f>
      </x:c>
      <x:c r="C76" s="108" t="str">
        <x:f>IF($A76="","",INDEX('03 Productos'!$C$5:$C$79,MATCH($A76,'03 Productos'!$A$5:$A$79,0)))</x:f>
      </x:c>
      <x:c r="D76" s="108" t="str">
        <x:f>IF($A76="","",INDEX('03 Productos'!$D$5:$D$79,MATCH($A76,'03 Productos'!$A$5:$A$79,0)))</x:f>
      </x:c>
      <x:c r="E76" s="112" t="str">
        <x:f>IF($A76="","",INDEX('03 Productos'!$F$5:$F$79,MATCH($A76,'03 Productos'!$A$5:$A$79,0)))</x:f>
      </x:c>
      <x:c r="F76" s="112" t="str">
        <x:f>IF($A76="","",SUMIFS('04 Movimientos'!$I$5:$I$184,'04 Movimientos'!$C$5:$C$184,$A76))</x:f>
      </x:c>
      <x:c r="G76" s="112" t="str">
        <x:f>IF($A76="","",SUMIFS('04 Movimientos'!$J$5:$J$184,'04 Movimientos'!$C$5:$C$184,$A76))</x:f>
      </x:c>
      <x:c r="H76" s="112" t="str">
        <x:f>IF($A76="","",$E76+$F76-$G76)</x:f>
      </x:c>
      <x:c r="I76" s="112" t="str">
        <x:f>IF($A76="","",INDEX('03 Productos'!$H$5:$H$79,MATCH($A76,'03 Productos'!$A$5:$A$79,0)))</x:f>
      </x:c>
      <x:c r="J76" s="112" t="str">
        <x:f>IF($A76="","",INDEX('03 Productos'!$I$5:$I$79,MATCH($A76,'03 Productos'!$A$5:$A$79,0)))</x:f>
      </x:c>
      <x:c r="K76" s="112" t="str">
        <x:f>IF($A76="","",$I76+INDEX('03 Productos'!$J$5:$J$79,MATCH($A76,'03 Productos'!$A$5:$A$79,0))*INDEX('03 Productos'!$K$5:$K$79,MATCH($A76,'03 Productos'!$A$5:$A$79,0)))</x:f>
      </x:c>
      <x:c r="L76" s="114" t="str">
        <x:f>IF($A76="","",IFERROR(($E76*INDEX('03 Productos'!$G$5:$G$79,MATCH($A76,'03 Productos'!$A$5:$A$79,0))+SUMIFS('04 Movimientos'!$K$5:$K$184,'04 Movimientos'!$C$5:$C$184,$A76,'04 Movimientos'!$B$5:$B$184,"Entrada"))/($E76+$F76),INDEX('03 Productos'!$G$5:$G$79,MATCH($A76,'03 Productos'!$A$5:$A$79,0))))</x:f>
      </x:c>
      <x:c r="M76" s="114" t="str">
        <x:f>IF($A76="","",$H76*$L76)</x:f>
      </x:c>
      <x:c r="N76" s="108" t="str">
        <x:f>IF($A76="","",IF($H76&lt;=0,"Sin stock",IF($H76&lt;=$I76,"Crítico",IF($H76&lt;=$K76,"Reordenar",IF($H76&gt;$J76,"Sobre stock","OK")))))</x:f>
      </x:c>
      <x:c r="O76" s="108" t="str">
        <x:f>IF($A76="","",IF($N76="Sin stock","Comprar de inmediato",IF($N76="Crítico","Reponer urgente",IF($N76="Reordenar","Programar compra",IF($N76="Sobre stock","Revisar exceso","Mantener")))))</x:f>
      </x:c>
    </x:row>
    <x:row r="77">
      <x:c r="A77" s="108" t="str">
        <x:f>IF('03 Productos'!A77="","",'03 Productos'!A77)</x:f>
      </x:c>
      <x:c r="B77" s="108" t="str">
        <x:f>IF($A77="","",INDEX('03 Productos'!$B$5:$B$79,MATCH($A77,'03 Productos'!$A$5:$A$79,0)))</x:f>
      </x:c>
      <x:c r="C77" s="108" t="str">
        <x:f>IF($A77="","",INDEX('03 Productos'!$C$5:$C$79,MATCH($A77,'03 Productos'!$A$5:$A$79,0)))</x:f>
      </x:c>
      <x:c r="D77" s="108" t="str">
        <x:f>IF($A77="","",INDEX('03 Productos'!$D$5:$D$79,MATCH($A77,'03 Productos'!$A$5:$A$79,0)))</x:f>
      </x:c>
      <x:c r="E77" s="112" t="str">
        <x:f>IF($A77="","",INDEX('03 Productos'!$F$5:$F$79,MATCH($A77,'03 Productos'!$A$5:$A$79,0)))</x:f>
      </x:c>
      <x:c r="F77" s="112" t="str">
        <x:f>IF($A77="","",SUMIFS('04 Movimientos'!$I$5:$I$184,'04 Movimientos'!$C$5:$C$184,$A77))</x:f>
      </x:c>
      <x:c r="G77" s="112" t="str">
        <x:f>IF($A77="","",SUMIFS('04 Movimientos'!$J$5:$J$184,'04 Movimientos'!$C$5:$C$184,$A77))</x:f>
      </x:c>
      <x:c r="H77" s="112" t="str">
        <x:f>IF($A77="","",$E77+$F77-$G77)</x:f>
      </x:c>
      <x:c r="I77" s="112" t="str">
        <x:f>IF($A77="","",INDEX('03 Productos'!$H$5:$H$79,MATCH($A77,'03 Productos'!$A$5:$A$79,0)))</x:f>
      </x:c>
      <x:c r="J77" s="112" t="str">
        <x:f>IF($A77="","",INDEX('03 Productos'!$I$5:$I$79,MATCH($A77,'03 Productos'!$A$5:$A$79,0)))</x:f>
      </x:c>
      <x:c r="K77" s="112" t="str">
        <x:f>IF($A77="","",$I77+INDEX('03 Productos'!$J$5:$J$79,MATCH($A77,'03 Productos'!$A$5:$A$79,0))*INDEX('03 Productos'!$K$5:$K$79,MATCH($A77,'03 Productos'!$A$5:$A$79,0)))</x:f>
      </x:c>
      <x:c r="L77" s="114" t="str">
        <x:f>IF($A77="","",IFERROR(($E77*INDEX('03 Productos'!$G$5:$G$79,MATCH($A77,'03 Productos'!$A$5:$A$79,0))+SUMIFS('04 Movimientos'!$K$5:$K$184,'04 Movimientos'!$C$5:$C$184,$A77,'04 Movimientos'!$B$5:$B$184,"Entrada"))/($E77+$F77),INDEX('03 Productos'!$G$5:$G$79,MATCH($A77,'03 Productos'!$A$5:$A$79,0))))</x:f>
      </x:c>
      <x:c r="M77" s="114" t="str">
        <x:f>IF($A77="","",$H77*$L77)</x:f>
      </x:c>
      <x:c r="N77" s="108" t="str">
        <x:f>IF($A77="","",IF($H77&lt;=0,"Sin stock",IF($H77&lt;=$I77,"Crítico",IF($H77&lt;=$K77,"Reordenar",IF($H77&gt;$J77,"Sobre stock","OK")))))</x:f>
      </x:c>
      <x:c r="O77" s="108" t="str">
        <x:f>IF($A77="","",IF($N77="Sin stock","Comprar de inmediato",IF($N77="Crítico","Reponer urgente",IF($N77="Reordenar","Programar compra",IF($N77="Sobre stock","Revisar exceso","Mantener")))))</x:f>
      </x:c>
    </x:row>
    <x:row r="78">
      <x:c r="A78" s="108" t="str">
        <x:f>IF('03 Productos'!A78="","",'03 Productos'!A78)</x:f>
      </x:c>
      <x:c r="B78" s="108" t="str">
        <x:f>IF($A78="","",INDEX('03 Productos'!$B$5:$B$79,MATCH($A78,'03 Productos'!$A$5:$A$79,0)))</x:f>
      </x:c>
      <x:c r="C78" s="108" t="str">
        <x:f>IF($A78="","",INDEX('03 Productos'!$C$5:$C$79,MATCH($A78,'03 Productos'!$A$5:$A$79,0)))</x:f>
      </x:c>
      <x:c r="D78" s="108" t="str">
        <x:f>IF($A78="","",INDEX('03 Productos'!$D$5:$D$79,MATCH($A78,'03 Productos'!$A$5:$A$79,0)))</x:f>
      </x:c>
      <x:c r="E78" s="112" t="str">
        <x:f>IF($A78="","",INDEX('03 Productos'!$F$5:$F$79,MATCH($A78,'03 Productos'!$A$5:$A$79,0)))</x:f>
      </x:c>
      <x:c r="F78" s="112" t="str">
        <x:f>IF($A78="","",SUMIFS('04 Movimientos'!$I$5:$I$184,'04 Movimientos'!$C$5:$C$184,$A78))</x:f>
      </x:c>
      <x:c r="G78" s="112" t="str">
        <x:f>IF($A78="","",SUMIFS('04 Movimientos'!$J$5:$J$184,'04 Movimientos'!$C$5:$C$184,$A78))</x:f>
      </x:c>
      <x:c r="H78" s="112" t="str">
        <x:f>IF($A78="","",$E78+$F78-$G78)</x:f>
      </x:c>
      <x:c r="I78" s="112" t="str">
        <x:f>IF($A78="","",INDEX('03 Productos'!$H$5:$H$79,MATCH($A78,'03 Productos'!$A$5:$A$79,0)))</x:f>
      </x:c>
      <x:c r="J78" s="112" t="str">
        <x:f>IF($A78="","",INDEX('03 Productos'!$I$5:$I$79,MATCH($A78,'03 Productos'!$A$5:$A$79,0)))</x:f>
      </x:c>
      <x:c r="K78" s="112" t="str">
        <x:f>IF($A78="","",$I78+INDEX('03 Productos'!$J$5:$J$79,MATCH($A78,'03 Productos'!$A$5:$A$79,0))*INDEX('03 Productos'!$K$5:$K$79,MATCH($A78,'03 Productos'!$A$5:$A$79,0)))</x:f>
      </x:c>
      <x:c r="L78" s="114" t="str">
        <x:f>IF($A78="","",IFERROR(($E78*INDEX('03 Productos'!$G$5:$G$79,MATCH($A78,'03 Productos'!$A$5:$A$79,0))+SUMIFS('04 Movimientos'!$K$5:$K$184,'04 Movimientos'!$C$5:$C$184,$A78,'04 Movimientos'!$B$5:$B$184,"Entrada"))/($E78+$F78),INDEX('03 Productos'!$G$5:$G$79,MATCH($A78,'03 Productos'!$A$5:$A$79,0))))</x:f>
      </x:c>
      <x:c r="M78" s="114" t="str">
        <x:f>IF($A78="","",$H78*$L78)</x:f>
      </x:c>
      <x:c r="N78" s="108" t="str">
        <x:f>IF($A78="","",IF($H78&lt;=0,"Sin stock",IF($H78&lt;=$I78,"Crítico",IF($H78&lt;=$K78,"Reordenar",IF($H78&gt;$J78,"Sobre stock","OK")))))</x:f>
      </x:c>
      <x:c r="O78" s="108" t="str">
        <x:f>IF($A78="","",IF($N78="Sin stock","Comprar de inmediato",IF($N78="Crítico","Reponer urgente",IF($N78="Reordenar","Programar compra",IF($N78="Sobre stock","Revisar exceso","Mantener")))))</x:f>
      </x:c>
    </x:row>
    <x:row r="79">
      <x:c r="A79" s="108" t="str">
        <x:f>IF('03 Productos'!A79="","",'03 Productos'!A79)</x:f>
      </x:c>
      <x:c r="B79" s="108" t="str">
        <x:f>IF($A79="","",INDEX('03 Productos'!$B$5:$B$79,MATCH($A79,'03 Productos'!$A$5:$A$79,0)))</x:f>
      </x:c>
      <x:c r="C79" s="108" t="str">
        <x:f>IF($A79="","",INDEX('03 Productos'!$C$5:$C$79,MATCH($A79,'03 Productos'!$A$5:$A$79,0)))</x:f>
      </x:c>
      <x:c r="D79" s="108" t="str">
        <x:f>IF($A79="","",INDEX('03 Productos'!$D$5:$D$79,MATCH($A79,'03 Productos'!$A$5:$A$79,0)))</x:f>
      </x:c>
      <x:c r="E79" s="112" t="str">
        <x:f>IF($A79="","",INDEX('03 Productos'!$F$5:$F$79,MATCH($A79,'03 Productos'!$A$5:$A$79,0)))</x:f>
      </x:c>
      <x:c r="F79" s="112" t="str">
        <x:f>IF($A79="","",SUMIFS('04 Movimientos'!$I$5:$I$184,'04 Movimientos'!$C$5:$C$184,$A79))</x:f>
      </x:c>
      <x:c r="G79" s="112" t="str">
        <x:f>IF($A79="","",SUMIFS('04 Movimientos'!$J$5:$J$184,'04 Movimientos'!$C$5:$C$184,$A79))</x:f>
      </x:c>
      <x:c r="H79" s="112" t="str">
        <x:f>IF($A79="","",$E79+$F79-$G79)</x:f>
      </x:c>
      <x:c r="I79" s="112" t="str">
        <x:f>IF($A79="","",INDEX('03 Productos'!$H$5:$H$79,MATCH($A79,'03 Productos'!$A$5:$A$79,0)))</x:f>
      </x:c>
      <x:c r="J79" s="112" t="str">
        <x:f>IF($A79="","",INDEX('03 Productos'!$I$5:$I$79,MATCH($A79,'03 Productos'!$A$5:$A$79,0)))</x:f>
      </x:c>
      <x:c r="K79" s="112" t="str">
        <x:f>IF($A79="","",$I79+INDEX('03 Productos'!$J$5:$J$79,MATCH($A79,'03 Productos'!$A$5:$A$79,0))*INDEX('03 Productos'!$K$5:$K$79,MATCH($A79,'03 Productos'!$A$5:$A$79,0)))</x:f>
      </x:c>
      <x:c r="L79" s="114" t="str">
        <x:f>IF($A79="","",IFERROR(($E79*INDEX('03 Productos'!$G$5:$G$79,MATCH($A79,'03 Productos'!$A$5:$A$79,0))+SUMIFS('04 Movimientos'!$K$5:$K$184,'04 Movimientos'!$C$5:$C$184,$A79,'04 Movimientos'!$B$5:$B$184,"Entrada"))/($E79+$F79),INDEX('03 Productos'!$G$5:$G$79,MATCH($A79,'03 Productos'!$A$5:$A$79,0))))</x:f>
      </x:c>
      <x:c r="M79" s="114" t="str">
        <x:f>IF($A79="","",$H79*$L79)</x:f>
      </x:c>
      <x:c r="N79" s="108" t="str">
        <x:f>IF($A79="","",IF($H79&lt;=0,"Sin stock",IF($H79&lt;=$I79,"Crítico",IF($H79&lt;=$K79,"Reordenar",IF($H79&gt;$J79,"Sobre stock","OK")))))</x:f>
      </x:c>
      <x:c r="O79" s="108" t="str">
        <x:f>IF($A79="","",IF($N79="Sin stock","Comprar de inmediato",IF($N79="Crítico","Reponer urgente",IF($N79="Reordenar","Programar compra",IF($N79="Sobre stock","Revisar exceso","Mantener")))))</x:f>
      </x:c>
    </x:row>
  </x:sheetData>
  <x:mergeCells>
    <x:mergeCell ref="A1:O1"/>
    <x:mergeCell ref="A2:O2"/>
  </x:mergeCells>
  <x:conditionalFormatting sqref="N5:N79">
    <x:cfRule type="expression" dxfId="0" priority="1">
      <x:formula>N5="Crítico"</x:formula>
    </x:cfRule>
    <x:cfRule type="expression" dxfId="1" priority="2">
      <x:formula>N5="Sin stock"</x:formula>
    </x:cfRule>
    <x:cfRule type="expression" dxfId="2" priority="3">
      <x:formula>N5="Reordenar"</x:formula>
    </x:cfRule>
    <x:cfRule type="expression" dxfId="3" priority="4">
      <x:formula>N5="OK"</x:formula>
    </x:cfRule>
    <x:cfRule type="expression" dxfId="4" priority="5">
      <x:formula>N5="Sobre stock"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3e5c6c35e394f3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26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8" hidden="0" customWidth="1"/>
    <x:col min="10" max="10" width="22" hidden="0" customWidth="1"/>
  </x:cols>
  <x:sheetData>
    <x:row r="1" ht="42" customHeight="1">
      <x:c r="A1" s="5" t="str">
        <x:v>Alertas y reposición</x:v>
      </x:c>
    </x:row>
    <x:row r="2" ht="28" customHeight="1">
      <x:c r="A2" s="13" t="str">
        <x:v>Lista ejecutiva para priorizar compras y evitar quiebres de stock.</x:v>
      </x:c>
    </x:row>
    <x:row r="4" ht="26" customHeight="1">
      <x:c r="A4" s="66" t="str">
        <x:v>Prioridad</x:v>
      </x:c>
      <x:c r="B4" s="66" t="str">
        <x:v>SKU</x:v>
      </x:c>
      <x:c r="C4" s="66" t="str">
        <x:v>Producto</x:v>
      </x:c>
      <x:c r="D4" s="66" t="str">
        <x:v>Estado</x:v>
      </x:c>
      <x:c r="E4" s="66" t="str">
        <x:v>Existencia</x:v>
      </x:c>
      <x:c r="F4" s="66" t="str">
        <x:v>Stock mínimo</x:v>
      </x:c>
      <x:c r="G4" s="66" t="str">
        <x:v>Stock máximo</x:v>
      </x:c>
      <x:c r="H4" s="66" t="str">
        <x:v>Cantidad sugerida</x:v>
      </x:c>
      <x:c r="I4" s="66" t="str">
        <x:v>Valor compra estimado</x:v>
      </x:c>
      <x:c r="J4" s="66" t="str">
        <x:v>Acción recomendada</x:v>
      </x:c>
    </x:row>
    <x:row r="5">
      <x:c r="A5" s="122" t="str">
        <x:f>IF('05 Inventario'!A5="","",IF(OR('05 Inventario'!N5="Sin stock",'05 Inventario'!N5="Crítico"),"Alta",IF('05 Inventario'!N5="Reordenar","Media",IF('05 Inventario'!N5="Sobre stock","Revisión","Baja"))))</x:f>
        <x:v>Baja</x:v>
      </x:c>
      <x:c r="B5" s="122" t="str">
        <x:f>'05 Inventario'!A5</x:f>
        <x:v>SKU-001</x:v>
      </x:c>
      <x:c r="C5" s="122" t="str">
        <x:f>'05 Inventario'!B5</x:f>
        <x:v>Laptop administrativa</x:v>
      </x:c>
      <x:c r="D5" s="122" t="str">
        <x:f>'05 Inventario'!N5</x:f>
        <x:v>OK</x:v>
      </x:c>
      <x:c r="E5" s="124" t="n">
        <x:f>'05 Inventario'!H5</x:f>
        <x:v>4</x:v>
      </x:c>
      <x:c r="F5" s="124" t="n">
        <x:f>'05 Inventario'!I5</x:f>
        <x:v>2</x:v>
      </x:c>
      <x:c r="G5" s="124" t="n">
        <x:f>'05 Inventario'!J5</x:f>
        <x:v>8</x:v>
      </x:c>
      <x:c r="H5" s="124" t="n">
        <x:f>IF(B5="","",MAX(0,G5-E5))</x:f>
        <x:v>4</x:v>
      </x:c>
      <x:c r="I5" s="126" t="n">
        <x:f>IF(B5="","",H5*INDEX('05 Inventario'!$L$5:$L$79,MATCH(B5,'05 Inventario'!$A$5:$A$79,0)))</x:f>
        <x:v>50000</x:v>
      </x:c>
      <x:c r="J5" s="122" t="str">
        <x:f>IF(B5="","",IF(A5="Alta","Comprar ahora",IF(A5="Media","Cotizar y programar",IF(A5="Revisión","Evaluar exceso","Sin acción inmediata"))))</x:f>
        <x:v>Sin acción inmediata</x:v>
      </x:c>
    </x:row>
    <x:row r="6">
      <x:c r="A6" s="122" t="str">
        <x:f>IF('05 Inventario'!A6="","",IF(OR('05 Inventario'!N6="Sin stock",'05 Inventario'!N6="Crítico"),"Alta",IF('05 Inventario'!N6="Reordenar","Media",IF('05 Inventario'!N6="Sobre stock","Revisión","Baja"))))</x:f>
        <x:v>Baja</x:v>
      </x:c>
      <x:c r="B6" s="122" t="str">
        <x:f>'05 Inventario'!A6</x:f>
        <x:v>SKU-002</x:v>
      </x:c>
      <x:c r="C6" s="122" t="str">
        <x:f>'05 Inventario'!B6</x:f>
        <x:v>Toner impresora</x:v>
      </x:c>
      <x:c r="D6" s="122" t="str">
        <x:f>'05 Inventario'!N6</x:f>
        <x:v>OK</x:v>
      </x:c>
      <x:c r="E6" s="124" t="n">
        <x:f>'05 Inventario'!H6</x:f>
        <x:v>17</x:v>
      </x:c>
      <x:c r="F6" s="124" t="n">
        <x:f>'05 Inventario'!I6</x:f>
        <x:v>4</x:v>
      </x:c>
      <x:c r="G6" s="124" t="n">
        <x:f>'05 Inventario'!J6</x:f>
        <x:v>20</x:v>
      </x:c>
      <x:c r="H6" s="124" t="n">
        <x:f>IF(B6="","",MAX(0,G6-E6))</x:f>
        <x:v>3</x:v>
      </x:c>
      <x:c r="I6" s="126" t="n">
        <x:f>IF(B6="","",H6*INDEX('05 Inventario'!$L$5:$L$79,MATCH(B6,'05 Inventario'!$A$5:$A$79,0)))</x:f>
        <x:v>2304</x:v>
      </x:c>
      <x:c r="J6" s="122" t="str">
        <x:f>IF(B6="","",IF(A6="Alta","Comprar ahora",IF(A6="Media","Cotizar y programar",IF(A6="Revisión","Evaluar exceso","Sin acción inmediata"))))</x:f>
        <x:v>Sin acción inmediata</x:v>
      </x:c>
    </x:row>
    <x:row r="7">
      <x:c r="A7" s="122" t="str">
        <x:f>IF('05 Inventario'!A7="","",IF(OR('05 Inventario'!N7="Sin stock",'05 Inventario'!N7="Crítico"),"Alta",IF('05 Inventario'!N7="Reordenar","Media",IF('05 Inventario'!N7="Sobre stock","Revisión","Baja"))))</x:f>
        <x:v>Alta</x:v>
      </x:c>
      <x:c r="B7" s="122" t="str">
        <x:f>'05 Inventario'!A7</x:f>
        <x:v>SKU-003</x:v>
      </x:c>
      <x:c r="C7" s="122" t="str">
        <x:f>'05 Inventario'!B7</x:f>
        <x:v>Caja de empaque</x:v>
      </x:c>
      <x:c r="D7" s="122" t="str">
        <x:f>'05 Inventario'!N7</x:f>
        <x:v>Crítico</x:v>
      </x:c>
      <x:c r="E7" s="124" t="n">
        <x:f>'05 Inventario'!H7</x:f>
        <x:v>50</x:v>
      </x:c>
      <x:c r="F7" s="124" t="n">
        <x:f>'05 Inventario'!I7</x:f>
        <x:v>50</x:v>
      </x:c>
      <x:c r="G7" s="124" t="n">
        <x:f>'05 Inventario'!J7</x:f>
        <x:v>300</x:v>
      </x:c>
      <x:c r="H7" s="124" t="n">
        <x:f>IF(B7="","",MAX(0,G7-E7))</x:f>
        <x:v>250</x:v>
      </x:c>
      <x:c r="I7" s="126" t="n">
        <x:f>IF(B7="","",H7*INDEX('05 Inventario'!$L$5:$L$79,MATCH(B7,'05 Inventario'!$A$5:$A$79,0)))</x:f>
        <x:v>5500</x:v>
      </x:c>
      <x:c r="J7" s="122" t="str">
        <x:f>IF(B7="","",IF(A7="Alta","Comprar ahora",IF(A7="Media","Cotizar y programar",IF(A7="Revisión","Evaluar exceso","Sin acción inmediata"))))</x:f>
        <x:v>Comprar ahora</x:v>
      </x:c>
    </x:row>
    <x:row r="8">
      <x:c r="A8" s="122" t="str">
        <x:f>IF('05 Inventario'!A8="","",IF(OR('05 Inventario'!N8="Sin stock",'05 Inventario'!N8="Crítico"),"Alta",IF('05 Inventario'!N8="Reordenar","Media",IF('05 Inventario'!N8="Sobre stock","Revisión","Baja"))))</x:f>
        <x:v>Media</x:v>
      </x:c>
      <x:c r="B8" s="122" t="str">
        <x:f>'05 Inventario'!A8</x:f>
        <x:v>SKU-004</x:v>
      </x:c>
      <x:c r="C8" s="122" t="str">
        <x:f>'05 Inventario'!B8</x:f>
        <x:v>Material promocional</x:v>
      </x:c>
      <x:c r="D8" s="122" t="str">
        <x:f>'05 Inventario'!N8</x:f>
        <x:v>Reordenar</x:v>
      </x:c>
      <x:c r="E8" s="124" t="n">
        <x:f>'05 Inventario'!H8</x:f>
        <x:v>18</x:v>
      </x:c>
      <x:c r="F8" s="124" t="n">
        <x:f>'05 Inventario'!I8</x:f>
        <x:v>10</x:v>
      </x:c>
      <x:c r="G8" s="124" t="n">
        <x:f>'05 Inventario'!J8</x:f>
        <x:v>80</x:v>
      </x:c>
      <x:c r="H8" s="124" t="n">
        <x:f>IF(B8="","",MAX(0,G8-E8))</x:f>
        <x:v>62</x:v>
      </x:c>
      <x:c r="I8" s="126" t="n">
        <x:f>IF(B8="","",H8*INDEX('05 Inventario'!$L$5:$L$79,MATCH(B8,'05 Inventario'!$A$5:$A$79,0)))</x:f>
        <x:v>11160</x:v>
      </x:c>
      <x:c r="J8" s="122" t="str">
        <x:f>IF(B8="","",IF(A8="Alta","Comprar ahora",IF(A8="Media","Cotizar y programar",IF(A8="Revisión","Evaluar exceso","Sin acción inmediata"))))</x:f>
        <x:v>Cotizar y programar</x:v>
      </x:c>
    </x:row>
    <x:row r="9">
      <x:c r="A9" s="122" t="str">
        <x:f>IF('05 Inventario'!A9="","",IF(OR('05 Inventario'!N9="Sin stock",'05 Inventario'!N9="Crítico"),"Alta",IF('05 Inventario'!N9="Reordenar","Media",IF('05 Inventario'!N9="Sobre stock","Revisión","Baja"))))</x:f>
        <x:v>Baja</x:v>
      </x:c>
      <x:c r="B9" s="122" t="str">
        <x:f>'05 Inventario'!A9</x:f>
        <x:v>SKU-005</x:v>
      </x:c>
      <x:c r="C9" s="122" t="str">
        <x:f>'05 Inventario'!B9</x:f>
        <x:v>Refacción crítica</x:v>
      </x:c>
      <x:c r="D9" s="122" t="str">
        <x:f>'05 Inventario'!N9</x:f>
        <x:v>OK</x:v>
      </x:c>
      <x:c r="E9" s="124" t="n">
        <x:f>'05 Inventario'!H9</x:f>
        <x:v>10</x:v>
      </x:c>
      <x:c r="F9" s="124" t="n">
        <x:f>'05 Inventario'!I9</x:f>
        <x:v>3</x:v>
      </x:c>
      <x:c r="G9" s="124" t="n">
        <x:f>'05 Inventario'!J9</x:f>
        <x:v>12</x:v>
      </x:c>
      <x:c r="H9" s="124" t="n">
        <x:f>IF(B9="","",MAX(0,G9-E9))</x:f>
        <x:v>2</x:v>
      </x:c>
      <x:c r="I9" s="126" t="n">
        <x:f>IF(B9="","",H9*INDEX('05 Inventario'!$L$5:$L$79,MATCH(B9,'05 Inventario'!$A$5:$A$79,0)))</x:f>
        <x:v>2852</x:v>
      </x:c>
      <x:c r="J9" s="122" t="str">
        <x:f>IF(B9="","",IF(A9="Alta","Comprar ahora",IF(A9="Media","Cotizar y programar",IF(A9="Revisión","Evaluar exceso","Sin acción inmediata"))))</x:f>
        <x:v>Sin acción inmediata</x:v>
      </x:c>
    </x:row>
    <x:row r="10">
      <x:c r="A10" s="122" t="str">
        <x:f>IF('05 Inventario'!A10="","",IF(OR('05 Inventario'!N10="Sin stock",'05 Inventario'!N10="Crítico"),"Alta",IF('05 Inventario'!N10="Reordenar","Media",IF('05 Inventario'!N10="Sobre stock","Revisión","Baja"))))</x:f>
        <x:v>Baja</x:v>
      </x:c>
      <x:c r="B10" s="122" t="str">
        <x:f>'05 Inventario'!A10</x:f>
        <x:v>SKU-006</x:v>
      </x:c>
      <x:c r="C10" s="122" t="str">
        <x:f>'05 Inventario'!B10</x:f>
        <x:v>Etiqueta adhesiva</x:v>
      </x:c>
      <x:c r="D10" s="122" t="str">
        <x:f>'05 Inventario'!N10</x:f>
        <x:v>OK</x:v>
      </x:c>
      <x:c r="E10" s="124" t="n">
        <x:f>'05 Inventario'!H10</x:f>
        <x:v>160</x:v>
      </x:c>
      <x:c r="F10" s="124" t="n">
        <x:f>'05 Inventario'!I10</x:f>
        <x:v>25</x:v>
      </x:c>
      <x:c r="G10" s="124" t="n">
        <x:f>'05 Inventario'!J10</x:f>
        <x:v>200</x:v>
      </x:c>
      <x:c r="H10" s="124" t="n">
        <x:f>IF(B10="","",MAX(0,G10-E10))</x:f>
        <x:v>40</x:v>
      </x:c>
      <x:c r="I10" s="126" t="n">
        <x:f>IF(B10="","",H10*INDEX('05 Inventario'!$L$5:$L$79,MATCH(B10,'05 Inventario'!$A$5:$A$79,0)))</x:f>
        <x:v>3740</x:v>
      </x:c>
      <x:c r="J10" s="122" t="str">
        <x:f>IF(B10="","",IF(A10="Alta","Comprar ahora",IF(A10="Media","Cotizar y programar",IF(A10="Revisión","Evaluar exceso","Sin acción inmediata"))))</x:f>
        <x:v>Sin acción inmediata</x:v>
      </x:c>
    </x:row>
    <x:row r="11">
      <x:c r="A11" s="122" t="str">
        <x:f>IF('05 Inventario'!A11="","",IF(OR('05 Inventario'!N11="Sin stock",'05 Inventario'!N11="Crítico"),"Alta",IF('05 Inventario'!N11="Reordenar","Media",IF('05 Inventario'!N11="Sobre stock","Revisión","Baja"))))</x:f>
      </x:c>
      <x:c r="B11" s="122" t="str">
        <x:f>'05 Inventario'!A11</x:f>
      </x:c>
      <x:c r="C11" s="122" t="str">
        <x:f>'05 Inventario'!B11</x:f>
      </x:c>
      <x:c r="D11" s="122" t="str">
        <x:f>'05 Inventario'!N11</x:f>
      </x:c>
      <x:c r="E11" s="124" t="str">
        <x:f>'05 Inventario'!H11</x:f>
      </x:c>
      <x:c r="F11" s="124" t="str">
        <x:f>'05 Inventario'!I11</x:f>
      </x:c>
      <x:c r="G11" s="124" t="str">
        <x:f>'05 Inventario'!J11</x:f>
      </x:c>
      <x:c r="H11" s="124" t="str">
        <x:f>IF(B11="","",MAX(0,G11-E11))</x:f>
      </x:c>
      <x:c r="I11" s="126" t="str">
        <x:f>IF(B11="","",H11*INDEX('05 Inventario'!$L$5:$L$79,MATCH(B11,'05 Inventario'!$A$5:$A$79,0)))</x:f>
      </x:c>
      <x:c r="J11" s="122" t="str">
        <x:f>IF(B11="","",IF(A11="Alta","Comprar ahora",IF(A11="Media","Cotizar y programar",IF(A11="Revisión","Evaluar exceso","Sin acción inmediata"))))</x:f>
      </x:c>
    </x:row>
    <x:row r="12">
      <x:c r="A12" s="122" t="str">
        <x:f>IF('05 Inventario'!A12="","",IF(OR('05 Inventario'!N12="Sin stock",'05 Inventario'!N12="Crítico"),"Alta",IF('05 Inventario'!N12="Reordenar","Media",IF('05 Inventario'!N12="Sobre stock","Revisión","Baja"))))</x:f>
      </x:c>
      <x:c r="B12" s="122" t="str">
        <x:f>'05 Inventario'!A12</x:f>
      </x:c>
      <x:c r="C12" s="122" t="str">
        <x:f>'05 Inventario'!B12</x:f>
      </x:c>
      <x:c r="D12" s="122" t="str">
        <x:f>'05 Inventario'!N12</x:f>
      </x:c>
      <x:c r="E12" s="124" t="str">
        <x:f>'05 Inventario'!H12</x:f>
      </x:c>
      <x:c r="F12" s="124" t="str">
        <x:f>'05 Inventario'!I12</x:f>
      </x:c>
      <x:c r="G12" s="124" t="str">
        <x:f>'05 Inventario'!J12</x:f>
      </x:c>
      <x:c r="H12" s="124" t="str">
        <x:f>IF(B12="","",MAX(0,G12-E12))</x:f>
      </x:c>
      <x:c r="I12" s="126" t="str">
        <x:f>IF(B12="","",H12*INDEX('05 Inventario'!$L$5:$L$79,MATCH(B12,'05 Inventario'!$A$5:$A$79,0)))</x:f>
      </x:c>
      <x:c r="J12" s="122" t="str">
        <x:f>IF(B12="","",IF(A12="Alta","Comprar ahora",IF(A12="Media","Cotizar y programar",IF(A12="Revisión","Evaluar exceso","Sin acción inmediata"))))</x:f>
      </x:c>
    </x:row>
    <x:row r="13">
      <x:c r="A13" s="122" t="str">
        <x:f>IF('05 Inventario'!A13="","",IF(OR('05 Inventario'!N13="Sin stock",'05 Inventario'!N13="Crítico"),"Alta",IF('05 Inventario'!N13="Reordenar","Media",IF('05 Inventario'!N13="Sobre stock","Revisión","Baja"))))</x:f>
      </x:c>
      <x:c r="B13" s="122" t="str">
        <x:f>'05 Inventario'!A13</x:f>
      </x:c>
      <x:c r="C13" s="122" t="str">
        <x:f>'05 Inventario'!B13</x:f>
      </x:c>
      <x:c r="D13" s="122" t="str">
        <x:f>'05 Inventario'!N13</x:f>
      </x:c>
      <x:c r="E13" s="124" t="str">
        <x:f>'05 Inventario'!H13</x:f>
      </x:c>
      <x:c r="F13" s="124" t="str">
        <x:f>'05 Inventario'!I13</x:f>
      </x:c>
      <x:c r="G13" s="124" t="str">
        <x:f>'05 Inventario'!J13</x:f>
      </x:c>
      <x:c r="H13" s="124" t="str">
        <x:f>IF(B13="","",MAX(0,G13-E13))</x:f>
      </x:c>
      <x:c r="I13" s="126" t="str">
        <x:f>IF(B13="","",H13*INDEX('05 Inventario'!$L$5:$L$79,MATCH(B13,'05 Inventario'!$A$5:$A$79,0)))</x:f>
      </x:c>
      <x:c r="J13" s="122" t="str">
        <x:f>IF(B13="","",IF(A13="Alta","Comprar ahora",IF(A13="Media","Cotizar y programar",IF(A13="Revisión","Evaluar exceso","Sin acción inmediata"))))</x:f>
      </x:c>
    </x:row>
    <x:row r="14">
      <x:c r="A14" s="122" t="str">
        <x:f>IF('05 Inventario'!A14="","",IF(OR('05 Inventario'!N14="Sin stock",'05 Inventario'!N14="Crítico"),"Alta",IF('05 Inventario'!N14="Reordenar","Media",IF('05 Inventario'!N14="Sobre stock","Revisión","Baja"))))</x:f>
      </x:c>
      <x:c r="B14" s="122" t="str">
        <x:f>'05 Inventario'!A14</x:f>
      </x:c>
      <x:c r="C14" s="122" t="str">
        <x:f>'05 Inventario'!B14</x:f>
      </x:c>
      <x:c r="D14" s="122" t="str">
        <x:f>'05 Inventario'!N14</x:f>
      </x:c>
      <x:c r="E14" s="124" t="str">
        <x:f>'05 Inventario'!H14</x:f>
      </x:c>
      <x:c r="F14" s="124" t="str">
        <x:f>'05 Inventario'!I14</x:f>
      </x:c>
      <x:c r="G14" s="124" t="str">
        <x:f>'05 Inventario'!J14</x:f>
      </x:c>
      <x:c r="H14" s="124" t="str">
        <x:f>IF(B14="","",MAX(0,G14-E14))</x:f>
      </x:c>
      <x:c r="I14" s="126" t="str">
        <x:f>IF(B14="","",H14*INDEX('05 Inventario'!$L$5:$L$79,MATCH(B14,'05 Inventario'!$A$5:$A$79,0)))</x:f>
      </x:c>
      <x:c r="J14" s="122" t="str">
        <x:f>IF(B14="","",IF(A14="Alta","Comprar ahora",IF(A14="Media","Cotizar y programar",IF(A14="Revisión","Evaluar exceso","Sin acción inmediata"))))</x:f>
      </x:c>
    </x:row>
    <x:row r="15">
      <x:c r="A15" s="122" t="str">
        <x:f>IF('05 Inventario'!A15="","",IF(OR('05 Inventario'!N15="Sin stock",'05 Inventario'!N15="Crítico"),"Alta",IF('05 Inventario'!N15="Reordenar","Media",IF('05 Inventario'!N15="Sobre stock","Revisión","Baja"))))</x:f>
      </x:c>
      <x:c r="B15" s="122" t="str">
        <x:f>'05 Inventario'!A15</x:f>
      </x:c>
      <x:c r="C15" s="122" t="str">
        <x:f>'05 Inventario'!B15</x:f>
      </x:c>
      <x:c r="D15" s="122" t="str">
        <x:f>'05 Inventario'!N15</x:f>
      </x:c>
      <x:c r="E15" s="124" t="str">
        <x:f>'05 Inventario'!H15</x:f>
      </x:c>
      <x:c r="F15" s="124" t="str">
        <x:f>'05 Inventario'!I15</x:f>
      </x:c>
      <x:c r="G15" s="124" t="str">
        <x:f>'05 Inventario'!J15</x:f>
      </x:c>
      <x:c r="H15" s="124" t="str">
        <x:f>IF(B15="","",MAX(0,G15-E15))</x:f>
      </x:c>
      <x:c r="I15" s="126" t="str">
        <x:f>IF(B15="","",H15*INDEX('05 Inventario'!$L$5:$L$79,MATCH(B15,'05 Inventario'!$A$5:$A$79,0)))</x:f>
      </x:c>
      <x:c r="J15" s="122" t="str">
        <x:f>IF(B15="","",IF(A15="Alta","Comprar ahora",IF(A15="Media","Cotizar y programar",IF(A15="Revisión","Evaluar exceso","Sin acción inmediata"))))</x:f>
      </x:c>
    </x:row>
    <x:row r="16">
      <x:c r="A16" s="122" t="str">
        <x:f>IF('05 Inventario'!A16="","",IF(OR('05 Inventario'!N16="Sin stock",'05 Inventario'!N16="Crítico"),"Alta",IF('05 Inventario'!N16="Reordenar","Media",IF('05 Inventario'!N16="Sobre stock","Revisión","Baja"))))</x:f>
      </x:c>
      <x:c r="B16" s="122" t="str">
        <x:f>'05 Inventario'!A16</x:f>
      </x:c>
      <x:c r="C16" s="122" t="str">
        <x:f>'05 Inventario'!B16</x:f>
      </x:c>
      <x:c r="D16" s="122" t="str">
        <x:f>'05 Inventario'!N16</x:f>
      </x:c>
      <x:c r="E16" s="124" t="str">
        <x:f>'05 Inventario'!H16</x:f>
      </x:c>
      <x:c r="F16" s="124" t="str">
        <x:f>'05 Inventario'!I16</x:f>
      </x:c>
      <x:c r="G16" s="124" t="str">
        <x:f>'05 Inventario'!J16</x:f>
      </x:c>
      <x:c r="H16" s="124" t="str">
        <x:f>IF(B16="","",MAX(0,G16-E16))</x:f>
      </x:c>
      <x:c r="I16" s="126" t="str">
        <x:f>IF(B16="","",H16*INDEX('05 Inventario'!$L$5:$L$79,MATCH(B16,'05 Inventario'!$A$5:$A$79,0)))</x:f>
      </x:c>
      <x:c r="J16" s="122" t="str">
        <x:f>IF(B16="","",IF(A16="Alta","Comprar ahora",IF(A16="Media","Cotizar y programar",IF(A16="Revisión","Evaluar exceso","Sin acción inmediata"))))</x:f>
      </x:c>
    </x:row>
    <x:row r="17">
      <x:c r="A17" s="122" t="str">
        <x:f>IF('05 Inventario'!A17="","",IF(OR('05 Inventario'!N17="Sin stock",'05 Inventario'!N17="Crítico"),"Alta",IF('05 Inventario'!N17="Reordenar","Media",IF('05 Inventario'!N17="Sobre stock","Revisión","Baja"))))</x:f>
      </x:c>
      <x:c r="B17" s="122" t="str">
        <x:f>'05 Inventario'!A17</x:f>
      </x:c>
      <x:c r="C17" s="122" t="str">
        <x:f>'05 Inventario'!B17</x:f>
      </x:c>
      <x:c r="D17" s="122" t="str">
        <x:f>'05 Inventario'!N17</x:f>
      </x:c>
      <x:c r="E17" s="124" t="str">
        <x:f>'05 Inventario'!H17</x:f>
      </x:c>
      <x:c r="F17" s="124" t="str">
        <x:f>'05 Inventario'!I17</x:f>
      </x:c>
      <x:c r="G17" s="124" t="str">
        <x:f>'05 Inventario'!J17</x:f>
      </x:c>
      <x:c r="H17" s="124" t="str">
        <x:f>IF(B17="","",MAX(0,G17-E17))</x:f>
      </x:c>
      <x:c r="I17" s="126" t="str">
        <x:f>IF(B17="","",H17*INDEX('05 Inventario'!$L$5:$L$79,MATCH(B17,'05 Inventario'!$A$5:$A$79,0)))</x:f>
      </x:c>
      <x:c r="J17" s="122" t="str">
        <x:f>IF(B17="","",IF(A17="Alta","Comprar ahora",IF(A17="Media","Cotizar y programar",IF(A17="Revisión","Evaluar exceso","Sin acción inmediata"))))</x:f>
      </x:c>
    </x:row>
    <x:row r="18">
      <x:c r="A18" s="122" t="str">
        <x:f>IF('05 Inventario'!A18="","",IF(OR('05 Inventario'!N18="Sin stock",'05 Inventario'!N18="Crítico"),"Alta",IF('05 Inventario'!N18="Reordenar","Media",IF('05 Inventario'!N18="Sobre stock","Revisión","Baja"))))</x:f>
      </x:c>
      <x:c r="B18" s="122" t="str">
        <x:f>'05 Inventario'!A18</x:f>
      </x:c>
      <x:c r="C18" s="122" t="str">
        <x:f>'05 Inventario'!B18</x:f>
      </x:c>
      <x:c r="D18" s="122" t="str">
        <x:f>'05 Inventario'!N18</x:f>
      </x:c>
      <x:c r="E18" s="124" t="str">
        <x:f>'05 Inventario'!H18</x:f>
      </x:c>
      <x:c r="F18" s="124" t="str">
        <x:f>'05 Inventario'!I18</x:f>
      </x:c>
      <x:c r="G18" s="124" t="str">
        <x:f>'05 Inventario'!J18</x:f>
      </x:c>
      <x:c r="H18" s="124" t="str">
        <x:f>IF(B18="","",MAX(0,G18-E18))</x:f>
      </x:c>
      <x:c r="I18" s="126" t="str">
        <x:f>IF(B18="","",H18*INDEX('05 Inventario'!$L$5:$L$79,MATCH(B18,'05 Inventario'!$A$5:$A$79,0)))</x:f>
      </x:c>
      <x:c r="J18" s="122" t="str">
        <x:f>IF(B18="","",IF(A18="Alta","Comprar ahora",IF(A18="Media","Cotizar y programar",IF(A18="Revisión","Evaluar exceso","Sin acción inmediata"))))</x:f>
      </x:c>
    </x:row>
    <x:row r="19">
      <x:c r="A19" s="122" t="str">
        <x:f>IF('05 Inventario'!A19="","",IF(OR('05 Inventario'!N19="Sin stock",'05 Inventario'!N19="Crítico"),"Alta",IF('05 Inventario'!N19="Reordenar","Media",IF('05 Inventario'!N19="Sobre stock","Revisión","Baja"))))</x:f>
      </x:c>
      <x:c r="B19" s="122" t="str">
        <x:f>'05 Inventario'!A19</x:f>
      </x:c>
      <x:c r="C19" s="122" t="str">
        <x:f>'05 Inventario'!B19</x:f>
      </x:c>
      <x:c r="D19" s="122" t="str">
        <x:f>'05 Inventario'!N19</x:f>
      </x:c>
      <x:c r="E19" s="124" t="str">
        <x:f>'05 Inventario'!H19</x:f>
      </x:c>
      <x:c r="F19" s="124" t="str">
        <x:f>'05 Inventario'!I19</x:f>
      </x:c>
      <x:c r="G19" s="124" t="str">
        <x:f>'05 Inventario'!J19</x:f>
      </x:c>
      <x:c r="H19" s="124" t="str">
        <x:f>IF(B19="","",MAX(0,G19-E19))</x:f>
      </x:c>
      <x:c r="I19" s="126" t="str">
        <x:f>IF(B19="","",H19*INDEX('05 Inventario'!$L$5:$L$79,MATCH(B19,'05 Inventario'!$A$5:$A$79,0)))</x:f>
      </x:c>
      <x:c r="J19" s="122" t="str">
        <x:f>IF(B19="","",IF(A19="Alta","Comprar ahora",IF(A19="Media","Cotizar y programar",IF(A19="Revisión","Evaluar exceso","Sin acción inmediata"))))</x:f>
      </x:c>
    </x:row>
    <x:row r="20">
      <x:c r="A20" s="122" t="str">
        <x:f>IF('05 Inventario'!A20="","",IF(OR('05 Inventario'!N20="Sin stock",'05 Inventario'!N20="Crítico"),"Alta",IF('05 Inventario'!N20="Reordenar","Media",IF('05 Inventario'!N20="Sobre stock","Revisión","Baja"))))</x:f>
      </x:c>
      <x:c r="B20" s="122" t="str">
        <x:f>'05 Inventario'!A20</x:f>
      </x:c>
      <x:c r="C20" s="122" t="str">
        <x:f>'05 Inventario'!B20</x:f>
      </x:c>
      <x:c r="D20" s="122" t="str">
        <x:f>'05 Inventario'!N20</x:f>
      </x:c>
      <x:c r="E20" s="124" t="str">
        <x:f>'05 Inventario'!H20</x:f>
      </x:c>
      <x:c r="F20" s="124" t="str">
        <x:f>'05 Inventario'!I20</x:f>
      </x:c>
      <x:c r="G20" s="124" t="str">
        <x:f>'05 Inventario'!J20</x:f>
      </x:c>
      <x:c r="H20" s="124" t="str">
        <x:f>IF(B20="","",MAX(0,G20-E20))</x:f>
      </x:c>
      <x:c r="I20" s="126" t="str">
        <x:f>IF(B20="","",H20*INDEX('05 Inventario'!$L$5:$L$79,MATCH(B20,'05 Inventario'!$A$5:$A$79,0)))</x:f>
      </x:c>
      <x:c r="J20" s="122" t="str">
        <x:f>IF(B20="","",IF(A20="Alta","Comprar ahora",IF(A20="Media","Cotizar y programar",IF(A20="Revisión","Evaluar exceso","Sin acción inmediata"))))</x:f>
      </x:c>
    </x:row>
    <x:row r="21">
      <x:c r="A21" s="122" t="str">
        <x:f>IF('05 Inventario'!A21="","",IF(OR('05 Inventario'!N21="Sin stock",'05 Inventario'!N21="Crítico"),"Alta",IF('05 Inventario'!N21="Reordenar","Media",IF('05 Inventario'!N21="Sobre stock","Revisión","Baja"))))</x:f>
      </x:c>
      <x:c r="B21" s="122" t="str">
        <x:f>'05 Inventario'!A21</x:f>
      </x:c>
      <x:c r="C21" s="122" t="str">
        <x:f>'05 Inventario'!B21</x:f>
      </x:c>
      <x:c r="D21" s="122" t="str">
        <x:f>'05 Inventario'!N21</x:f>
      </x:c>
      <x:c r="E21" s="124" t="str">
        <x:f>'05 Inventario'!H21</x:f>
      </x:c>
      <x:c r="F21" s="124" t="str">
        <x:f>'05 Inventario'!I21</x:f>
      </x:c>
      <x:c r="G21" s="124" t="str">
        <x:f>'05 Inventario'!J21</x:f>
      </x:c>
      <x:c r="H21" s="124" t="str">
        <x:f>IF(B21="","",MAX(0,G21-E21))</x:f>
      </x:c>
      <x:c r="I21" s="126" t="str">
        <x:f>IF(B21="","",H21*INDEX('05 Inventario'!$L$5:$L$79,MATCH(B21,'05 Inventario'!$A$5:$A$79,0)))</x:f>
      </x:c>
      <x:c r="J21" s="122" t="str">
        <x:f>IF(B21="","",IF(A21="Alta","Comprar ahora",IF(A21="Media","Cotizar y programar",IF(A21="Revisión","Evaluar exceso","Sin acción inmediata"))))</x:f>
      </x:c>
    </x:row>
    <x:row r="22">
      <x:c r="A22" s="122" t="str">
        <x:f>IF('05 Inventario'!A22="","",IF(OR('05 Inventario'!N22="Sin stock",'05 Inventario'!N22="Crítico"),"Alta",IF('05 Inventario'!N22="Reordenar","Media",IF('05 Inventario'!N22="Sobre stock","Revisión","Baja"))))</x:f>
      </x:c>
      <x:c r="B22" s="122" t="str">
        <x:f>'05 Inventario'!A22</x:f>
      </x:c>
      <x:c r="C22" s="122" t="str">
        <x:f>'05 Inventario'!B22</x:f>
      </x:c>
      <x:c r="D22" s="122" t="str">
        <x:f>'05 Inventario'!N22</x:f>
      </x:c>
      <x:c r="E22" s="124" t="str">
        <x:f>'05 Inventario'!H22</x:f>
      </x:c>
      <x:c r="F22" s="124" t="str">
        <x:f>'05 Inventario'!I22</x:f>
      </x:c>
      <x:c r="G22" s="124" t="str">
        <x:f>'05 Inventario'!J22</x:f>
      </x:c>
      <x:c r="H22" s="124" t="str">
        <x:f>IF(B22="","",MAX(0,G22-E22))</x:f>
      </x:c>
      <x:c r="I22" s="126" t="str">
        <x:f>IF(B22="","",H22*INDEX('05 Inventario'!$L$5:$L$79,MATCH(B22,'05 Inventario'!$A$5:$A$79,0)))</x:f>
      </x:c>
      <x:c r="J22" s="122" t="str">
        <x:f>IF(B22="","",IF(A22="Alta","Comprar ahora",IF(A22="Media","Cotizar y programar",IF(A22="Revisión","Evaluar exceso","Sin acción inmediata"))))</x:f>
      </x:c>
    </x:row>
    <x:row r="23">
      <x:c r="A23" s="122" t="str">
        <x:f>IF('05 Inventario'!A23="","",IF(OR('05 Inventario'!N23="Sin stock",'05 Inventario'!N23="Crítico"),"Alta",IF('05 Inventario'!N23="Reordenar","Media",IF('05 Inventario'!N23="Sobre stock","Revisión","Baja"))))</x:f>
      </x:c>
      <x:c r="B23" s="122" t="str">
        <x:f>'05 Inventario'!A23</x:f>
      </x:c>
      <x:c r="C23" s="122" t="str">
        <x:f>'05 Inventario'!B23</x:f>
      </x:c>
      <x:c r="D23" s="122" t="str">
        <x:f>'05 Inventario'!N23</x:f>
      </x:c>
      <x:c r="E23" s="124" t="str">
        <x:f>'05 Inventario'!H23</x:f>
      </x:c>
      <x:c r="F23" s="124" t="str">
        <x:f>'05 Inventario'!I23</x:f>
      </x:c>
      <x:c r="G23" s="124" t="str">
        <x:f>'05 Inventario'!J23</x:f>
      </x:c>
      <x:c r="H23" s="124" t="str">
        <x:f>IF(B23="","",MAX(0,G23-E23))</x:f>
      </x:c>
      <x:c r="I23" s="126" t="str">
        <x:f>IF(B23="","",H23*INDEX('05 Inventario'!$L$5:$L$79,MATCH(B23,'05 Inventario'!$A$5:$A$79,0)))</x:f>
      </x:c>
      <x:c r="J23" s="122" t="str">
        <x:f>IF(B23="","",IF(A23="Alta","Comprar ahora",IF(A23="Media","Cotizar y programar",IF(A23="Revisión","Evaluar exceso","Sin acción inmediata"))))</x:f>
      </x:c>
    </x:row>
    <x:row r="24">
      <x:c r="A24" s="122" t="str">
        <x:f>IF('05 Inventario'!A24="","",IF(OR('05 Inventario'!N24="Sin stock",'05 Inventario'!N24="Crítico"),"Alta",IF('05 Inventario'!N24="Reordenar","Media",IF('05 Inventario'!N24="Sobre stock","Revisión","Baja"))))</x:f>
      </x:c>
      <x:c r="B24" s="122" t="str">
        <x:f>'05 Inventario'!A24</x:f>
      </x:c>
      <x:c r="C24" s="122" t="str">
        <x:f>'05 Inventario'!B24</x:f>
      </x:c>
      <x:c r="D24" s="122" t="str">
        <x:f>'05 Inventario'!N24</x:f>
      </x:c>
      <x:c r="E24" s="124" t="str">
        <x:f>'05 Inventario'!H24</x:f>
      </x:c>
      <x:c r="F24" s="124" t="str">
        <x:f>'05 Inventario'!I24</x:f>
      </x:c>
      <x:c r="G24" s="124" t="str">
        <x:f>'05 Inventario'!J24</x:f>
      </x:c>
      <x:c r="H24" s="124" t="str">
        <x:f>IF(B24="","",MAX(0,G24-E24))</x:f>
      </x:c>
      <x:c r="I24" s="126" t="str">
        <x:f>IF(B24="","",H24*INDEX('05 Inventario'!$L$5:$L$79,MATCH(B24,'05 Inventario'!$A$5:$A$79,0)))</x:f>
      </x:c>
      <x:c r="J24" s="122" t="str">
        <x:f>IF(B24="","",IF(A24="Alta","Comprar ahora",IF(A24="Media","Cotizar y programar",IF(A24="Revisión","Evaluar exceso","Sin acción inmediata"))))</x:f>
      </x:c>
    </x:row>
    <x:row r="25">
      <x:c r="A25" s="122" t="str">
        <x:f>IF('05 Inventario'!A25="","",IF(OR('05 Inventario'!N25="Sin stock",'05 Inventario'!N25="Crítico"),"Alta",IF('05 Inventario'!N25="Reordenar","Media",IF('05 Inventario'!N25="Sobre stock","Revisión","Baja"))))</x:f>
      </x:c>
      <x:c r="B25" s="122" t="str">
        <x:f>'05 Inventario'!A25</x:f>
      </x:c>
      <x:c r="C25" s="122" t="str">
        <x:f>'05 Inventario'!B25</x:f>
      </x:c>
      <x:c r="D25" s="122" t="str">
        <x:f>'05 Inventario'!N25</x:f>
      </x:c>
      <x:c r="E25" s="124" t="str">
        <x:f>'05 Inventario'!H25</x:f>
      </x:c>
      <x:c r="F25" s="124" t="str">
        <x:f>'05 Inventario'!I25</x:f>
      </x:c>
      <x:c r="G25" s="124" t="str">
        <x:f>'05 Inventario'!J25</x:f>
      </x:c>
      <x:c r="H25" s="124" t="str">
        <x:f>IF(B25="","",MAX(0,G25-E25))</x:f>
      </x:c>
      <x:c r="I25" s="126" t="str">
        <x:f>IF(B25="","",H25*INDEX('05 Inventario'!$L$5:$L$79,MATCH(B25,'05 Inventario'!$A$5:$A$79,0)))</x:f>
      </x:c>
      <x:c r="J25" s="122" t="str">
        <x:f>IF(B25="","",IF(A25="Alta","Comprar ahora",IF(A25="Media","Cotizar y programar",IF(A25="Revisión","Evaluar exceso","Sin acción inmediata"))))</x:f>
      </x:c>
    </x:row>
    <x:row r="26">
      <x:c r="A26" s="122" t="str">
        <x:f>IF('05 Inventario'!A26="","",IF(OR('05 Inventario'!N26="Sin stock",'05 Inventario'!N26="Crítico"),"Alta",IF('05 Inventario'!N26="Reordenar","Media",IF('05 Inventario'!N26="Sobre stock","Revisión","Baja"))))</x:f>
      </x:c>
      <x:c r="B26" s="122" t="str">
        <x:f>'05 Inventario'!A26</x:f>
      </x:c>
      <x:c r="C26" s="122" t="str">
        <x:f>'05 Inventario'!B26</x:f>
      </x:c>
      <x:c r="D26" s="122" t="str">
        <x:f>'05 Inventario'!N26</x:f>
      </x:c>
      <x:c r="E26" s="124" t="str">
        <x:f>'05 Inventario'!H26</x:f>
      </x:c>
      <x:c r="F26" s="124" t="str">
        <x:f>'05 Inventario'!I26</x:f>
      </x:c>
      <x:c r="G26" s="124" t="str">
        <x:f>'05 Inventario'!J26</x:f>
      </x:c>
      <x:c r="H26" s="124" t="str">
        <x:f>IF(B26="","",MAX(0,G26-E26))</x:f>
      </x:c>
      <x:c r="I26" s="126" t="str">
        <x:f>IF(B26="","",H26*INDEX('05 Inventario'!$L$5:$L$79,MATCH(B26,'05 Inventario'!$A$5:$A$79,0)))</x:f>
      </x:c>
      <x:c r="J26" s="122" t="str">
        <x:f>IF(B26="","",IF(A26="Alta","Comprar ahora",IF(A26="Media","Cotizar y programar",IF(A26="Revisión","Evaluar exceso","Sin acción inmediata"))))</x:f>
      </x:c>
    </x:row>
    <x:row r="27">
      <x:c r="A27" s="122" t="str">
        <x:f>IF('05 Inventario'!A27="","",IF(OR('05 Inventario'!N27="Sin stock",'05 Inventario'!N27="Crítico"),"Alta",IF('05 Inventario'!N27="Reordenar","Media",IF('05 Inventario'!N27="Sobre stock","Revisión","Baja"))))</x:f>
      </x:c>
      <x:c r="B27" s="122" t="str">
        <x:f>'05 Inventario'!A27</x:f>
      </x:c>
      <x:c r="C27" s="122" t="str">
        <x:f>'05 Inventario'!B27</x:f>
      </x:c>
      <x:c r="D27" s="122" t="str">
        <x:f>'05 Inventario'!N27</x:f>
      </x:c>
      <x:c r="E27" s="124" t="str">
        <x:f>'05 Inventario'!H27</x:f>
      </x:c>
      <x:c r="F27" s="124" t="str">
        <x:f>'05 Inventario'!I27</x:f>
      </x:c>
      <x:c r="G27" s="124" t="str">
        <x:f>'05 Inventario'!J27</x:f>
      </x:c>
      <x:c r="H27" s="124" t="str">
        <x:f>IF(B27="","",MAX(0,G27-E27))</x:f>
      </x:c>
      <x:c r="I27" s="126" t="str">
        <x:f>IF(B27="","",H27*INDEX('05 Inventario'!$L$5:$L$79,MATCH(B27,'05 Inventario'!$A$5:$A$79,0)))</x:f>
      </x:c>
      <x:c r="J27" s="122" t="str">
        <x:f>IF(B27="","",IF(A27="Alta","Comprar ahora",IF(A27="Media","Cotizar y programar",IF(A27="Revisión","Evaluar exceso","Sin acción inmediata"))))</x:f>
      </x:c>
    </x:row>
    <x:row r="28">
      <x:c r="A28" s="122" t="str">
        <x:f>IF('05 Inventario'!A28="","",IF(OR('05 Inventario'!N28="Sin stock",'05 Inventario'!N28="Crítico"),"Alta",IF('05 Inventario'!N28="Reordenar","Media",IF('05 Inventario'!N28="Sobre stock","Revisión","Baja"))))</x:f>
      </x:c>
      <x:c r="B28" s="122" t="str">
        <x:f>'05 Inventario'!A28</x:f>
      </x:c>
      <x:c r="C28" s="122" t="str">
        <x:f>'05 Inventario'!B28</x:f>
      </x:c>
      <x:c r="D28" s="122" t="str">
        <x:f>'05 Inventario'!N28</x:f>
      </x:c>
      <x:c r="E28" s="124" t="str">
        <x:f>'05 Inventario'!H28</x:f>
      </x:c>
      <x:c r="F28" s="124" t="str">
        <x:f>'05 Inventario'!I28</x:f>
      </x:c>
      <x:c r="G28" s="124" t="str">
        <x:f>'05 Inventario'!J28</x:f>
      </x:c>
      <x:c r="H28" s="124" t="str">
        <x:f>IF(B28="","",MAX(0,G28-E28))</x:f>
      </x:c>
      <x:c r="I28" s="126" t="str">
        <x:f>IF(B28="","",H28*INDEX('05 Inventario'!$L$5:$L$79,MATCH(B28,'05 Inventario'!$A$5:$A$79,0)))</x:f>
      </x:c>
      <x:c r="J28" s="122" t="str">
        <x:f>IF(B28="","",IF(A28="Alta","Comprar ahora",IF(A28="Media","Cotizar y programar",IF(A28="Revisión","Evaluar exceso","Sin acción inmediata"))))</x:f>
      </x:c>
    </x:row>
    <x:row r="29">
      <x:c r="A29" s="122" t="str">
        <x:f>IF('05 Inventario'!A29="","",IF(OR('05 Inventario'!N29="Sin stock",'05 Inventario'!N29="Crítico"),"Alta",IF('05 Inventario'!N29="Reordenar","Media",IF('05 Inventario'!N29="Sobre stock","Revisión","Baja"))))</x:f>
      </x:c>
      <x:c r="B29" s="122" t="str">
        <x:f>'05 Inventario'!A29</x:f>
      </x:c>
      <x:c r="C29" s="122" t="str">
        <x:f>'05 Inventario'!B29</x:f>
      </x:c>
      <x:c r="D29" s="122" t="str">
        <x:f>'05 Inventario'!N29</x:f>
      </x:c>
      <x:c r="E29" s="124" t="str">
        <x:f>'05 Inventario'!H29</x:f>
      </x:c>
      <x:c r="F29" s="124" t="str">
        <x:f>'05 Inventario'!I29</x:f>
      </x:c>
      <x:c r="G29" s="124" t="str">
        <x:f>'05 Inventario'!J29</x:f>
      </x:c>
      <x:c r="H29" s="124" t="str">
        <x:f>IF(B29="","",MAX(0,G29-E29))</x:f>
      </x:c>
      <x:c r="I29" s="126" t="str">
        <x:f>IF(B29="","",H29*INDEX('05 Inventario'!$L$5:$L$79,MATCH(B29,'05 Inventario'!$A$5:$A$79,0)))</x:f>
      </x:c>
      <x:c r="J29" s="122" t="str">
        <x:f>IF(B29="","",IF(A29="Alta","Comprar ahora",IF(A29="Media","Cotizar y programar",IF(A29="Revisión","Evaluar exceso","Sin acción inmediata"))))</x:f>
      </x:c>
    </x:row>
    <x:row r="30">
      <x:c r="A30" s="122" t="str">
        <x:f>IF('05 Inventario'!A30="","",IF(OR('05 Inventario'!N30="Sin stock",'05 Inventario'!N30="Crítico"),"Alta",IF('05 Inventario'!N30="Reordenar","Media",IF('05 Inventario'!N30="Sobre stock","Revisión","Baja"))))</x:f>
      </x:c>
      <x:c r="B30" s="122" t="str">
        <x:f>'05 Inventario'!A30</x:f>
      </x:c>
      <x:c r="C30" s="122" t="str">
        <x:f>'05 Inventario'!B30</x:f>
      </x:c>
      <x:c r="D30" s="122" t="str">
        <x:f>'05 Inventario'!N30</x:f>
      </x:c>
      <x:c r="E30" s="124" t="str">
        <x:f>'05 Inventario'!H30</x:f>
      </x:c>
      <x:c r="F30" s="124" t="str">
        <x:f>'05 Inventario'!I30</x:f>
      </x:c>
      <x:c r="G30" s="124" t="str">
        <x:f>'05 Inventario'!J30</x:f>
      </x:c>
      <x:c r="H30" s="124" t="str">
        <x:f>IF(B30="","",MAX(0,G30-E30))</x:f>
      </x:c>
      <x:c r="I30" s="126" t="str">
        <x:f>IF(B30="","",H30*INDEX('05 Inventario'!$L$5:$L$79,MATCH(B30,'05 Inventario'!$A$5:$A$79,0)))</x:f>
      </x:c>
      <x:c r="J30" s="122" t="str">
        <x:f>IF(B30="","",IF(A30="Alta","Comprar ahora",IF(A30="Media","Cotizar y programar",IF(A30="Revisión","Evaluar exceso","Sin acción inmediata"))))</x:f>
      </x:c>
    </x:row>
    <x:row r="31">
      <x:c r="A31" s="122" t="str">
        <x:f>IF('05 Inventario'!A31="","",IF(OR('05 Inventario'!N31="Sin stock",'05 Inventario'!N31="Crítico"),"Alta",IF('05 Inventario'!N31="Reordenar","Media",IF('05 Inventario'!N31="Sobre stock","Revisión","Baja"))))</x:f>
      </x:c>
      <x:c r="B31" s="122" t="str">
        <x:f>'05 Inventario'!A31</x:f>
      </x:c>
      <x:c r="C31" s="122" t="str">
        <x:f>'05 Inventario'!B31</x:f>
      </x:c>
      <x:c r="D31" s="122" t="str">
        <x:f>'05 Inventario'!N31</x:f>
      </x:c>
      <x:c r="E31" s="124" t="str">
        <x:f>'05 Inventario'!H31</x:f>
      </x:c>
      <x:c r="F31" s="124" t="str">
        <x:f>'05 Inventario'!I31</x:f>
      </x:c>
      <x:c r="G31" s="124" t="str">
        <x:f>'05 Inventario'!J31</x:f>
      </x:c>
      <x:c r="H31" s="124" t="str">
        <x:f>IF(B31="","",MAX(0,G31-E31))</x:f>
      </x:c>
      <x:c r="I31" s="126" t="str">
        <x:f>IF(B31="","",H31*INDEX('05 Inventario'!$L$5:$L$79,MATCH(B31,'05 Inventario'!$A$5:$A$79,0)))</x:f>
      </x:c>
      <x:c r="J31" s="122" t="str">
        <x:f>IF(B31="","",IF(A31="Alta","Comprar ahora",IF(A31="Media","Cotizar y programar",IF(A31="Revisión","Evaluar exceso","Sin acción inmediata"))))</x:f>
      </x:c>
    </x:row>
    <x:row r="32">
      <x:c r="A32" s="122" t="str">
        <x:f>IF('05 Inventario'!A32="","",IF(OR('05 Inventario'!N32="Sin stock",'05 Inventario'!N32="Crítico"),"Alta",IF('05 Inventario'!N32="Reordenar","Media",IF('05 Inventario'!N32="Sobre stock","Revisión","Baja"))))</x:f>
      </x:c>
      <x:c r="B32" s="122" t="str">
        <x:f>'05 Inventario'!A32</x:f>
      </x:c>
      <x:c r="C32" s="122" t="str">
        <x:f>'05 Inventario'!B32</x:f>
      </x:c>
      <x:c r="D32" s="122" t="str">
        <x:f>'05 Inventario'!N32</x:f>
      </x:c>
      <x:c r="E32" s="124" t="str">
        <x:f>'05 Inventario'!H32</x:f>
      </x:c>
      <x:c r="F32" s="124" t="str">
        <x:f>'05 Inventario'!I32</x:f>
      </x:c>
      <x:c r="G32" s="124" t="str">
        <x:f>'05 Inventario'!J32</x:f>
      </x:c>
      <x:c r="H32" s="124" t="str">
        <x:f>IF(B32="","",MAX(0,G32-E32))</x:f>
      </x:c>
      <x:c r="I32" s="126" t="str">
        <x:f>IF(B32="","",H32*INDEX('05 Inventario'!$L$5:$L$79,MATCH(B32,'05 Inventario'!$A$5:$A$79,0)))</x:f>
      </x:c>
      <x:c r="J32" s="122" t="str">
        <x:f>IF(B32="","",IF(A32="Alta","Comprar ahora",IF(A32="Media","Cotizar y programar",IF(A32="Revisión","Evaluar exceso","Sin acción inmediata"))))</x:f>
      </x:c>
    </x:row>
    <x:row r="33">
      <x:c r="A33" s="122" t="str">
        <x:f>IF('05 Inventario'!A33="","",IF(OR('05 Inventario'!N33="Sin stock",'05 Inventario'!N33="Crítico"),"Alta",IF('05 Inventario'!N33="Reordenar","Media",IF('05 Inventario'!N33="Sobre stock","Revisión","Baja"))))</x:f>
      </x:c>
      <x:c r="B33" s="122" t="str">
        <x:f>'05 Inventario'!A33</x:f>
      </x:c>
      <x:c r="C33" s="122" t="str">
        <x:f>'05 Inventario'!B33</x:f>
      </x:c>
      <x:c r="D33" s="122" t="str">
        <x:f>'05 Inventario'!N33</x:f>
      </x:c>
      <x:c r="E33" s="124" t="str">
        <x:f>'05 Inventario'!H33</x:f>
      </x:c>
      <x:c r="F33" s="124" t="str">
        <x:f>'05 Inventario'!I33</x:f>
      </x:c>
      <x:c r="G33" s="124" t="str">
        <x:f>'05 Inventario'!J33</x:f>
      </x:c>
      <x:c r="H33" s="124" t="str">
        <x:f>IF(B33="","",MAX(0,G33-E33))</x:f>
      </x:c>
      <x:c r="I33" s="126" t="str">
        <x:f>IF(B33="","",H33*INDEX('05 Inventario'!$L$5:$L$79,MATCH(B33,'05 Inventario'!$A$5:$A$79,0)))</x:f>
      </x:c>
      <x:c r="J33" s="122" t="str">
        <x:f>IF(B33="","",IF(A33="Alta","Comprar ahora",IF(A33="Media","Cotizar y programar",IF(A33="Revisión","Evaluar exceso","Sin acción inmediata"))))</x:f>
      </x:c>
    </x:row>
    <x:row r="34">
      <x:c r="A34" s="122" t="str">
        <x:f>IF('05 Inventario'!A34="","",IF(OR('05 Inventario'!N34="Sin stock",'05 Inventario'!N34="Crítico"),"Alta",IF('05 Inventario'!N34="Reordenar","Media",IF('05 Inventario'!N34="Sobre stock","Revisión","Baja"))))</x:f>
      </x:c>
      <x:c r="B34" s="122" t="str">
        <x:f>'05 Inventario'!A34</x:f>
      </x:c>
      <x:c r="C34" s="122" t="str">
        <x:f>'05 Inventario'!B34</x:f>
      </x:c>
      <x:c r="D34" s="122" t="str">
        <x:f>'05 Inventario'!N34</x:f>
      </x:c>
      <x:c r="E34" s="124" t="str">
        <x:f>'05 Inventario'!H34</x:f>
      </x:c>
      <x:c r="F34" s="124" t="str">
        <x:f>'05 Inventario'!I34</x:f>
      </x:c>
      <x:c r="G34" s="124" t="str">
        <x:f>'05 Inventario'!J34</x:f>
      </x:c>
      <x:c r="H34" s="124" t="str">
        <x:f>IF(B34="","",MAX(0,G34-E34))</x:f>
      </x:c>
      <x:c r="I34" s="126" t="str">
        <x:f>IF(B34="","",H34*INDEX('05 Inventario'!$L$5:$L$79,MATCH(B34,'05 Inventario'!$A$5:$A$79,0)))</x:f>
      </x:c>
      <x:c r="J34" s="122" t="str">
        <x:f>IF(B34="","",IF(A34="Alta","Comprar ahora",IF(A34="Media","Cotizar y programar",IF(A34="Revisión","Evaluar exceso","Sin acción inmediata"))))</x:f>
      </x:c>
    </x:row>
    <x:row r="35">
      <x:c r="A35" s="122" t="str">
        <x:f>IF('05 Inventario'!A35="","",IF(OR('05 Inventario'!N35="Sin stock",'05 Inventario'!N35="Crítico"),"Alta",IF('05 Inventario'!N35="Reordenar","Media",IF('05 Inventario'!N35="Sobre stock","Revisión","Baja"))))</x:f>
      </x:c>
      <x:c r="B35" s="122" t="str">
        <x:f>'05 Inventario'!A35</x:f>
      </x:c>
      <x:c r="C35" s="122" t="str">
        <x:f>'05 Inventario'!B35</x:f>
      </x:c>
      <x:c r="D35" s="122" t="str">
        <x:f>'05 Inventario'!N35</x:f>
      </x:c>
      <x:c r="E35" s="124" t="str">
        <x:f>'05 Inventario'!H35</x:f>
      </x:c>
      <x:c r="F35" s="124" t="str">
        <x:f>'05 Inventario'!I35</x:f>
      </x:c>
      <x:c r="G35" s="124" t="str">
        <x:f>'05 Inventario'!J35</x:f>
      </x:c>
      <x:c r="H35" s="124" t="str">
        <x:f>IF(B35="","",MAX(0,G35-E35))</x:f>
      </x:c>
      <x:c r="I35" s="126" t="str">
        <x:f>IF(B35="","",H35*INDEX('05 Inventario'!$L$5:$L$79,MATCH(B35,'05 Inventario'!$A$5:$A$79,0)))</x:f>
      </x:c>
      <x:c r="J35" s="122" t="str">
        <x:f>IF(B35="","",IF(A35="Alta","Comprar ahora",IF(A35="Media","Cotizar y programar",IF(A35="Revisión","Evaluar exceso","Sin acción inmediata"))))</x:f>
      </x:c>
    </x:row>
    <x:row r="36">
      <x:c r="A36" s="122" t="str">
        <x:f>IF('05 Inventario'!A36="","",IF(OR('05 Inventario'!N36="Sin stock",'05 Inventario'!N36="Crítico"),"Alta",IF('05 Inventario'!N36="Reordenar","Media",IF('05 Inventario'!N36="Sobre stock","Revisión","Baja"))))</x:f>
      </x:c>
      <x:c r="B36" s="122" t="str">
        <x:f>'05 Inventario'!A36</x:f>
      </x:c>
      <x:c r="C36" s="122" t="str">
        <x:f>'05 Inventario'!B36</x:f>
      </x:c>
      <x:c r="D36" s="122" t="str">
        <x:f>'05 Inventario'!N36</x:f>
      </x:c>
      <x:c r="E36" s="124" t="str">
        <x:f>'05 Inventario'!H36</x:f>
      </x:c>
      <x:c r="F36" s="124" t="str">
        <x:f>'05 Inventario'!I36</x:f>
      </x:c>
      <x:c r="G36" s="124" t="str">
        <x:f>'05 Inventario'!J36</x:f>
      </x:c>
      <x:c r="H36" s="124" t="str">
        <x:f>IF(B36="","",MAX(0,G36-E36))</x:f>
      </x:c>
      <x:c r="I36" s="126" t="str">
        <x:f>IF(B36="","",H36*INDEX('05 Inventario'!$L$5:$L$79,MATCH(B36,'05 Inventario'!$A$5:$A$79,0)))</x:f>
      </x:c>
      <x:c r="J36" s="122" t="str">
        <x:f>IF(B36="","",IF(A36="Alta","Comprar ahora",IF(A36="Media","Cotizar y programar",IF(A36="Revisión","Evaluar exceso","Sin acción inmediata"))))</x:f>
      </x:c>
    </x:row>
    <x:row r="37">
      <x:c r="A37" s="122" t="str">
        <x:f>IF('05 Inventario'!A37="","",IF(OR('05 Inventario'!N37="Sin stock",'05 Inventario'!N37="Crítico"),"Alta",IF('05 Inventario'!N37="Reordenar","Media",IF('05 Inventario'!N37="Sobre stock","Revisión","Baja"))))</x:f>
      </x:c>
      <x:c r="B37" s="122" t="str">
        <x:f>'05 Inventario'!A37</x:f>
      </x:c>
      <x:c r="C37" s="122" t="str">
        <x:f>'05 Inventario'!B37</x:f>
      </x:c>
      <x:c r="D37" s="122" t="str">
        <x:f>'05 Inventario'!N37</x:f>
      </x:c>
      <x:c r="E37" s="124" t="str">
        <x:f>'05 Inventario'!H37</x:f>
      </x:c>
      <x:c r="F37" s="124" t="str">
        <x:f>'05 Inventario'!I37</x:f>
      </x:c>
      <x:c r="G37" s="124" t="str">
        <x:f>'05 Inventario'!J37</x:f>
      </x:c>
      <x:c r="H37" s="124" t="str">
        <x:f>IF(B37="","",MAX(0,G37-E37))</x:f>
      </x:c>
      <x:c r="I37" s="126" t="str">
        <x:f>IF(B37="","",H37*INDEX('05 Inventario'!$L$5:$L$79,MATCH(B37,'05 Inventario'!$A$5:$A$79,0)))</x:f>
      </x:c>
      <x:c r="J37" s="122" t="str">
        <x:f>IF(B37="","",IF(A37="Alta","Comprar ahora",IF(A37="Media","Cotizar y programar",IF(A37="Revisión","Evaluar exceso","Sin acción inmediata"))))</x:f>
      </x:c>
    </x:row>
    <x:row r="38">
      <x:c r="A38" s="122" t="str">
        <x:f>IF('05 Inventario'!A38="","",IF(OR('05 Inventario'!N38="Sin stock",'05 Inventario'!N38="Crítico"),"Alta",IF('05 Inventario'!N38="Reordenar","Media",IF('05 Inventario'!N38="Sobre stock","Revisión","Baja"))))</x:f>
      </x:c>
      <x:c r="B38" s="122" t="str">
        <x:f>'05 Inventario'!A38</x:f>
      </x:c>
      <x:c r="C38" s="122" t="str">
        <x:f>'05 Inventario'!B38</x:f>
      </x:c>
      <x:c r="D38" s="122" t="str">
        <x:f>'05 Inventario'!N38</x:f>
      </x:c>
      <x:c r="E38" s="124" t="str">
        <x:f>'05 Inventario'!H38</x:f>
      </x:c>
      <x:c r="F38" s="124" t="str">
        <x:f>'05 Inventario'!I38</x:f>
      </x:c>
      <x:c r="G38" s="124" t="str">
        <x:f>'05 Inventario'!J38</x:f>
      </x:c>
      <x:c r="H38" s="124" t="str">
        <x:f>IF(B38="","",MAX(0,G38-E38))</x:f>
      </x:c>
      <x:c r="I38" s="126" t="str">
        <x:f>IF(B38="","",H38*INDEX('05 Inventario'!$L$5:$L$79,MATCH(B38,'05 Inventario'!$A$5:$A$79,0)))</x:f>
      </x:c>
      <x:c r="J38" s="122" t="str">
        <x:f>IF(B38="","",IF(A38="Alta","Comprar ahora",IF(A38="Media","Cotizar y programar",IF(A38="Revisión","Evaluar exceso","Sin acción inmediata"))))</x:f>
      </x:c>
    </x:row>
    <x:row r="39">
      <x:c r="A39" s="122" t="str">
        <x:f>IF('05 Inventario'!A39="","",IF(OR('05 Inventario'!N39="Sin stock",'05 Inventario'!N39="Crítico"),"Alta",IF('05 Inventario'!N39="Reordenar","Media",IF('05 Inventario'!N39="Sobre stock","Revisión","Baja"))))</x:f>
      </x:c>
      <x:c r="B39" s="122" t="str">
        <x:f>'05 Inventario'!A39</x:f>
      </x:c>
      <x:c r="C39" s="122" t="str">
        <x:f>'05 Inventario'!B39</x:f>
      </x:c>
      <x:c r="D39" s="122" t="str">
        <x:f>'05 Inventario'!N39</x:f>
      </x:c>
      <x:c r="E39" s="124" t="str">
        <x:f>'05 Inventario'!H39</x:f>
      </x:c>
      <x:c r="F39" s="124" t="str">
        <x:f>'05 Inventario'!I39</x:f>
      </x:c>
      <x:c r="G39" s="124" t="str">
        <x:f>'05 Inventario'!J39</x:f>
      </x:c>
      <x:c r="H39" s="124" t="str">
        <x:f>IF(B39="","",MAX(0,G39-E39))</x:f>
      </x:c>
      <x:c r="I39" s="126" t="str">
        <x:f>IF(B39="","",H39*INDEX('05 Inventario'!$L$5:$L$79,MATCH(B39,'05 Inventario'!$A$5:$A$79,0)))</x:f>
      </x:c>
      <x:c r="J39" s="122" t="str">
        <x:f>IF(B39="","",IF(A39="Alta","Comprar ahora",IF(A39="Media","Cotizar y programar",IF(A39="Revisión","Evaluar exceso","Sin acción inmediata"))))</x:f>
      </x:c>
    </x:row>
    <x:row r="40">
      <x:c r="A40" s="122" t="str">
        <x:f>IF('05 Inventario'!A40="","",IF(OR('05 Inventario'!N40="Sin stock",'05 Inventario'!N40="Crítico"),"Alta",IF('05 Inventario'!N40="Reordenar","Media",IF('05 Inventario'!N40="Sobre stock","Revisión","Baja"))))</x:f>
      </x:c>
      <x:c r="B40" s="122" t="str">
        <x:f>'05 Inventario'!A40</x:f>
      </x:c>
      <x:c r="C40" s="122" t="str">
        <x:f>'05 Inventario'!B40</x:f>
      </x:c>
      <x:c r="D40" s="122" t="str">
        <x:f>'05 Inventario'!N40</x:f>
      </x:c>
      <x:c r="E40" s="124" t="str">
        <x:f>'05 Inventario'!H40</x:f>
      </x:c>
      <x:c r="F40" s="124" t="str">
        <x:f>'05 Inventario'!I40</x:f>
      </x:c>
      <x:c r="G40" s="124" t="str">
        <x:f>'05 Inventario'!J40</x:f>
      </x:c>
      <x:c r="H40" s="124" t="str">
        <x:f>IF(B40="","",MAX(0,G40-E40))</x:f>
      </x:c>
      <x:c r="I40" s="126" t="str">
        <x:f>IF(B40="","",H40*INDEX('05 Inventario'!$L$5:$L$79,MATCH(B40,'05 Inventario'!$A$5:$A$79,0)))</x:f>
      </x:c>
      <x:c r="J40" s="122" t="str">
        <x:f>IF(B40="","",IF(A40="Alta","Comprar ahora",IF(A40="Media","Cotizar y programar",IF(A40="Revisión","Evaluar exceso","Sin acción inmediata"))))</x:f>
      </x:c>
    </x:row>
    <x:row r="41">
      <x:c r="A41" s="122" t="str">
        <x:f>IF('05 Inventario'!A41="","",IF(OR('05 Inventario'!N41="Sin stock",'05 Inventario'!N41="Crítico"),"Alta",IF('05 Inventario'!N41="Reordenar","Media",IF('05 Inventario'!N41="Sobre stock","Revisión","Baja"))))</x:f>
      </x:c>
      <x:c r="B41" s="122" t="str">
        <x:f>'05 Inventario'!A41</x:f>
      </x:c>
      <x:c r="C41" s="122" t="str">
        <x:f>'05 Inventario'!B41</x:f>
      </x:c>
      <x:c r="D41" s="122" t="str">
        <x:f>'05 Inventario'!N41</x:f>
      </x:c>
      <x:c r="E41" s="124" t="str">
        <x:f>'05 Inventario'!H41</x:f>
      </x:c>
      <x:c r="F41" s="124" t="str">
        <x:f>'05 Inventario'!I41</x:f>
      </x:c>
      <x:c r="G41" s="124" t="str">
        <x:f>'05 Inventario'!J41</x:f>
      </x:c>
      <x:c r="H41" s="124" t="str">
        <x:f>IF(B41="","",MAX(0,G41-E41))</x:f>
      </x:c>
      <x:c r="I41" s="126" t="str">
        <x:f>IF(B41="","",H41*INDEX('05 Inventario'!$L$5:$L$79,MATCH(B41,'05 Inventario'!$A$5:$A$79,0)))</x:f>
      </x:c>
      <x:c r="J41" s="122" t="str">
        <x:f>IF(B41="","",IF(A41="Alta","Comprar ahora",IF(A41="Media","Cotizar y programar",IF(A41="Revisión","Evaluar exceso","Sin acción inmediata"))))</x:f>
      </x:c>
    </x:row>
    <x:row r="42">
      <x:c r="A42" s="122" t="str">
        <x:f>IF('05 Inventario'!A42="","",IF(OR('05 Inventario'!N42="Sin stock",'05 Inventario'!N42="Crítico"),"Alta",IF('05 Inventario'!N42="Reordenar","Media",IF('05 Inventario'!N42="Sobre stock","Revisión","Baja"))))</x:f>
      </x:c>
      <x:c r="B42" s="122" t="str">
        <x:f>'05 Inventario'!A42</x:f>
      </x:c>
      <x:c r="C42" s="122" t="str">
        <x:f>'05 Inventario'!B42</x:f>
      </x:c>
      <x:c r="D42" s="122" t="str">
        <x:f>'05 Inventario'!N42</x:f>
      </x:c>
      <x:c r="E42" s="124" t="str">
        <x:f>'05 Inventario'!H42</x:f>
      </x:c>
      <x:c r="F42" s="124" t="str">
        <x:f>'05 Inventario'!I42</x:f>
      </x:c>
      <x:c r="G42" s="124" t="str">
        <x:f>'05 Inventario'!J42</x:f>
      </x:c>
      <x:c r="H42" s="124" t="str">
        <x:f>IF(B42="","",MAX(0,G42-E42))</x:f>
      </x:c>
      <x:c r="I42" s="126" t="str">
        <x:f>IF(B42="","",H42*INDEX('05 Inventario'!$L$5:$L$79,MATCH(B42,'05 Inventario'!$A$5:$A$79,0)))</x:f>
      </x:c>
      <x:c r="J42" s="122" t="str">
        <x:f>IF(B42="","",IF(A42="Alta","Comprar ahora",IF(A42="Media","Cotizar y programar",IF(A42="Revisión","Evaluar exceso","Sin acción inmediata"))))</x:f>
      </x:c>
    </x:row>
    <x:row r="43">
      <x:c r="A43" s="122" t="str">
        <x:f>IF('05 Inventario'!A43="","",IF(OR('05 Inventario'!N43="Sin stock",'05 Inventario'!N43="Crítico"),"Alta",IF('05 Inventario'!N43="Reordenar","Media",IF('05 Inventario'!N43="Sobre stock","Revisión","Baja"))))</x:f>
      </x:c>
      <x:c r="B43" s="122" t="str">
        <x:f>'05 Inventario'!A43</x:f>
      </x:c>
      <x:c r="C43" s="122" t="str">
        <x:f>'05 Inventario'!B43</x:f>
      </x:c>
      <x:c r="D43" s="122" t="str">
        <x:f>'05 Inventario'!N43</x:f>
      </x:c>
      <x:c r="E43" s="124" t="str">
        <x:f>'05 Inventario'!H43</x:f>
      </x:c>
      <x:c r="F43" s="124" t="str">
        <x:f>'05 Inventario'!I43</x:f>
      </x:c>
      <x:c r="G43" s="124" t="str">
        <x:f>'05 Inventario'!J43</x:f>
      </x:c>
      <x:c r="H43" s="124" t="str">
        <x:f>IF(B43="","",MAX(0,G43-E43))</x:f>
      </x:c>
      <x:c r="I43" s="126" t="str">
        <x:f>IF(B43="","",H43*INDEX('05 Inventario'!$L$5:$L$79,MATCH(B43,'05 Inventario'!$A$5:$A$79,0)))</x:f>
      </x:c>
      <x:c r="J43" s="122" t="str">
        <x:f>IF(B43="","",IF(A43="Alta","Comprar ahora",IF(A43="Media","Cotizar y programar",IF(A43="Revisión","Evaluar exceso","Sin acción inmediata"))))</x:f>
      </x:c>
    </x:row>
    <x:row r="44">
      <x:c r="A44" s="122" t="str">
        <x:f>IF('05 Inventario'!A44="","",IF(OR('05 Inventario'!N44="Sin stock",'05 Inventario'!N44="Crítico"),"Alta",IF('05 Inventario'!N44="Reordenar","Media",IF('05 Inventario'!N44="Sobre stock","Revisión","Baja"))))</x:f>
      </x:c>
      <x:c r="B44" s="122" t="str">
        <x:f>'05 Inventario'!A44</x:f>
      </x:c>
      <x:c r="C44" s="122" t="str">
        <x:f>'05 Inventario'!B44</x:f>
      </x:c>
      <x:c r="D44" s="122" t="str">
        <x:f>'05 Inventario'!N44</x:f>
      </x:c>
      <x:c r="E44" s="124" t="str">
        <x:f>'05 Inventario'!H44</x:f>
      </x:c>
      <x:c r="F44" s="124" t="str">
        <x:f>'05 Inventario'!I44</x:f>
      </x:c>
      <x:c r="G44" s="124" t="str">
        <x:f>'05 Inventario'!J44</x:f>
      </x:c>
      <x:c r="H44" s="124" t="str">
        <x:f>IF(B44="","",MAX(0,G44-E44))</x:f>
      </x:c>
      <x:c r="I44" s="126" t="str">
        <x:f>IF(B44="","",H44*INDEX('05 Inventario'!$L$5:$L$79,MATCH(B44,'05 Inventario'!$A$5:$A$79,0)))</x:f>
      </x:c>
      <x:c r="J44" s="122" t="str">
        <x:f>IF(B44="","",IF(A44="Alta","Comprar ahora",IF(A44="Media","Cotizar y programar",IF(A44="Revisión","Evaluar exceso","Sin acción inmediata"))))</x:f>
      </x:c>
    </x:row>
    <x:row r="45">
      <x:c r="A45" s="122" t="str">
        <x:f>IF('05 Inventario'!A45="","",IF(OR('05 Inventario'!N45="Sin stock",'05 Inventario'!N45="Crítico"),"Alta",IF('05 Inventario'!N45="Reordenar","Media",IF('05 Inventario'!N45="Sobre stock","Revisión","Baja"))))</x:f>
      </x:c>
      <x:c r="B45" s="122" t="str">
        <x:f>'05 Inventario'!A45</x:f>
      </x:c>
      <x:c r="C45" s="122" t="str">
        <x:f>'05 Inventario'!B45</x:f>
      </x:c>
      <x:c r="D45" s="122" t="str">
        <x:f>'05 Inventario'!N45</x:f>
      </x:c>
      <x:c r="E45" s="124" t="str">
        <x:f>'05 Inventario'!H45</x:f>
      </x:c>
      <x:c r="F45" s="124" t="str">
        <x:f>'05 Inventario'!I45</x:f>
      </x:c>
      <x:c r="G45" s="124" t="str">
        <x:f>'05 Inventario'!J45</x:f>
      </x:c>
      <x:c r="H45" s="124" t="str">
        <x:f>IF(B45="","",MAX(0,G45-E45))</x:f>
      </x:c>
      <x:c r="I45" s="126" t="str">
        <x:f>IF(B45="","",H45*INDEX('05 Inventario'!$L$5:$L$79,MATCH(B45,'05 Inventario'!$A$5:$A$79,0)))</x:f>
      </x:c>
      <x:c r="J45" s="122" t="str">
        <x:f>IF(B45="","",IF(A45="Alta","Comprar ahora",IF(A45="Media","Cotizar y programar",IF(A45="Revisión","Evaluar exceso","Sin acción inmediata"))))</x:f>
      </x:c>
    </x:row>
    <x:row r="46">
      <x:c r="A46" s="122" t="str">
        <x:f>IF('05 Inventario'!A46="","",IF(OR('05 Inventario'!N46="Sin stock",'05 Inventario'!N46="Crítico"),"Alta",IF('05 Inventario'!N46="Reordenar","Media",IF('05 Inventario'!N46="Sobre stock","Revisión","Baja"))))</x:f>
      </x:c>
      <x:c r="B46" s="122" t="str">
        <x:f>'05 Inventario'!A46</x:f>
      </x:c>
      <x:c r="C46" s="122" t="str">
        <x:f>'05 Inventario'!B46</x:f>
      </x:c>
      <x:c r="D46" s="122" t="str">
        <x:f>'05 Inventario'!N46</x:f>
      </x:c>
      <x:c r="E46" s="124" t="str">
        <x:f>'05 Inventario'!H46</x:f>
      </x:c>
      <x:c r="F46" s="124" t="str">
        <x:f>'05 Inventario'!I46</x:f>
      </x:c>
      <x:c r="G46" s="124" t="str">
        <x:f>'05 Inventario'!J46</x:f>
      </x:c>
      <x:c r="H46" s="124" t="str">
        <x:f>IF(B46="","",MAX(0,G46-E46))</x:f>
      </x:c>
      <x:c r="I46" s="126" t="str">
        <x:f>IF(B46="","",H46*INDEX('05 Inventario'!$L$5:$L$79,MATCH(B46,'05 Inventario'!$A$5:$A$79,0)))</x:f>
      </x:c>
      <x:c r="J46" s="122" t="str">
        <x:f>IF(B46="","",IF(A46="Alta","Comprar ahora",IF(A46="Media","Cotizar y programar",IF(A46="Revisión","Evaluar exceso","Sin acción inmediata"))))</x:f>
      </x:c>
    </x:row>
    <x:row r="47">
      <x:c r="A47" s="122" t="str">
        <x:f>IF('05 Inventario'!A47="","",IF(OR('05 Inventario'!N47="Sin stock",'05 Inventario'!N47="Crítico"),"Alta",IF('05 Inventario'!N47="Reordenar","Media",IF('05 Inventario'!N47="Sobre stock","Revisión","Baja"))))</x:f>
      </x:c>
      <x:c r="B47" s="122" t="str">
        <x:f>'05 Inventario'!A47</x:f>
      </x:c>
      <x:c r="C47" s="122" t="str">
        <x:f>'05 Inventario'!B47</x:f>
      </x:c>
      <x:c r="D47" s="122" t="str">
        <x:f>'05 Inventario'!N47</x:f>
      </x:c>
      <x:c r="E47" s="124" t="str">
        <x:f>'05 Inventario'!H47</x:f>
      </x:c>
      <x:c r="F47" s="124" t="str">
        <x:f>'05 Inventario'!I47</x:f>
      </x:c>
      <x:c r="G47" s="124" t="str">
        <x:f>'05 Inventario'!J47</x:f>
      </x:c>
      <x:c r="H47" s="124" t="str">
        <x:f>IF(B47="","",MAX(0,G47-E47))</x:f>
      </x:c>
      <x:c r="I47" s="126" t="str">
        <x:f>IF(B47="","",H47*INDEX('05 Inventario'!$L$5:$L$79,MATCH(B47,'05 Inventario'!$A$5:$A$79,0)))</x:f>
      </x:c>
      <x:c r="J47" s="122" t="str">
        <x:f>IF(B47="","",IF(A47="Alta","Comprar ahora",IF(A47="Media","Cotizar y programar",IF(A47="Revisión","Evaluar exceso","Sin acción inmediata"))))</x:f>
      </x:c>
    </x:row>
    <x:row r="48">
      <x:c r="A48" s="122" t="str">
        <x:f>IF('05 Inventario'!A48="","",IF(OR('05 Inventario'!N48="Sin stock",'05 Inventario'!N48="Crítico"),"Alta",IF('05 Inventario'!N48="Reordenar","Media",IF('05 Inventario'!N48="Sobre stock","Revisión","Baja"))))</x:f>
      </x:c>
      <x:c r="B48" s="122" t="str">
        <x:f>'05 Inventario'!A48</x:f>
      </x:c>
      <x:c r="C48" s="122" t="str">
        <x:f>'05 Inventario'!B48</x:f>
      </x:c>
      <x:c r="D48" s="122" t="str">
        <x:f>'05 Inventario'!N48</x:f>
      </x:c>
      <x:c r="E48" s="124" t="str">
        <x:f>'05 Inventario'!H48</x:f>
      </x:c>
      <x:c r="F48" s="124" t="str">
        <x:f>'05 Inventario'!I48</x:f>
      </x:c>
      <x:c r="G48" s="124" t="str">
        <x:f>'05 Inventario'!J48</x:f>
      </x:c>
      <x:c r="H48" s="124" t="str">
        <x:f>IF(B48="","",MAX(0,G48-E48))</x:f>
      </x:c>
      <x:c r="I48" s="126" t="str">
        <x:f>IF(B48="","",H48*INDEX('05 Inventario'!$L$5:$L$79,MATCH(B48,'05 Inventario'!$A$5:$A$79,0)))</x:f>
      </x:c>
      <x:c r="J48" s="122" t="str">
        <x:f>IF(B48="","",IF(A48="Alta","Comprar ahora",IF(A48="Media","Cotizar y programar",IF(A48="Revisión","Evaluar exceso","Sin acción inmediata"))))</x:f>
      </x:c>
    </x:row>
    <x:row r="49">
      <x:c r="A49" s="122" t="str">
        <x:f>IF('05 Inventario'!A49="","",IF(OR('05 Inventario'!N49="Sin stock",'05 Inventario'!N49="Crítico"),"Alta",IF('05 Inventario'!N49="Reordenar","Media",IF('05 Inventario'!N49="Sobre stock","Revisión","Baja"))))</x:f>
      </x:c>
      <x:c r="B49" s="122" t="str">
        <x:f>'05 Inventario'!A49</x:f>
      </x:c>
      <x:c r="C49" s="122" t="str">
        <x:f>'05 Inventario'!B49</x:f>
      </x:c>
      <x:c r="D49" s="122" t="str">
        <x:f>'05 Inventario'!N49</x:f>
      </x:c>
      <x:c r="E49" s="124" t="str">
        <x:f>'05 Inventario'!H49</x:f>
      </x:c>
      <x:c r="F49" s="124" t="str">
        <x:f>'05 Inventario'!I49</x:f>
      </x:c>
      <x:c r="G49" s="124" t="str">
        <x:f>'05 Inventario'!J49</x:f>
      </x:c>
      <x:c r="H49" s="124" t="str">
        <x:f>IF(B49="","",MAX(0,G49-E49))</x:f>
      </x:c>
      <x:c r="I49" s="126" t="str">
        <x:f>IF(B49="","",H49*INDEX('05 Inventario'!$L$5:$L$79,MATCH(B49,'05 Inventario'!$A$5:$A$79,0)))</x:f>
      </x:c>
      <x:c r="J49" s="122" t="str">
        <x:f>IF(B49="","",IF(A49="Alta","Comprar ahora",IF(A49="Media","Cotizar y programar",IF(A49="Revisión","Evaluar exceso","Sin acción inmediata"))))</x:f>
      </x:c>
    </x:row>
    <x:row r="50">
      <x:c r="A50" s="122" t="str">
        <x:f>IF('05 Inventario'!A50="","",IF(OR('05 Inventario'!N50="Sin stock",'05 Inventario'!N50="Crítico"),"Alta",IF('05 Inventario'!N50="Reordenar","Media",IF('05 Inventario'!N50="Sobre stock","Revisión","Baja"))))</x:f>
      </x:c>
      <x:c r="B50" s="122" t="str">
        <x:f>'05 Inventario'!A50</x:f>
      </x:c>
      <x:c r="C50" s="122" t="str">
        <x:f>'05 Inventario'!B50</x:f>
      </x:c>
      <x:c r="D50" s="122" t="str">
        <x:f>'05 Inventario'!N50</x:f>
      </x:c>
      <x:c r="E50" s="124" t="str">
        <x:f>'05 Inventario'!H50</x:f>
      </x:c>
      <x:c r="F50" s="124" t="str">
        <x:f>'05 Inventario'!I50</x:f>
      </x:c>
      <x:c r="G50" s="124" t="str">
        <x:f>'05 Inventario'!J50</x:f>
      </x:c>
      <x:c r="H50" s="124" t="str">
        <x:f>IF(B50="","",MAX(0,G50-E50))</x:f>
      </x:c>
      <x:c r="I50" s="126" t="str">
        <x:f>IF(B50="","",H50*INDEX('05 Inventario'!$L$5:$L$79,MATCH(B50,'05 Inventario'!$A$5:$A$79,0)))</x:f>
      </x:c>
      <x:c r="J50" s="122" t="str">
        <x:f>IF(B50="","",IF(A50="Alta","Comprar ahora",IF(A50="Media","Cotizar y programar",IF(A50="Revisión","Evaluar exceso","Sin acción inmediata"))))</x:f>
      </x:c>
    </x:row>
    <x:row r="51">
      <x:c r="A51" s="122" t="str">
        <x:f>IF('05 Inventario'!A51="","",IF(OR('05 Inventario'!N51="Sin stock",'05 Inventario'!N51="Crítico"),"Alta",IF('05 Inventario'!N51="Reordenar","Media",IF('05 Inventario'!N51="Sobre stock","Revisión","Baja"))))</x:f>
      </x:c>
      <x:c r="B51" s="122" t="str">
        <x:f>'05 Inventario'!A51</x:f>
      </x:c>
      <x:c r="C51" s="122" t="str">
        <x:f>'05 Inventario'!B51</x:f>
      </x:c>
      <x:c r="D51" s="122" t="str">
        <x:f>'05 Inventario'!N51</x:f>
      </x:c>
      <x:c r="E51" s="124" t="str">
        <x:f>'05 Inventario'!H51</x:f>
      </x:c>
      <x:c r="F51" s="124" t="str">
        <x:f>'05 Inventario'!I51</x:f>
      </x:c>
      <x:c r="G51" s="124" t="str">
        <x:f>'05 Inventario'!J51</x:f>
      </x:c>
      <x:c r="H51" s="124" t="str">
        <x:f>IF(B51="","",MAX(0,G51-E51))</x:f>
      </x:c>
      <x:c r="I51" s="126" t="str">
        <x:f>IF(B51="","",H51*INDEX('05 Inventario'!$L$5:$L$79,MATCH(B51,'05 Inventario'!$A$5:$A$79,0)))</x:f>
      </x:c>
      <x:c r="J51" s="122" t="str">
        <x:f>IF(B51="","",IF(A51="Alta","Comprar ahora",IF(A51="Media","Cotizar y programar",IF(A51="Revisión","Evaluar exceso","Sin acción inmediata"))))</x:f>
      </x:c>
    </x:row>
    <x:row r="52">
      <x:c r="A52" s="122" t="str">
        <x:f>IF('05 Inventario'!A52="","",IF(OR('05 Inventario'!N52="Sin stock",'05 Inventario'!N52="Crítico"),"Alta",IF('05 Inventario'!N52="Reordenar","Media",IF('05 Inventario'!N52="Sobre stock","Revisión","Baja"))))</x:f>
      </x:c>
      <x:c r="B52" s="122" t="str">
        <x:f>'05 Inventario'!A52</x:f>
      </x:c>
      <x:c r="C52" s="122" t="str">
        <x:f>'05 Inventario'!B52</x:f>
      </x:c>
      <x:c r="D52" s="122" t="str">
        <x:f>'05 Inventario'!N52</x:f>
      </x:c>
      <x:c r="E52" s="124" t="str">
        <x:f>'05 Inventario'!H52</x:f>
      </x:c>
      <x:c r="F52" s="124" t="str">
        <x:f>'05 Inventario'!I52</x:f>
      </x:c>
      <x:c r="G52" s="124" t="str">
        <x:f>'05 Inventario'!J52</x:f>
      </x:c>
      <x:c r="H52" s="124" t="str">
        <x:f>IF(B52="","",MAX(0,G52-E52))</x:f>
      </x:c>
      <x:c r="I52" s="126" t="str">
        <x:f>IF(B52="","",H52*INDEX('05 Inventario'!$L$5:$L$79,MATCH(B52,'05 Inventario'!$A$5:$A$79,0)))</x:f>
      </x:c>
      <x:c r="J52" s="122" t="str">
        <x:f>IF(B52="","",IF(A52="Alta","Comprar ahora",IF(A52="Media","Cotizar y programar",IF(A52="Revisión","Evaluar exceso","Sin acción inmediata"))))</x:f>
      </x:c>
    </x:row>
    <x:row r="53">
      <x:c r="A53" s="122" t="str">
        <x:f>IF('05 Inventario'!A53="","",IF(OR('05 Inventario'!N53="Sin stock",'05 Inventario'!N53="Crítico"),"Alta",IF('05 Inventario'!N53="Reordenar","Media",IF('05 Inventario'!N53="Sobre stock","Revisión","Baja"))))</x:f>
      </x:c>
      <x:c r="B53" s="122" t="str">
        <x:f>'05 Inventario'!A53</x:f>
      </x:c>
      <x:c r="C53" s="122" t="str">
        <x:f>'05 Inventario'!B53</x:f>
      </x:c>
      <x:c r="D53" s="122" t="str">
        <x:f>'05 Inventario'!N53</x:f>
      </x:c>
      <x:c r="E53" s="124" t="str">
        <x:f>'05 Inventario'!H53</x:f>
      </x:c>
      <x:c r="F53" s="124" t="str">
        <x:f>'05 Inventario'!I53</x:f>
      </x:c>
      <x:c r="G53" s="124" t="str">
        <x:f>'05 Inventario'!J53</x:f>
      </x:c>
      <x:c r="H53" s="124" t="str">
        <x:f>IF(B53="","",MAX(0,G53-E53))</x:f>
      </x:c>
      <x:c r="I53" s="126" t="str">
        <x:f>IF(B53="","",H53*INDEX('05 Inventario'!$L$5:$L$79,MATCH(B53,'05 Inventario'!$A$5:$A$79,0)))</x:f>
      </x:c>
      <x:c r="J53" s="122" t="str">
        <x:f>IF(B53="","",IF(A53="Alta","Comprar ahora",IF(A53="Media","Cotizar y programar",IF(A53="Revisión","Evaluar exceso","Sin acción inmediata"))))</x:f>
      </x:c>
    </x:row>
    <x:row r="54">
      <x:c r="A54" s="122" t="str">
        <x:f>IF('05 Inventario'!A54="","",IF(OR('05 Inventario'!N54="Sin stock",'05 Inventario'!N54="Crítico"),"Alta",IF('05 Inventario'!N54="Reordenar","Media",IF('05 Inventario'!N54="Sobre stock","Revisión","Baja"))))</x:f>
      </x:c>
      <x:c r="B54" s="122" t="str">
        <x:f>'05 Inventario'!A54</x:f>
      </x:c>
      <x:c r="C54" s="122" t="str">
        <x:f>'05 Inventario'!B54</x:f>
      </x:c>
      <x:c r="D54" s="122" t="str">
        <x:f>'05 Inventario'!N54</x:f>
      </x:c>
      <x:c r="E54" s="124" t="str">
        <x:f>'05 Inventario'!H54</x:f>
      </x:c>
      <x:c r="F54" s="124" t="str">
        <x:f>'05 Inventario'!I54</x:f>
      </x:c>
      <x:c r="G54" s="124" t="str">
        <x:f>'05 Inventario'!J54</x:f>
      </x:c>
      <x:c r="H54" s="124" t="str">
        <x:f>IF(B54="","",MAX(0,G54-E54))</x:f>
      </x:c>
      <x:c r="I54" s="126" t="str">
        <x:f>IF(B54="","",H54*INDEX('05 Inventario'!$L$5:$L$79,MATCH(B54,'05 Inventario'!$A$5:$A$79,0)))</x:f>
      </x:c>
      <x:c r="J54" s="122" t="str">
        <x:f>IF(B54="","",IF(A54="Alta","Comprar ahora",IF(A54="Media","Cotizar y programar",IF(A54="Revisión","Evaluar exceso","Sin acción inmediata"))))</x:f>
      </x:c>
    </x:row>
    <x:row r="55">
      <x:c r="A55" s="122" t="str">
        <x:f>IF('05 Inventario'!A55="","",IF(OR('05 Inventario'!N55="Sin stock",'05 Inventario'!N55="Crítico"),"Alta",IF('05 Inventario'!N55="Reordenar","Media",IF('05 Inventario'!N55="Sobre stock","Revisión","Baja"))))</x:f>
      </x:c>
      <x:c r="B55" s="122" t="str">
        <x:f>'05 Inventario'!A55</x:f>
      </x:c>
      <x:c r="C55" s="122" t="str">
        <x:f>'05 Inventario'!B55</x:f>
      </x:c>
      <x:c r="D55" s="122" t="str">
        <x:f>'05 Inventario'!N55</x:f>
      </x:c>
      <x:c r="E55" s="124" t="str">
        <x:f>'05 Inventario'!H55</x:f>
      </x:c>
      <x:c r="F55" s="124" t="str">
        <x:f>'05 Inventario'!I55</x:f>
      </x:c>
      <x:c r="G55" s="124" t="str">
        <x:f>'05 Inventario'!J55</x:f>
      </x:c>
      <x:c r="H55" s="124" t="str">
        <x:f>IF(B55="","",MAX(0,G55-E55))</x:f>
      </x:c>
      <x:c r="I55" s="126" t="str">
        <x:f>IF(B55="","",H55*INDEX('05 Inventario'!$L$5:$L$79,MATCH(B55,'05 Inventario'!$A$5:$A$79,0)))</x:f>
      </x:c>
      <x:c r="J55" s="122" t="str">
        <x:f>IF(B55="","",IF(A55="Alta","Comprar ahora",IF(A55="Media","Cotizar y programar",IF(A55="Revisión","Evaluar exceso","Sin acción inmediata"))))</x:f>
      </x:c>
    </x:row>
    <x:row r="56">
      <x:c r="A56" s="122" t="str">
        <x:f>IF('05 Inventario'!A56="","",IF(OR('05 Inventario'!N56="Sin stock",'05 Inventario'!N56="Crítico"),"Alta",IF('05 Inventario'!N56="Reordenar","Media",IF('05 Inventario'!N56="Sobre stock","Revisión","Baja"))))</x:f>
      </x:c>
      <x:c r="B56" s="122" t="str">
        <x:f>'05 Inventario'!A56</x:f>
      </x:c>
      <x:c r="C56" s="122" t="str">
        <x:f>'05 Inventario'!B56</x:f>
      </x:c>
      <x:c r="D56" s="122" t="str">
        <x:f>'05 Inventario'!N56</x:f>
      </x:c>
      <x:c r="E56" s="124" t="str">
        <x:f>'05 Inventario'!H56</x:f>
      </x:c>
      <x:c r="F56" s="124" t="str">
        <x:f>'05 Inventario'!I56</x:f>
      </x:c>
      <x:c r="G56" s="124" t="str">
        <x:f>'05 Inventario'!J56</x:f>
      </x:c>
      <x:c r="H56" s="124" t="str">
        <x:f>IF(B56="","",MAX(0,G56-E56))</x:f>
      </x:c>
      <x:c r="I56" s="126" t="str">
        <x:f>IF(B56="","",H56*INDEX('05 Inventario'!$L$5:$L$79,MATCH(B56,'05 Inventario'!$A$5:$A$79,0)))</x:f>
      </x:c>
      <x:c r="J56" s="122" t="str">
        <x:f>IF(B56="","",IF(A56="Alta","Comprar ahora",IF(A56="Media","Cotizar y programar",IF(A56="Revisión","Evaluar exceso","Sin acción inmediata"))))</x:f>
      </x:c>
    </x:row>
    <x:row r="57">
      <x:c r="A57" s="122" t="str">
        <x:f>IF('05 Inventario'!A57="","",IF(OR('05 Inventario'!N57="Sin stock",'05 Inventario'!N57="Crítico"),"Alta",IF('05 Inventario'!N57="Reordenar","Media",IF('05 Inventario'!N57="Sobre stock","Revisión","Baja"))))</x:f>
      </x:c>
      <x:c r="B57" s="122" t="str">
        <x:f>'05 Inventario'!A57</x:f>
      </x:c>
      <x:c r="C57" s="122" t="str">
        <x:f>'05 Inventario'!B57</x:f>
      </x:c>
      <x:c r="D57" s="122" t="str">
        <x:f>'05 Inventario'!N57</x:f>
      </x:c>
      <x:c r="E57" s="124" t="str">
        <x:f>'05 Inventario'!H57</x:f>
      </x:c>
      <x:c r="F57" s="124" t="str">
        <x:f>'05 Inventario'!I57</x:f>
      </x:c>
      <x:c r="G57" s="124" t="str">
        <x:f>'05 Inventario'!J57</x:f>
      </x:c>
      <x:c r="H57" s="124" t="str">
        <x:f>IF(B57="","",MAX(0,G57-E57))</x:f>
      </x:c>
      <x:c r="I57" s="126" t="str">
        <x:f>IF(B57="","",H57*INDEX('05 Inventario'!$L$5:$L$79,MATCH(B57,'05 Inventario'!$A$5:$A$79,0)))</x:f>
      </x:c>
      <x:c r="J57" s="122" t="str">
        <x:f>IF(B57="","",IF(A57="Alta","Comprar ahora",IF(A57="Media","Cotizar y programar",IF(A57="Revisión","Evaluar exceso","Sin acción inmediata"))))</x:f>
      </x:c>
    </x:row>
    <x:row r="58">
      <x:c r="A58" s="122" t="str">
        <x:f>IF('05 Inventario'!A58="","",IF(OR('05 Inventario'!N58="Sin stock",'05 Inventario'!N58="Crítico"),"Alta",IF('05 Inventario'!N58="Reordenar","Media",IF('05 Inventario'!N58="Sobre stock","Revisión","Baja"))))</x:f>
      </x:c>
      <x:c r="B58" s="122" t="str">
        <x:f>'05 Inventario'!A58</x:f>
      </x:c>
      <x:c r="C58" s="122" t="str">
        <x:f>'05 Inventario'!B58</x:f>
      </x:c>
      <x:c r="D58" s="122" t="str">
        <x:f>'05 Inventario'!N58</x:f>
      </x:c>
      <x:c r="E58" s="124" t="str">
        <x:f>'05 Inventario'!H58</x:f>
      </x:c>
      <x:c r="F58" s="124" t="str">
        <x:f>'05 Inventario'!I58</x:f>
      </x:c>
      <x:c r="G58" s="124" t="str">
        <x:f>'05 Inventario'!J58</x:f>
      </x:c>
      <x:c r="H58" s="124" t="str">
        <x:f>IF(B58="","",MAX(0,G58-E58))</x:f>
      </x:c>
      <x:c r="I58" s="126" t="str">
        <x:f>IF(B58="","",H58*INDEX('05 Inventario'!$L$5:$L$79,MATCH(B58,'05 Inventario'!$A$5:$A$79,0)))</x:f>
      </x:c>
      <x:c r="J58" s="122" t="str">
        <x:f>IF(B58="","",IF(A58="Alta","Comprar ahora",IF(A58="Media","Cotizar y programar",IF(A58="Revisión","Evaluar exceso","Sin acción inmediata"))))</x:f>
      </x:c>
    </x:row>
    <x:row r="59">
      <x:c r="A59" s="122" t="str">
        <x:f>IF('05 Inventario'!A59="","",IF(OR('05 Inventario'!N59="Sin stock",'05 Inventario'!N59="Crítico"),"Alta",IF('05 Inventario'!N59="Reordenar","Media",IF('05 Inventario'!N59="Sobre stock","Revisión","Baja"))))</x:f>
      </x:c>
      <x:c r="B59" s="122" t="str">
        <x:f>'05 Inventario'!A59</x:f>
      </x:c>
      <x:c r="C59" s="122" t="str">
        <x:f>'05 Inventario'!B59</x:f>
      </x:c>
      <x:c r="D59" s="122" t="str">
        <x:f>'05 Inventario'!N59</x:f>
      </x:c>
      <x:c r="E59" s="124" t="str">
        <x:f>'05 Inventario'!H59</x:f>
      </x:c>
      <x:c r="F59" s="124" t="str">
        <x:f>'05 Inventario'!I59</x:f>
      </x:c>
      <x:c r="G59" s="124" t="str">
        <x:f>'05 Inventario'!J59</x:f>
      </x:c>
      <x:c r="H59" s="124" t="str">
        <x:f>IF(B59="","",MAX(0,G59-E59))</x:f>
      </x:c>
      <x:c r="I59" s="126" t="str">
        <x:f>IF(B59="","",H59*INDEX('05 Inventario'!$L$5:$L$79,MATCH(B59,'05 Inventario'!$A$5:$A$79,0)))</x:f>
      </x:c>
      <x:c r="J59" s="122" t="str">
        <x:f>IF(B59="","",IF(A59="Alta","Comprar ahora",IF(A59="Media","Cotizar y programar",IF(A59="Revisión","Evaluar exceso","Sin acción inmediata"))))</x:f>
      </x:c>
    </x:row>
    <x:row r="60">
      <x:c r="A60" s="122" t="str">
        <x:f>IF('05 Inventario'!A60="","",IF(OR('05 Inventario'!N60="Sin stock",'05 Inventario'!N60="Crítico"),"Alta",IF('05 Inventario'!N60="Reordenar","Media",IF('05 Inventario'!N60="Sobre stock","Revisión","Baja"))))</x:f>
      </x:c>
      <x:c r="B60" s="122" t="str">
        <x:f>'05 Inventario'!A60</x:f>
      </x:c>
      <x:c r="C60" s="122" t="str">
        <x:f>'05 Inventario'!B60</x:f>
      </x:c>
      <x:c r="D60" s="122" t="str">
        <x:f>'05 Inventario'!N60</x:f>
      </x:c>
      <x:c r="E60" s="124" t="str">
        <x:f>'05 Inventario'!H60</x:f>
      </x:c>
      <x:c r="F60" s="124" t="str">
        <x:f>'05 Inventario'!I60</x:f>
      </x:c>
      <x:c r="G60" s="124" t="str">
        <x:f>'05 Inventario'!J60</x:f>
      </x:c>
      <x:c r="H60" s="124" t="str">
        <x:f>IF(B60="","",MAX(0,G60-E60))</x:f>
      </x:c>
      <x:c r="I60" s="126" t="str">
        <x:f>IF(B60="","",H60*INDEX('05 Inventario'!$L$5:$L$79,MATCH(B60,'05 Inventario'!$A$5:$A$79,0)))</x:f>
      </x:c>
      <x:c r="J60" s="122" t="str">
        <x:f>IF(B60="","",IF(A60="Alta","Comprar ahora",IF(A60="Media","Cotizar y programar",IF(A60="Revisión","Evaluar exceso","Sin acción inmediata"))))</x:f>
      </x:c>
    </x:row>
    <x:row r="61">
      <x:c r="A61" s="122" t="str">
        <x:f>IF('05 Inventario'!A61="","",IF(OR('05 Inventario'!N61="Sin stock",'05 Inventario'!N61="Crítico"),"Alta",IF('05 Inventario'!N61="Reordenar","Media",IF('05 Inventario'!N61="Sobre stock","Revisión","Baja"))))</x:f>
      </x:c>
      <x:c r="B61" s="122" t="str">
        <x:f>'05 Inventario'!A61</x:f>
      </x:c>
      <x:c r="C61" s="122" t="str">
        <x:f>'05 Inventario'!B61</x:f>
      </x:c>
      <x:c r="D61" s="122" t="str">
        <x:f>'05 Inventario'!N61</x:f>
      </x:c>
      <x:c r="E61" s="124" t="str">
        <x:f>'05 Inventario'!H61</x:f>
      </x:c>
      <x:c r="F61" s="124" t="str">
        <x:f>'05 Inventario'!I61</x:f>
      </x:c>
      <x:c r="G61" s="124" t="str">
        <x:f>'05 Inventario'!J61</x:f>
      </x:c>
      <x:c r="H61" s="124" t="str">
        <x:f>IF(B61="","",MAX(0,G61-E61))</x:f>
      </x:c>
      <x:c r="I61" s="126" t="str">
        <x:f>IF(B61="","",H61*INDEX('05 Inventario'!$L$5:$L$79,MATCH(B61,'05 Inventario'!$A$5:$A$79,0)))</x:f>
      </x:c>
      <x:c r="J61" s="122" t="str">
        <x:f>IF(B61="","",IF(A61="Alta","Comprar ahora",IF(A61="Media","Cotizar y programar",IF(A61="Revisión","Evaluar exceso","Sin acción inmediata"))))</x:f>
      </x:c>
    </x:row>
    <x:row r="62">
      <x:c r="A62" s="122" t="str">
        <x:f>IF('05 Inventario'!A62="","",IF(OR('05 Inventario'!N62="Sin stock",'05 Inventario'!N62="Crítico"),"Alta",IF('05 Inventario'!N62="Reordenar","Media",IF('05 Inventario'!N62="Sobre stock","Revisión","Baja"))))</x:f>
      </x:c>
      <x:c r="B62" s="122" t="str">
        <x:f>'05 Inventario'!A62</x:f>
      </x:c>
      <x:c r="C62" s="122" t="str">
        <x:f>'05 Inventario'!B62</x:f>
      </x:c>
      <x:c r="D62" s="122" t="str">
        <x:f>'05 Inventario'!N62</x:f>
      </x:c>
      <x:c r="E62" s="124" t="str">
        <x:f>'05 Inventario'!H62</x:f>
      </x:c>
      <x:c r="F62" s="124" t="str">
        <x:f>'05 Inventario'!I62</x:f>
      </x:c>
      <x:c r="G62" s="124" t="str">
        <x:f>'05 Inventario'!J62</x:f>
      </x:c>
      <x:c r="H62" s="124" t="str">
        <x:f>IF(B62="","",MAX(0,G62-E62))</x:f>
      </x:c>
      <x:c r="I62" s="126" t="str">
        <x:f>IF(B62="","",H62*INDEX('05 Inventario'!$L$5:$L$79,MATCH(B62,'05 Inventario'!$A$5:$A$79,0)))</x:f>
      </x:c>
      <x:c r="J62" s="122" t="str">
        <x:f>IF(B62="","",IF(A62="Alta","Comprar ahora",IF(A62="Media","Cotizar y programar",IF(A62="Revisión","Evaluar exceso","Sin acción inmediata"))))</x:f>
      </x:c>
    </x:row>
    <x:row r="63">
      <x:c r="A63" s="122" t="str">
        <x:f>IF('05 Inventario'!A63="","",IF(OR('05 Inventario'!N63="Sin stock",'05 Inventario'!N63="Crítico"),"Alta",IF('05 Inventario'!N63="Reordenar","Media",IF('05 Inventario'!N63="Sobre stock","Revisión","Baja"))))</x:f>
      </x:c>
      <x:c r="B63" s="122" t="str">
        <x:f>'05 Inventario'!A63</x:f>
      </x:c>
      <x:c r="C63" s="122" t="str">
        <x:f>'05 Inventario'!B63</x:f>
      </x:c>
      <x:c r="D63" s="122" t="str">
        <x:f>'05 Inventario'!N63</x:f>
      </x:c>
      <x:c r="E63" s="124" t="str">
        <x:f>'05 Inventario'!H63</x:f>
      </x:c>
      <x:c r="F63" s="124" t="str">
        <x:f>'05 Inventario'!I63</x:f>
      </x:c>
      <x:c r="G63" s="124" t="str">
        <x:f>'05 Inventario'!J63</x:f>
      </x:c>
      <x:c r="H63" s="124" t="str">
        <x:f>IF(B63="","",MAX(0,G63-E63))</x:f>
      </x:c>
      <x:c r="I63" s="126" t="str">
        <x:f>IF(B63="","",H63*INDEX('05 Inventario'!$L$5:$L$79,MATCH(B63,'05 Inventario'!$A$5:$A$79,0)))</x:f>
      </x:c>
      <x:c r="J63" s="122" t="str">
        <x:f>IF(B63="","",IF(A63="Alta","Comprar ahora",IF(A63="Media","Cotizar y programar",IF(A63="Revisión","Evaluar exceso","Sin acción inmediata"))))</x:f>
      </x:c>
    </x:row>
    <x:row r="64">
      <x:c r="A64" s="122" t="str">
        <x:f>IF('05 Inventario'!A64="","",IF(OR('05 Inventario'!N64="Sin stock",'05 Inventario'!N64="Crítico"),"Alta",IF('05 Inventario'!N64="Reordenar","Media",IF('05 Inventario'!N64="Sobre stock","Revisión","Baja"))))</x:f>
      </x:c>
      <x:c r="B64" s="122" t="str">
        <x:f>'05 Inventario'!A64</x:f>
      </x:c>
      <x:c r="C64" s="122" t="str">
        <x:f>'05 Inventario'!B64</x:f>
      </x:c>
      <x:c r="D64" s="122" t="str">
        <x:f>'05 Inventario'!N64</x:f>
      </x:c>
      <x:c r="E64" s="124" t="str">
        <x:f>'05 Inventario'!H64</x:f>
      </x:c>
      <x:c r="F64" s="124" t="str">
        <x:f>'05 Inventario'!I64</x:f>
      </x:c>
      <x:c r="G64" s="124" t="str">
        <x:f>'05 Inventario'!J64</x:f>
      </x:c>
      <x:c r="H64" s="124" t="str">
        <x:f>IF(B64="","",MAX(0,G64-E64))</x:f>
      </x:c>
      <x:c r="I64" s="126" t="str">
        <x:f>IF(B64="","",H64*INDEX('05 Inventario'!$L$5:$L$79,MATCH(B64,'05 Inventario'!$A$5:$A$79,0)))</x:f>
      </x:c>
      <x:c r="J64" s="122" t="str">
        <x:f>IF(B64="","",IF(A64="Alta","Comprar ahora",IF(A64="Media","Cotizar y programar",IF(A64="Revisión","Evaluar exceso","Sin acción inmediata"))))</x:f>
      </x:c>
    </x:row>
    <x:row r="65">
      <x:c r="A65" s="122" t="str">
        <x:f>IF('05 Inventario'!A65="","",IF(OR('05 Inventario'!N65="Sin stock",'05 Inventario'!N65="Crítico"),"Alta",IF('05 Inventario'!N65="Reordenar","Media",IF('05 Inventario'!N65="Sobre stock","Revisión","Baja"))))</x:f>
      </x:c>
      <x:c r="B65" s="122" t="str">
        <x:f>'05 Inventario'!A65</x:f>
      </x:c>
      <x:c r="C65" s="122" t="str">
        <x:f>'05 Inventario'!B65</x:f>
      </x:c>
      <x:c r="D65" s="122" t="str">
        <x:f>'05 Inventario'!N65</x:f>
      </x:c>
      <x:c r="E65" s="124" t="str">
        <x:f>'05 Inventario'!H65</x:f>
      </x:c>
      <x:c r="F65" s="124" t="str">
        <x:f>'05 Inventario'!I65</x:f>
      </x:c>
      <x:c r="G65" s="124" t="str">
        <x:f>'05 Inventario'!J65</x:f>
      </x:c>
      <x:c r="H65" s="124" t="str">
        <x:f>IF(B65="","",MAX(0,G65-E65))</x:f>
      </x:c>
      <x:c r="I65" s="126" t="str">
        <x:f>IF(B65="","",H65*INDEX('05 Inventario'!$L$5:$L$79,MATCH(B65,'05 Inventario'!$A$5:$A$79,0)))</x:f>
      </x:c>
      <x:c r="J65" s="122" t="str">
        <x:f>IF(B65="","",IF(A65="Alta","Comprar ahora",IF(A65="Media","Cotizar y programar",IF(A65="Revisión","Evaluar exceso","Sin acción inmediata"))))</x:f>
      </x:c>
    </x:row>
    <x:row r="66">
      <x:c r="A66" s="122" t="str">
        <x:f>IF('05 Inventario'!A66="","",IF(OR('05 Inventario'!N66="Sin stock",'05 Inventario'!N66="Crítico"),"Alta",IF('05 Inventario'!N66="Reordenar","Media",IF('05 Inventario'!N66="Sobre stock","Revisión","Baja"))))</x:f>
      </x:c>
      <x:c r="B66" s="122" t="str">
        <x:f>'05 Inventario'!A66</x:f>
      </x:c>
      <x:c r="C66" s="122" t="str">
        <x:f>'05 Inventario'!B66</x:f>
      </x:c>
      <x:c r="D66" s="122" t="str">
        <x:f>'05 Inventario'!N66</x:f>
      </x:c>
      <x:c r="E66" s="124" t="str">
        <x:f>'05 Inventario'!H66</x:f>
      </x:c>
      <x:c r="F66" s="124" t="str">
        <x:f>'05 Inventario'!I66</x:f>
      </x:c>
      <x:c r="G66" s="124" t="str">
        <x:f>'05 Inventario'!J66</x:f>
      </x:c>
      <x:c r="H66" s="124" t="str">
        <x:f>IF(B66="","",MAX(0,G66-E66))</x:f>
      </x:c>
      <x:c r="I66" s="126" t="str">
        <x:f>IF(B66="","",H66*INDEX('05 Inventario'!$L$5:$L$79,MATCH(B66,'05 Inventario'!$A$5:$A$79,0)))</x:f>
      </x:c>
      <x:c r="J66" s="122" t="str">
        <x:f>IF(B66="","",IF(A66="Alta","Comprar ahora",IF(A66="Media","Cotizar y programar",IF(A66="Revisión","Evaluar exceso","Sin acción inmediata"))))</x:f>
      </x:c>
    </x:row>
    <x:row r="67">
      <x:c r="A67" s="122" t="str">
        <x:f>IF('05 Inventario'!A67="","",IF(OR('05 Inventario'!N67="Sin stock",'05 Inventario'!N67="Crítico"),"Alta",IF('05 Inventario'!N67="Reordenar","Media",IF('05 Inventario'!N67="Sobre stock","Revisión","Baja"))))</x:f>
      </x:c>
      <x:c r="B67" s="122" t="str">
        <x:f>'05 Inventario'!A67</x:f>
      </x:c>
      <x:c r="C67" s="122" t="str">
        <x:f>'05 Inventario'!B67</x:f>
      </x:c>
      <x:c r="D67" s="122" t="str">
        <x:f>'05 Inventario'!N67</x:f>
      </x:c>
      <x:c r="E67" s="124" t="str">
        <x:f>'05 Inventario'!H67</x:f>
      </x:c>
      <x:c r="F67" s="124" t="str">
        <x:f>'05 Inventario'!I67</x:f>
      </x:c>
      <x:c r="G67" s="124" t="str">
        <x:f>'05 Inventario'!J67</x:f>
      </x:c>
      <x:c r="H67" s="124" t="str">
        <x:f>IF(B67="","",MAX(0,G67-E67))</x:f>
      </x:c>
      <x:c r="I67" s="126" t="str">
        <x:f>IF(B67="","",H67*INDEX('05 Inventario'!$L$5:$L$79,MATCH(B67,'05 Inventario'!$A$5:$A$79,0)))</x:f>
      </x:c>
      <x:c r="J67" s="122" t="str">
        <x:f>IF(B67="","",IF(A67="Alta","Comprar ahora",IF(A67="Media","Cotizar y programar",IF(A67="Revisión","Evaluar exceso","Sin acción inmediata"))))</x:f>
      </x:c>
    </x:row>
    <x:row r="68">
      <x:c r="A68" s="122" t="str">
        <x:f>IF('05 Inventario'!A68="","",IF(OR('05 Inventario'!N68="Sin stock",'05 Inventario'!N68="Crítico"),"Alta",IF('05 Inventario'!N68="Reordenar","Media",IF('05 Inventario'!N68="Sobre stock","Revisión","Baja"))))</x:f>
      </x:c>
      <x:c r="B68" s="122" t="str">
        <x:f>'05 Inventario'!A68</x:f>
      </x:c>
      <x:c r="C68" s="122" t="str">
        <x:f>'05 Inventario'!B68</x:f>
      </x:c>
      <x:c r="D68" s="122" t="str">
        <x:f>'05 Inventario'!N68</x:f>
      </x:c>
      <x:c r="E68" s="124" t="str">
        <x:f>'05 Inventario'!H68</x:f>
      </x:c>
      <x:c r="F68" s="124" t="str">
        <x:f>'05 Inventario'!I68</x:f>
      </x:c>
      <x:c r="G68" s="124" t="str">
        <x:f>'05 Inventario'!J68</x:f>
      </x:c>
      <x:c r="H68" s="124" t="str">
        <x:f>IF(B68="","",MAX(0,G68-E68))</x:f>
      </x:c>
      <x:c r="I68" s="126" t="str">
        <x:f>IF(B68="","",H68*INDEX('05 Inventario'!$L$5:$L$79,MATCH(B68,'05 Inventario'!$A$5:$A$79,0)))</x:f>
      </x:c>
      <x:c r="J68" s="122" t="str">
        <x:f>IF(B68="","",IF(A68="Alta","Comprar ahora",IF(A68="Media","Cotizar y programar",IF(A68="Revisión","Evaluar exceso","Sin acción inmediata"))))</x:f>
      </x:c>
    </x:row>
    <x:row r="69">
      <x:c r="A69" s="122" t="str">
        <x:f>IF('05 Inventario'!A69="","",IF(OR('05 Inventario'!N69="Sin stock",'05 Inventario'!N69="Crítico"),"Alta",IF('05 Inventario'!N69="Reordenar","Media",IF('05 Inventario'!N69="Sobre stock","Revisión","Baja"))))</x:f>
      </x:c>
      <x:c r="B69" s="122" t="str">
        <x:f>'05 Inventario'!A69</x:f>
      </x:c>
      <x:c r="C69" s="122" t="str">
        <x:f>'05 Inventario'!B69</x:f>
      </x:c>
      <x:c r="D69" s="122" t="str">
        <x:f>'05 Inventario'!N69</x:f>
      </x:c>
      <x:c r="E69" s="124" t="str">
        <x:f>'05 Inventario'!H69</x:f>
      </x:c>
      <x:c r="F69" s="124" t="str">
        <x:f>'05 Inventario'!I69</x:f>
      </x:c>
      <x:c r="G69" s="124" t="str">
        <x:f>'05 Inventario'!J69</x:f>
      </x:c>
      <x:c r="H69" s="124" t="str">
        <x:f>IF(B69="","",MAX(0,G69-E69))</x:f>
      </x:c>
      <x:c r="I69" s="126" t="str">
        <x:f>IF(B69="","",H69*INDEX('05 Inventario'!$L$5:$L$79,MATCH(B69,'05 Inventario'!$A$5:$A$79,0)))</x:f>
      </x:c>
      <x:c r="J69" s="122" t="str">
        <x:f>IF(B69="","",IF(A69="Alta","Comprar ahora",IF(A69="Media","Cotizar y programar",IF(A69="Revisión","Evaluar exceso","Sin acción inmediata"))))</x:f>
      </x:c>
    </x:row>
    <x:row r="70">
      <x:c r="A70" s="122" t="str">
        <x:f>IF('05 Inventario'!A70="","",IF(OR('05 Inventario'!N70="Sin stock",'05 Inventario'!N70="Crítico"),"Alta",IF('05 Inventario'!N70="Reordenar","Media",IF('05 Inventario'!N70="Sobre stock","Revisión","Baja"))))</x:f>
      </x:c>
      <x:c r="B70" s="122" t="str">
        <x:f>'05 Inventario'!A70</x:f>
      </x:c>
      <x:c r="C70" s="122" t="str">
        <x:f>'05 Inventario'!B70</x:f>
      </x:c>
      <x:c r="D70" s="122" t="str">
        <x:f>'05 Inventario'!N70</x:f>
      </x:c>
      <x:c r="E70" s="124" t="str">
        <x:f>'05 Inventario'!H70</x:f>
      </x:c>
      <x:c r="F70" s="124" t="str">
        <x:f>'05 Inventario'!I70</x:f>
      </x:c>
      <x:c r="G70" s="124" t="str">
        <x:f>'05 Inventario'!J70</x:f>
      </x:c>
      <x:c r="H70" s="124" t="str">
        <x:f>IF(B70="","",MAX(0,G70-E70))</x:f>
      </x:c>
      <x:c r="I70" s="126" t="str">
        <x:f>IF(B70="","",H70*INDEX('05 Inventario'!$L$5:$L$79,MATCH(B70,'05 Inventario'!$A$5:$A$79,0)))</x:f>
      </x:c>
      <x:c r="J70" s="122" t="str">
        <x:f>IF(B70="","",IF(A70="Alta","Comprar ahora",IF(A70="Media","Cotizar y programar",IF(A70="Revisión","Evaluar exceso","Sin acción inmediata"))))</x:f>
      </x:c>
    </x:row>
    <x:row r="71">
      <x:c r="A71" s="122" t="str">
        <x:f>IF('05 Inventario'!A71="","",IF(OR('05 Inventario'!N71="Sin stock",'05 Inventario'!N71="Crítico"),"Alta",IF('05 Inventario'!N71="Reordenar","Media",IF('05 Inventario'!N71="Sobre stock","Revisión","Baja"))))</x:f>
      </x:c>
      <x:c r="B71" s="122" t="str">
        <x:f>'05 Inventario'!A71</x:f>
      </x:c>
      <x:c r="C71" s="122" t="str">
        <x:f>'05 Inventario'!B71</x:f>
      </x:c>
      <x:c r="D71" s="122" t="str">
        <x:f>'05 Inventario'!N71</x:f>
      </x:c>
      <x:c r="E71" s="124" t="str">
        <x:f>'05 Inventario'!H71</x:f>
      </x:c>
      <x:c r="F71" s="124" t="str">
        <x:f>'05 Inventario'!I71</x:f>
      </x:c>
      <x:c r="G71" s="124" t="str">
        <x:f>'05 Inventario'!J71</x:f>
      </x:c>
      <x:c r="H71" s="124" t="str">
        <x:f>IF(B71="","",MAX(0,G71-E71))</x:f>
      </x:c>
      <x:c r="I71" s="126" t="str">
        <x:f>IF(B71="","",H71*INDEX('05 Inventario'!$L$5:$L$79,MATCH(B71,'05 Inventario'!$A$5:$A$79,0)))</x:f>
      </x:c>
      <x:c r="J71" s="122" t="str">
        <x:f>IF(B71="","",IF(A71="Alta","Comprar ahora",IF(A71="Media","Cotizar y programar",IF(A71="Revisión","Evaluar exceso","Sin acción inmediata"))))</x:f>
      </x:c>
    </x:row>
    <x:row r="72">
      <x:c r="A72" s="122" t="str">
        <x:f>IF('05 Inventario'!A72="","",IF(OR('05 Inventario'!N72="Sin stock",'05 Inventario'!N72="Crítico"),"Alta",IF('05 Inventario'!N72="Reordenar","Media",IF('05 Inventario'!N72="Sobre stock","Revisión","Baja"))))</x:f>
      </x:c>
      <x:c r="B72" s="122" t="str">
        <x:f>'05 Inventario'!A72</x:f>
      </x:c>
      <x:c r="C72" s="122" t="str">
        <x:f>'05 Inventario'!B72</x:f>
      </x:c>
      <x:c r="D72" s="122" t="str">
        <x:f>'05 Inventario'!N72</x:f>
      </x:c>
      <x:c r="E72" s="124" t="str">
        <x:f>'05 Inventario'!H72</x:f>
      </x:c>
      <x:c r="F72" s="124" t="str">
        <x:f>'05 Inventario'!I72</x:f>
      </x:c>
      <x:c r="G72" s="124" t="str">
        <x:f>'05 Inventario'!J72</x:f>
      </x:c>
      <x:c r="H72" s="124" t="str">
        <x:f>IF(B72="","",MAX(0,G72-E72))</x:f>
      </x:c>
      <x:c r="I72" s="126" t="str">
        <x:f>IF(B72="","",H72*INDEX('05 Inventario'!$L$5:$L$79,MATCH(B72,'05 Inventario'!$A$5:$A$79,0)))</x:f>
      </x:c>
      <x:c r="J72" s="122" t="str">
        <x:f>IF(B72="","",IF(A72="Alta","Comprar ahora",IF(A72="Media","Cotizar y programar",IF(A72="Revisión","Evaluar exceso","Sin acción inmediata"))))</x:f>
      </x:c>
    </x:row>
    <x:row r="73">
      <x:c r="A73" s="122" t="str">
        <x:f>IF('05 Inventario'!A73="","",IF(OR('05 Inventario'!N73="Sin stock",'05 Inventario'!N73="Crítico"),"Alta",IF('05 Inventario'!N73="Reordenar","Media",IF('05 Inventario'!N73="Sobre stock","Revisión","Baja"))))</x:f>
      </x:c>
      <x:c r="B73" s="122" t="str">
        <x:f>'05 Inventario'!A73</x:f>
      </x:c>
      <x:c r="C73" s="122" t="str">
        <x:f>'05 Inventario'!B73</x:f>
      </x:c>
      <x:c r="D73" s="122" t="str">
        <x:f>'05 Inventario'!N73</x:f>
      </x:c>
      <x:c r="E73" s="124" t="str">
        <x:f>'05 Inventario'!H73</x:f>
      </x:c>
      <x:c r="F73" s="124" t="str">
        <x:f>'05 Inventario'!I73</x:f>
      </x:c>
      <x:c r="G73" s="124" t="str">
        <x:f>'05 Inventario'!J73</x:f>
      </x:c>
      <x:c r="H73" s="124" t="str">
        <x:f>IF(B73="","",MAX(0,G73-E73))</x:f>
      </x:c>
      <x:c r="I73" s="126" t="str">
        <x:f>IF(B73="","",H73*INDEX('05 Inventario'!$L$5:$L$79,MATCH(B73,'05 Inventario'!$A$5:$A$79,0)))</x:f>
      </x:c>
      <x:c r="J73" s="122" t="str">
        <x:f>IF(B73="","",IF(A73="Alta","Comprar ahora",IF(A73="Media","Cotizar y programar",IF(A73="Revisión","Evaluar exceso","Sin acción inmediata"))))</x:f>
      </x:c>
    </x:row>
    <x:row r="74">
      <x:c r="A74" s="122" t="str">
        <x:f>IF('05 Inventario'!A74="","",IF(OR('05 Inventario'!N74="Sin stock",'05 Inventario'!N74="Crítico"),"Alta",IF('05 Inventario'!N74="Reordenar","Media",IF('05 Inventario'!N74="Sobre stock","Revisión","Baja"))))</x:f>
      </x:c>
      <x:c r="B74" s="122" t="str">
        <x:f>'05 Inventario'!A74</x:f>
      </x:c>
      <x:c r="C74" s="122" t="str">
        <x:f>'05 Inventario'!B74</x:f>
      </x:c>
      <x:c r="D74" s="122" t="str">
        <x:f>'05 Inventario'!N74</x:f>
      </x:c>
      <x:c r="E74" s="124" t="str">
        <x:f>'05 Inventario'!H74</x:f>
      </x:c>
      <x:c r="F74" s="124" t="str">
        <x:f>'05 Inventario'!I74</x:f>
      </x:c>
      <x:c r="G74" s="124" t="str">
        <x:f>'05 Inventario'!J74</x:f>
      </x:c>
      <x:c r="H74" s="124" t="str">
        <x:f>IF(B74="","",MAX(0,G74-E74))</x:f>
      </x:c>
      <x:c r="I74" s="126" t="str">
        <x:f>IF(B74="","",H74*INDEX('05 Inventario'!$L$5:$L$79,MATCH(B74,'05 Inventario'!$A$5:$A$79,0)))</x:f>
      </x:c>
      <x:c r="J74" s="122" t="str">
        <x:f>IF(B74="","",IF(A74="Alta","Comprar ahora",IF(A74="Media","Cotizar y programar",IF(A74="Revisión","Evaluar exceso","Sin acción inmediata"))))</x:f>
      </x:c>
    </x:row>
    <x:row r="75">
      <x:c r="A75" s="122" t="str">
        <x:f>IF('05 Inventario'!A75="","",IF(OR('05 Inventario'!N75="Sin stock",'05 Inventario'!N75="Crítico"),"Alta",IF('05 Inventario'!N75="Reordenar","Media",IF('05 Inventario'!N75="Sobre stock","Revisión","Baja"))))</x:f>
      </x:c>
      <x:c r="B75" s="122" t="str">
        <x:f>'05 Inventario'!A75</x:f>
      </x:c>
      <x:c r="C75" s="122" t="str">
        <x:f>'05 Inventario'!B75</x:f>
      </x:c>
      <x:c r="D75" s="122" t="str">
        <x:f>'05 Inventario'!N75</x:f>
      </x:c>
      <x:c r="E75" s="124" t="str">
        <x:f>'05 Inventario'!H75</x:f>
      </x:c>
      <x:c r="F75" s="124" t="str">
        <x:f>'05 Inventario'!I75</x:f>
      </x:c>
      <x:c r="G75" s="124" t="str">
        <x:f>'05 Inventario'!J75</x:f>
      </x:c>
      <x:c r="H75" s="124" t="str">
        <x:f>IF(B75="","",MAX(0,G75-E75))</x:f>
      </x:c>
      <x:c r="I75" s="126" t="str">
        <x:f>IF(B75="","",H75*INDEX('05 Inventario'!$L$5:$L$79,MATCH(B75,'05 Inventario'!$A$5:$A$79,0)))</x:f>
      </x:c>
      <x:c r="J75" s="122" t="str">
        <x:f>IF(B75="","",IF(A75="Alta","Comprar ahora",IF(A75="Media","Cotizar y programar",IF(A75="Revisión","Evaluar exceso","Sin acción inmediata"))))</x:f>
      </x:c>
    </x:row>
    <x:row r="76">
      <x:c r="A76" s="122" t="str">
        <x:f>IF('05 Inventario'!A76="","",IF(OR('05 Inventario'!N76="Sin stock",'05 Inventario'!N76="Crítico"),"Alta",IF('05 Inventario'!N76="Reordenar","Media",IF('05 Inventario'!N76="Sobre stock","Revisión","Baja"))))</x:f>
      </x:c>
      <x:c r="B76" s="122" t="str">
        <x:f>'05 Inventario'!A76</x:f>
      </x:c>
      <x:c r="C76" s="122" t="str">
        <x:f>'05 Inventario'!B76</x:f>
      </x:c>
      <x:c r="D76" s="122" t="str">
        <x:f>'05 Inventario'!N76</x:f>
      </x:c>
      <x:c r="E76" s="124" t="str">
        <x:f>'05 Inventario'!H76</x:f>
      </x:c>
      <x:c r="F76" s="124" t="str">
        <x:f>'05 Inventario'!I76</x:f>
      </x:c>
      <x:c r="G76" s="124" t="str">
        <x:f>'05 Inventario'!J76</x:f>
      </x:c>
      <x:c r="H76" s="124" t="str">
        <x:f>IF(B76="","",MAX(0,G76-E76))</x:f>
      </x:c>
      <x:c r="I76" s="126" t="str">
        <x:f>IF(B76="","",H76*INDEX('05 Inventario'!$L$5:$L$79,MATCH(B76,'05 Inventario'!$A$5:$A$79,0)))</x:f>
      </x:c>
      <x:c r="J76" s="122" t="str">
        <x:f>IF(B76="","",IF(A76="Alta","Comprar ahora",IF(A76="Media","Cotizar y programar",IF(A76="Revisión","Evaluar exceso","Sin acción inmediata"))))</x:f>
      </x:c>
    </x:row>
    <x:row r="77">
      <x:c r="A77" s="122" t="str">
        <x:f>IF('05 Inventario'!A77="","",IF(OR('05 Inventario'!N77="Sin stock",'05 Inventario'!N77="Crítico"),"Alta",IF('05 Inventario'!N77="Reordenar","Media",IF('05 Inventario'!N77="Sobre stock","Revisión","Baja"))))</x:f>
      </x:c>
      <x:c r="B77" s="122" t="str">
        <x:f>'05 Inventario'!A77</x:f>
      </x:c>
      <x:c r="C77" s="122" t="str">
        <x:f>'05 Inventario'!B77</x:f>
      </x:c>
      <x:c r="D77" s="122" t="str">
        <x:f>'05 Inventario'!N77</x:f>
      </x:c>
      <x:c r="E77" s="124" t="str">
        <x:f>'05 Inventario'!H77</x:f>
      </x:c>
      <x:c r="F77" s="124" t="str">
        <x:f>'05 Inventario'!I77</x:f>
      </x:c>
      <x:c r="G77" s="124" t="str">
        <x:f>'05 Inventario'!J77</x:f>
      </x:c>
      <x:c r="H77" s="124" t="str">
        <x:f>IF(B77="","",MAX(0,G77-E77))</x:f>
      </x:c>
      <x:c r="I77" s="126" t="str">
        <x:f>IF(B77="","",H77*INDEX('05 Inventario'!$L$5:$L$79,MATCH(B77,'05 Inventario'!$A$5:$A$79,0)))</x:f>
      </x:c>
      <x:c r="J77" s="122" t="str">
        <x:f>IF(B77="","",IF(A77="Alta","Comprar ahora",IF(A77="Media","Cotizar y programar",IF(A77="Revisión","Evaluar exceso","Sin acción inmediata"))))</x:f>
      </x:c>
    </x:row>
    <x:row r="78">
      <x:c r="A78" s="122" t="str">
        <x:f>IF('05 Inventario'!A78="","",IF(OR('05 Inventario'!N78="Sin stock",'05 Inventario'!N78="Crítico"),"Alta",IF('05 Inventario'!N78="Reordenar","Media",IF('05 Inventario'!N78="Sobre stock","Revisión","Baja"))))</x:f>
      </x:c>
      <x:c r="B78" s="122" t="str">
        <x:f>'05 Inventario'!A78</x:f>
      </x:c>
      <x:c r="C78" s="122" t="str">
        <x:f>'05 Inventario'!B78</x:f>
      </x:c>
      <x:c r="D78" s="122" t="str">
        <x:f>'05 Inventario'!N78</x:f>
      </x:c>
      <x:c r="E78" s="124" t="str">
        <x:f>'05 Inventario'!H78</x:f>
      </x:c>
      <x:c r="F78" s="124" t="str">
        <x:f>'05 Inventario'!I78</x:f>
      </x:c>
      <x:c r="G78" s="124" t="str">
        <x:f>'05 Inventario'!J78</x:f>
      </x:c>
      <x:c r="H78" s="124" t="str">
        <x:f>IF(B78="","",MAX(0,G78-E78))</x:f>
      </x:c>
      <x:c r="I78" s="126" t="str">
        <x:f>IF(B78="","",H78*INDEX('05 Inventario'!$L$5:$L$79,MATCH(B78,'05 Inventario'!$A$5:$A$79,0)))</x:f>
      </x:c>
      <x:c r="J78" s="122" t="str">
        <x:f>IF(B78="","",IF(A78="Alta","Comprar ahora",IF(A78="Media","Cotizar y programar",IF(A78="Revisión","Evaluar exceso","Sin acción inmediata"))))</x:f>
      </x:c>
    </x:row>
    <x:row r="79">
      <x:c r="A79" s="122" t="str">
        <x:f>IF('05 Inventario'!A79="","",IF(OR('05 Inventario'!N79="Sin stock",'05 Inventario'!N79="Crítico"),"Alta",IF('05 Inventario'!N79="Reordenar","Media",IF('05 Inventario'!N79="Sobre stock","Revisión","Baja"))))</x:f>
      </x:c>
      <x:c r="B79" s="122" t="n">
        <x:f>'05 Inventario'!A79</x:f>
        <x:v>0</x:v>
      </x:c>
      <x:c r="C79" s="122" t="n">
        <x:f>'05 Inventario'!B79</x:f>
        <x:v>0</x:v>
      </x:c>
      <x:c r="D79" s="122" t="n">
        <x:f>'05 Inventario'!N79</x:f>
        <x:v>0</x:v>
      </x:c>
      <x:c r="E79" s="124" t="n">
        <x:f>'05 Inventario'!H79</x:f>
        <x:v>0</x:v>
      </x:c>
      <x:c r="F79" s="124" t="n">
        <x:f>'05 Inventario'!I79</x:f>
        <x:v>0</x:v>
      </x:c>
      <x:c r="G79" s="124" t="n">
        <x:f>'05 Inventario'!J79</x:f>
        <x:v>0</x:v>
      </x:c>
      <x:c r="H79" s="124" t="str">
        <x:f>IF(B79="","",MAX(0,G79-E79))</x:f>
      </x:c>
      <x:c r="I79" s="126" t="str">
        <x:f>IF(B79="","",H79*INDEX('05 Inventario'!$L$5:$L$79,MATCH(B79,'05 Inventario'!$A$5:$A$79,0)))</x:f>
      </x:c>
      <x:c r="J79" s="122" t="str">
        <x:f>IF(B79="","",IF(A79="Alta","Comprar ahora",IF(A79="Media","Cotizar y programar",IF(A79="Revisión","Evaluar exceso","Sin acción inmediata"))))</x:f>
      </x:c>
    </x:row>
  </x:sheetData>
  <x:mergeCells>
    <x:mergeCell ref="A1:J1"/>
    <x:mergeCell ref="A2:J2"/>
  </x:mergeCells>
  <x:conditionalFormatting sqref="A5:A79">
    <x:cfRule type="expression" dxfId="5" priority="1">
      <x:formula>A5="Alta"</x:formula>
    </x:cfRule>
    <x:cfRule type="expression" dxfId="6" priority="2">
      <x:formula>A5="Media"</x:formula>
    </x:cfRule>
    <x:cfRule type="expression" dxfId="7" priority="3">
      <x:formula>A5="Baja"</x:formula>
    </x:cfRule>
    <x:cfRule type="expression" dxfId="8" priority="4">
      <x:formula>A5="Revisión"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a651edd96644a0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6" hidden="0" customWidth="1"/>
    <x:col min="5" max="5" width="14" hidden="0" customWidth="1"/>
    <x:col min="6" max="6" width="15" hidden="0" customWidth="1"/>
    <x:col min="7" max="7" width="18" hidden="0" customWidth="1"/>
    <x:col min="8" max="8" width="16" hidden="0" customWidth="1"/>
    <x:col min="9" max="9" width="18" hidden="0" customWidth="1"/>
    <x:col min="10" max="10" width="15" hidden="0" customWidth="1"/>
  </x:cols>
  <x:sheetData>
    <x:row r="1" ht="42" customHeight="1">
      <x:c r="A1" s="5" t="str">
        <x:v>Valuación PEPS</x:v>
      </x:c>
    </x:row>
    <x:row r="2" ht="28" customHeight="1">
      <x:c r="A2" s="13" t="str">
        <x:v>Estimación de lotes disponibles bajo método PEPS. Útil cuando el método elegido es PEPS.</x:v>
      </x:c>
    </x:row>
    <x:row r="3" ht="24" customHeight="1">
      <x:c r="A3" s="56" t="str">
        <x:v>Uso: registra aquí las entradas por lote para estimar la existencia disponible por orden de entrada.</x:v>
      </x:c>
    </x:row>
    <x:row r="5" ht="26" customHeight="1">
      <x:c r="A5" s="66" t="str">
        <x:v>SKU</x:v>
      </x:c>
      <x:c r="B5" s="66" t="str">
        <x:v>Lote</x:v>
      </x:c>
      <x:c r="C5" s="66" t="str">
        <x:v>Fecha entrada</x:v>
      </x:c>
      <x:c r="D5" s="66" t="str">
        <x:v>Cantidad entrada</x:v>
      </x:c>
      <x:c r="E5" s="66" t="str">
        <x:v>Costo unitario</x:v>
      </x:c>
      <x:c r="F5" s="66" t="str">
        <x:v>Valor lote</x:v>
      </x:c>
      <x:c r="G5" s="66" t="str">
        <x:v>Salidas acumuladas SKU</x:v>
      </x:c>
      <x:c r="H5" s="66" t="str">
        <x:v>Entradas previas</x:v>
      </x:c>
      <x:c r="I5" s="66" t="str">
        <x:v>Existencia lote PEPS</x:v>
      </x:c>
      <x:c r="J5" s="66" t="str">
        <x:v>Valor PEPS</x:v>
      </x:c>
    </x:row>
    <x:row r="6">
      <x:c r="A6" s="128" t="str">
        <x:v>SKU-002</x:v>
      </x:c>
      <x:c r="B6" s="128" t="str">
        <x:v>L-001</x:v>
      </x:c>
      <x:c r="C6" s="130" t="n">
        <x:v>46143</x:v>
      </x:c>
      <x:c r="D6" s="132" t="n">
        <x:v>15</x:v>
      </x:c>
      <x:c r="E6" s="134" t="n">
        <x:v>760</x:v>
      </x:c>
      <x:c r="F6" s="126" t="n">
        <x:f>IF(D6="","",D6*E6)</x:f>
        <x:v>11400</x:v>
      </x:c>
      <x:c r="G6" s="124" t="n">
        <x:f>IF(A6="","",SUMIFS('04 Movimientos'!$J:$J,'04 Movimientos'!$C:$C,A6))</x:f>
        <x:v>8</x:v>
      </x:c>
      <x:c r="H6" s="124" t="n">
        <x:f>IF(A6="","",IF(ROW()=6,0,SUMIFS($D$6:D5,$A$6:A5,A6)))</x:f>
        <x:v>0</x:v>
      </x:c>
      <x:c r="I6" s="124" t="n">
        <x:f>IF(A6="","",MAX(0,D6-MAX(0,G6-H6)))</x:f>
        <x:v>7</x:v>
      </x:c>
      <x:c r="J6" s="126" t="n">
        <x:f>IF(A6="","",I6*E6)</x:f>
        <x:v>5320</x:v>
      </x:c>
    </x:row>
    <x:row r="7">
      <x:c r="A7" s="128" t="str">
        <x:v>SKU-005</x:v>
      </x:c>
      <x:c r="B7" s="128" t="str">
        <x:v>L-002</x:v>
      </x:c>
      <x:c r="C7" s="130" t="n">
        <x:v>46146</x:v>
      </x:c>
      <x:c r="D7" s="132" t="n">
        <x:v>4</x:v>
      </x:c>
      <x:c r="E7" s="134" t="n">
        <x:v>1390</x:v>
      </x:c>
      <x:c r="F7" s="126" t="n">
        <x:f>IF(D7="","",D7*E7)</x:f>
        <x:v>5560</x:v>
      </x:c>
      <x:c r="G7" s="124" t="n">
        <x:f>IF(A7="","",SUMIFS('04 Movimientos'!$J:$J,'04 Movimientos'!$C:$C,A7))</x:f>
        <x:v>0</x:v>
      </x:c>
      <x:c r="H7" s="124" t="n">
        <x:f>IF(A7="","",IF(ROW()=6,0,SUMIFS($D$6:D6,$A$6:A6,A7)))</x:f>
        <x:v>0</x:v>
      </x:c>
      <x:c r="I7" s="124" t="n">
        <x:f>IF(A7="","",MAX(0,D7-MAX(0,G7-H7)))</x:f>
        <x:v>4</x:v>
      </x:c>
      <x:c r="J7" s="126" t="n">
        <x:f>IF(A7="","",I7*E7)</x:f>
        <x:v>5560</x:v>
      </x:c>
    </x:row>
    <x:row r="8">
      <x:c r="A8" s="128" t="str">
        <x:v>SKU-006</x:v>
      </x:c>
      <x:c r="B8" s="128" t="str">
        <x:v>L-003</x:v>
      </x:c>
      <x:c r="C8" s="130" t="n">
        <x:v>46151</x:v>
      </x:c>
      <x:c r="D8" s="132" t="n">
        <x:v>80</x:v>
      </x:c>
      <x:c r="E8" s="134" t="n">
        <x:v>92</x:v>
      </x:c>
      <x:c r="F8" s="126" t="n">
        <x:f>IF(D8="","",D8*E8)</x:f>
        <x:v>7360</x:v>
      </x:c>
      <x:c r="G8" s="124" t="n">
        <x:f>IF(A8="","",SUMIFS('04 Movimientos'!$J:$J,'04 Movimientos'!$C:$C,A8))</x:f>
        <x:v>0</x:v>
      </x:c>
      <x:c r="H8" s="124" t="n">
        <x:f>IF(A8="","",IF(ROW()=6,0,SUMIFS($D$6:D7,$A$6:A7,A8)))</x:f>
        <x:v>0</x:v>
      </x:c>
      <x:c r="I8" s="124" t="n">
        <x:f>IF(A8="","",MAX(0,D8-MAX(0,G8-H8)))</x:f>
        <x:v>80</x:v>
      </x:c>
      <x:c r="J8" s="126" t="n">
        <x:f>IF(A8="","",I8*E8)</x:f>
        <x:v>7360</x:v>
      </x:c>
    </x:row>
    <x:row r="9">
      <x:c r="A9" s="128"/>
      <x:c r="B9" s="128"/>
      <x:c r="C9" s="130"/>
      <x:c r="D9" s="132"/>
      <x:c r="E9" s="134"/>
      <x:c r="F9" s="126" t="str">
        <x:f>IF(D9="","",D9*E9)</x:f>
      </x:c>
      <x:c r="G9" s="124" t="str">
        <x:f>IF(A9="","",SUMIFS('04 Movimientos'!$J:$J,'04 Movimientos'!$C:$C,A9))</x:f>
      </x:c>
      <x:c r="H9" s="124" t="str">
        <x:f>IF(A9="","",IF(ROW()=6,0,SUMIFS($D$6:D8,$A$6:A8,A9)))</x:f>
      </x:c>
      <x:c r="I9" s="124" t="str">
        <x:f>IF(A9="","",MAX(0,D9-MAX(0,G9-H9)))</x:f>
      </x:c>
      <x:c r="J9" s="126" t="str">
        <x:f>IF(A9="","",I9*E9)</x:f>
      </x:c>
    </x:row>
    <x:row r="10">
      <x:c r="A10" s="128"/>
      <x:c r="B10" s="128"/>
      <x:c r="C10" s="130"/>
      <x:c r="D10" s="132"/>
      <x:c r="E10" s="134"/>
      <x:c r="F10" s="126" t="str">
        <x:f>IF(D10="","",D10*E10)</x:f>
      </x:c>
      <x:c r="G10" s="124" t="str">
        <x:f>IF(A10="","",SUMIFS('04 Movimientos'!$J:$J,'04 Movimientos'!$C:$C,A10))</x:f>
      </x:c>
      <x:c r="H10" s="124" t="str">
        <x:f>IF(A10="","",IF(ROW()=6,0,SUMIFS($D$6:D9,$A$6:A9,A10)))</x:f>
      </x:c>
      <x:c r="I10" s="124" t="str">
        <x:f>IF(A10="","",MAX(0,D10-MAX(0,G10-H10)))</x:f>
      </x:c>
      <x:c r="J10" s="126" t="str">
        <x:f>IF(A10="","",I10*E10)</x:f>
      </x:c>
    </x:row>
    <x:row r="11">
      <x:c r="A11" s="128"/>
      <x:c r="B11" s="128"/>
      <x:c r="C11" s="130"/>
      <x:c r="D11" s="132"/>
      <x:c r="E11" s="134"/>
      <x:c r="F11" s="126" t="str">
        <x:f>IF(D11="","",D11*E11)</x:f>
      </x:c>
      <x:c r="G11" s="124" t="str">
        <x:f>IF(A11="","",SUMIFS('04 Movimientos'!$J:$J,'04 Movimientos'!$C:$C,A11))</x:f>
      </x:c>
      <x:c r="H11" s="124" t="str">
        <x:f>IF(A11="","",IF(ROW()=6,0,SUMIFS($D$6:D10,$A$6:A10,A11)))</x:f>
      </x:c>
      <x:c r="I11" s="124" t="str">
        <x:f>IF(A11="","",MAX(0,D11-MAX(0,G11-H11)))</x:f>
      </x:c>
      <x:c r="J11" s="126" t="str">
        <x:f>IF(A11="","",I11*E11)</x:f>
      </x:c>
    </x:row>
    <x:row r="12">
      <x:c r="A12" s="128"/>
      <x:c r="B12" s="128"/>
      <x:c r="C12" s="130"/>
      <x:c r="D12" s="132"/>
      <x:c r="E12" s="134"/>
      <x:c r="F12" s="126" t="str">
        <x:f>IF(D12="","",D12*E12)</x:f>
      </x:c>
      <x:c r="G12" s="124" t="str">
        <x:f>IF(A12="","",SUMIFS('04 Movimientos'!$J:$J,'04 Movimientos'!$C:$C,A12))</x:f>
      </x:c>
      <x:c r="H12" s="124" t="str">
        <x:f>IF(A12="","",IF(ROW()=6,0,SUMIFS($D$6:D11,$A$6:A11,A12)))</x:f>
      </x:c>
      <x:c r="I12" s="124" t="str">
        <x:f>IF(A12="","",MAX(0,D12-MAX(0,G12-H12)))</x:f>
      </x:c>
      <x:c r="J12" s="126" t="str">
        <x:f>IF(A12="","",I12*E12)</x:f>
      </x:c>
    </x:row>
    <x:row r="13">
      <x:c r="A13" s="128"/>
      <x:c r="B13" s="128"/>
      <x:c r="C13" s="130"/>
      <x:c r="D13" s="132"/>
      <x:c r="E13" s="134"/>
      <x:c r="F13" s="126" t="str">
        <x:f>IF(D13="","",D13*E13)</x:f>
      </x:c>
      <x:c r="G13" s="124" t="str">
        <x:f>IF(A13="","",SUMIFS('04 Movimientos'!$J:$J,'04 Movimientos'!$C:$C,A13))</x:f>
      </x:c>
      <x:c r="H13" s="124" t="str">
        <x:f>IF(A13="","",IF(ROW()=6,0,SUMIFS($D$6:D12,$A$6:A12,A13)))</x:f>
      </x:c>
      <x:c r="I13" s="124" t="str">
        <x:f>IF(A13="","",MAX(0,D13-MAX(0,G13-H13)))</x:f>
      </x:c>
      <x:c r="J13" s="126" t="str">
        <x:f>IF(A13="","",I13*E13)</x:f>
      </x:c>
    </x:row>
    <x:row r="14">
      <x:c r="A14" s="128"/>
      <x:c r="B14" s="128"/>
      <x:c r="C14" s="130"/>
      <x:c r="D14" s="132"/>
      <x:c r="E14" s="134"/>
      <x:c r="F14" s="126" t="str">
        <x:f>IF(D14="","",D14*E14)</x:f>
      </x:c>
      <x:c r="G14" s="124" t="str">
        <x:f>IF(A14="","",SUMIFS('04 Movimientos'!$J:$J,'04 Movimientos'!$C:$C,A14))</x:f>
      </x:c>
      <x:c r="H14" s="124" t="str">
        <x:f>IF(A14="","",IF(ROW()=6,0,SUMIFS($D$6:D13,$A$6:A13,A14)))</x:f>
      </x:c>
      <x:c r="I14" s="124" t="str">
        <x:f>IF(A14="","",MAX(0,D14-MAX(0,G14-H14)))</x:f>
      </x:c>
      <x:c r="J14" s="126" t="str">
        <x:f>IF(A14="","",I14*E14)</x:f>
      </x:c>
    </x:row>
    <x:row r="15">
      <x:c r="A15" s="128"/>
      <x:c r="B15" s="128"/>
      <x:c r="C15" s="130"/>
      <x:c r="D15" s="132"/>
      <x:c r="E15" s="134"/>
      <x:c r="F15" s="126" t="str">
        <x:f>IF(D15="","",D15*E15)</x:f>
      </x:c>
      <x:c r="G15" s="124" t="str">
        <x:f>IF(A15="","",SUMIFS('04 Movimientos'!$J:$J,'04 Movimientos'!$C:$C,A15))</x:f>
      </x:c>
      <x:c r="H15" s="124" t="str">
        <x:f>IF(A15="","",IF(ROW()=6,0,SUMIFS($D$6:D14,$A$6:A14,A15)))</x:f>
      </x:c>
      <x:c r="I15" s="124" t="str">
        <x:f>IF(A15="","",MAX(0,D15-MAX(0,G15-H15)))</x:f>
      </x:c>
      <x:c r="J15" s="126" t="str">
        <x:f>IF(A15="","",I15*E15)</x:f>
      </x:c>
    </x:row>
    <x:row r="16">
      <x:c r="A16" s="128"/>
      <x:c r="B16" s="128"/>
      <x:c r="C16" s="130"/>
      <x:c r="D16" s="132"/>
      <x:c r="E16" s="134"/>
      <x:c r="F16" s="126" t="str">
        <x:f>IF(D16="","",D16*E16)</x:f>
      </x:c>
      <x:c r="G16" s="124" t="str">
        <x:f>IF(A16="","",SUMIFS('04 Movimientos'!$J:$J,'04 Movimientos'!$C:$C,A16))</x:f>
      </x:c>
      <x:c r="H16" s="124" t="str">
        <x:f>IF(A16="","",IF(ROW()=6,0,SUMIFS($D$6:D15,$A$6:A15,A16)))</x:f>
      </x:c>
      <x:c r="I16" s="124" t="str">
        <x:f>IF(A16="","",MAX(0,D16-MAX(0,G16-H16)))</x:f>
      </x:c>
      <x:c r="J16" s="126" t="str">
        <x:f>IF(A16="","",I16*E16)</x:f>
      </x:c>
    </x:row>
    <x:row r="17">
      <x:c r="A17" s="128"/>
      <x:c r="B17" s="128"/>
      <x:c r="C17" s="130"/>
      <x:c r="D17" s="132"/>
      <x:c r="E17" s="134"/>
      <x:c r="F17" s="126" t="str">
        <x:f>IF(D17="","",D17*E17)</x:f>
      </x:c>
      <x:c r="G17" s="124" t="str">
        <x:f>IF(A17="","",SUMIFS('04 Movimientos'!$J:$J,'04 Movimientos'!$C:$C,A17))</x:f>
      </x:c>
      <x:c r="H17" s="124" t="str">
        <x:f>IF(A17="","",IF(ROW()=6,0,SUMIFS($D$6:D16,$A$6:A16,A17)))</x:f>
      </x:c>
      <x:c r="I17" s="124" t="str">
        <x:f>IF(A17="","",MAX(0,D17-MAX(0,G17-H17)))</x:f>
      </x:c>
      <x:c r="J17" s="126" t="str">
        <x:f>IF(A17="","",I17*E17)</x:f>
      </x:c>
    </x:row>
    <x:row r="18">
      <x:c r="A18" s="128"/>
      <x:c r="B18" s="128"/>
      <x:c r="C18" s="130"/>
      <x:c r="D18" s="132"/>
      <x:c r="E18" s="134"/>
      <x:c r="F18" s="126" t="str">
        <x:f>IF(D18="","",D18*E18)</x:f>
      </x:c>
      <x:c r="G18" s="124" t="str">
        <x:f>IF(A18="","",SUMIFS('04 Movimientos'!$J:$J,'04 Movimientos'!$C:$C,A18))</x:f>
      </x:c>
      <x:c r="H18" s="124" t="str">
        <x:f>IF(A18="","",IF(ROW()=6,0,SUMIFS($D$6:D17,$A$6:A17,A18)))</x:f>
      </x:c>
      <x:c r="I18" s="124" t="str">
        <x:f>IF(A18="","",MAX(0,D18-MAX(0,G18-H18)))</x:f>
      </x:c>
      <x:c r="J18" s="126" t="str">
        <x:f>IF(A18="","",I18*E18)</x:f>
      </x:c>
    </x:row>
    <x:row r="19">
      <x:c r="A19" s="128"/>
      <x:c r="B19" s="128"/>
      <x:c r="C19" s="130"/>
      <x:c r="D19" s="132"/>
      <x:c r="E19" s="134"/>
      <x:c r="F19" s="126" t="str">
        <x:f>IF(D19="","",D19*E19)</x:f>
      </x:c>
      <x:c r="G19" s="124" t="str">
        <x:f>IF(A19="","",SUMIFS('04 Movimientos'!$J:$J,'04 Movimientos'!$C:$C,A19))</x:f>
      </x:c>
      <x:c r="H19" s="124" t="str">
        <x:f>IF(A19="","",IF(ROW()=6,0,SUMIFS($D$6:D18,$A$6:A18,A19)))</x:f>
      </x:c>
      <x:c r="I19" s="124" t="str">
        <x:f>IF(A19="","",MAX(0,D19-MAX(0,G19-H19)))</x:f>
      </x:c>
      <x:c r="J19" s="126" t="str">
        <x:f>IF(A19="","",I19*E19)</x:f>
      </x:c>
    </x:row>
    <x:row r="20">
      <x:c r="A20" s="128"/>
      <x:c r="B20" s="128"/>
      <x:c r="C20" s="130"/>
      <x:c r="D20" s="132"/>
      <x:c r="E20" s="134"/>
      <x:c r="F20" s="126" t="str">
        <x:f>IF(D20="","",D20*E20)</x:f>
      </x:c>
      <x:c r="G20" s="124" t="str">
        <x:f>IF(A20="","",SUMIFS('04 Movimientos'!$J:$J,'04 Movimientos'!$C:$C,A20))</x:f>
      </x:c>
      <x:c r="H20" s="124" t="str">
        <x:f>IF(A20="","",IF(ROW()=6,0,SUMIFS($D$6:D19,$A$6:A19,A20)))</x:f>
      </x:c>
      <x:c r="I20" s="124" t="str">
        <x:f>IF(A20="","",MAX(0,D20-MAX(0,G20-H20)))</x:f>
      </x:c>
      <x:c r="J20" s="126" t="str">
        <x:f>IF(A20="","",I20*E20)</x:f>
      </x:c>
    </x:row>
    <x:row r="21">
      <x:c r="A21" s="128"/>
      <x:c r="B21" s="128"/>
      <x:c r="C21" s="130"/>
      <x:c r="D21" s="132"/>
      <x:c r="E21" s="134"/>
      <x:c r="F21" s="126" t="str">
        <x:f>IF(D21="","",D21*E21)</x:f>
      </x:c>
      <x:c r="G21" s="124" t="str">
        <x:f>IF(A21="","",SUMIFS('04 Movimientos'!$J:$J,'04 Movimientos'!$C:$C,A21))</x:f>
      </x:c>
      <x:c r="H21" s="124" t="str">
        <x:f>IF(A21="","",IF(ROW()=6,0,SUMIFS($D$6:D20,$A$6:A20,A21)))</x:f>
      </x:c>
      <x:c r="I21" s="124" t="str">
        <x:f>IF(A21="","",MAX(0,D21-MAX(0,G21-H21)))</x:f>
      </x:c>
      <x:c r="J21" s="126" t="str">
        <x:f>IF(A21="","",I21*E21)</x:f>
      </x:c>
    </x:row>
    <x:row r="22">
      <x:c r="A22" s="128"/>
      <x:c r="B22" s="128"/>
      <x:c r="C22" s="130"/>
      <x:c r="D22" s="132"/>
      <x:c r="E22" s="134"/>
      <x:c r="F22" s="126" t="str">
        <x:f>IF(D22="","",D22*E22)</x:f>
      </x:c>
      <x:c r="G22" s="124" t="str">
        <x:f>IF(A22="","",SUMIFS('04 Movimientos'!$J:$J,'04 Movimientos'!$C:$C,A22))</x:f>
      </x:c>
      <x:c r="H22" s="124" t="str">
        <x:f>IF(A22="","",IF(ROW()=6,0,SUMIFS($D$6:D21,$A$6:A21,A22)))</x:f>
      </x:c>
      <x:c r="I22" s="124" t="str">
        <x:f>IF(A22="","",MAX(0,D22-MAX(0,G22-H22)))</x:f>
      </x:c>
      <x:c r="J22" s="126" t="str">
        <x:f>IF(A22="","",I22*E22)</x:f>
      </x:c>
    </x:row>
    <x:row r="23">
      <x:c r="A23" s="128"/>
      <x:c r="B23" s="128"/>
      <x:c r="C23" s="130"/>
      <x:c r="D23" s="132"/>
      <x:c r="E23" s="134"/>
      <x:c r="F23" s="126" t="str">
        <x:f>IF(D23="","",D23*E23)</x:f>
      </x:c>
      <x:c r="G23" s="124" t="str">
        <x:f>IF(A23="","",SUMIFS('04 Movimientos'!$J:$J,'04 Movimientos'!$C:$C,A23))</x:f>
      </x:c>
      <x:c r="H23" s="124" t="str">
        <x:f>IF(A23="","",IF(ROW()=6,0,SUMIFS($D$6:D22,$A$6:A22,A23)))</x:f>
      </x:c>
      <x:c r="I23" s="124" t="str">
        <x:f>IF(A23="","",MAX(0,D23-MAX(0,G23-H23)))</x:f>
      </x:c>
      <x:c r="J23" s="126" t="str">
        <x:f>IF(A23="","",I23*E23)</x:f>
      </x:c>
    </x:row>
    <x:row r="24">
      <x:c r="A24" s="128"/>
      <x:c r="B24" s="128"/>
      <x:c r="C24" s="130"/>
      <x:c r="D24" s="132"/>
      <x:c r="E24" s="134"/>
      <x:c r="F24" s="126" t="str">
        <x:f>IF(D24="","",D24*E24)</x:f>
      </x:c>
      <x:c r="G24" s="124" t="str">
        <x:f>IF(A24="","",SUMIFS('04 Movimientos'!$J:$J,'04 Movimientos'!$C:$C,A24))</x:f>
      </x:c>
      <x:c r="H24" s="124" t="str">
        <x:f>IF(A24="","",IF(ROW()=6,0,SUMIFS($D$6:D23,$A$6:A23,A24)))</x:f>
      </x:c>
      <x:c r="I24" s="124" t="str">
        <x:f>IF(A24="","",MAX(0,D24-MAX(0,G24-H24)))</x:f>
      </x:c>
      <x:c r="J24" s="126" t="str">
        <x:f>IF(A24="","",I24*E24)</x:f>
      </x:c>
    </x:row>
    <x:row r="25">
      <x:c r="A25" s="128"/>
      <x:c r="B25" s="128"/>
      <x:c r="C25" s="130"/>
      <x:c r="D25" s="132"/>
      <x:c r="E25" s="134"/>
      <x:c r="F25" s="126" t="str">
        <x:f>IF(D25="","",D25*E25)</x:f>
      </x:c>
      <x:c r="G25" s="124" t="str">
        <x:f>IF(A25="","",SUMIFS('04 Movimientos'!$J:$J,'04 Movimientos'!$C:$C,A25))</x:f>
      </x:c>
      <x:c r="H25" s="124" t="str">
        <x:f>IF(A25="","",IF(ROW()=6,0,SUMIFS($D$6:D24,$A$6:A24,A25)))</x:f>
      </x:c>
      <x:c r="I25" s="124" t="str">
        <x:f>IF(A25="","",MAX(0,D25-MAX(0,G25-H25)))</x:f>
      </x:c>
      <x:c r="J25" s="126" t="str">
        <x:f>IF(A25="","",I25*E25)</x:f>
      </x:c>
    </x:row>
    <x:row r="26">
      <x:c r="A26" s="128"/>
      <x:c r="B26" s="128"/>
      <x:c r="C26" s="130"/>
      <x:c r="D26" s="132"/>
      <x:c r="E26" s="134"/>
      <x:c r="F26" s="126" t="str">
        <x:f>IF(D26="","",D26*E26)</x:f>
      </x:c>
      <x:c r="G26" s="124" t="str">
        <x:f>IF(A26="","",SUMIFS('04 Movimientos'!$J:$J,'04 Movimientos'!$C:$C,A26))</x:f>
      </x:c>
      <x:c r="H26" s="124" t="str">
        <x:f>IF(A26="","",IF(ROW()=6,0,SUMIFS($D$6:D25,$A$6:A25,A26)))</x:f>
      </x:c>
      <x:c r="I26" s="124" t="str">
        <x:f>IF(A26="","",MAX(0,D26-MAX(0,G26-H26)))</x:f>
      </x:c>
      <x:c r="J26" s="126" t="str">
        <x:f>IF(A26="","",I26*E26)</x:f>
      </x:c>
    </x:row>
    <x:row r="27">
      <x:c r="A27" s="128"/>
      <x:c r="B27" s="128"/>
      <x:c r="C27" s="130"/>
      <x:c r="D27" s="132"/>
      <x:c r="E27" s="134"/>
      <x:c r="F27" s="126" t="str">
        <x:f>IF(D27="","",D27*E27)</x:f>
      </x:c>
      <x:c r="G27" s="124" t="str">
        <x:f>IF(A27="","",SUMIFS('04 Movimientos'!$J:$J,'04 Movimientos'!$C:$C,A27))</x:f>
      </x:c>
      <x:c r="H27" s="124" t="str">
        <x:f>IF(A27="","",IF(ROW()=6,0,SUMIFS($D$6:D26,$A$6:A26,A27)))</x:f>
      </x:c>
      <x:c r="I27" s="124" t="str">
        <x:f>IF(A27="","",MAX(0,D27-MAX(0,G27-H27)))</x:f>
      </x:c>
      <x:c r="J27" s="126" t="str">
        <x:f>IF(A27="","",I27*E27)</x:f>
      </x:c>
    </x:row>
    <x:row r="28">
      <x:c r="A28" s="128"/>
      <x:c r="B28" s="128"/>
      <x:c r="C28" s="130"/>
      <x:c r="D28" s="132"/>
      <x:c r="E28" s="134"/>
      <x:c r="F28" s="126" t="str">
        <x:f>IF(D28="","",D28*E28)</x:f>
      </x:c>
      <x:c r="G28" s="124" t="str">
        <x:f>IF(A28="","",SUMIFS('04 Movimientos'!$J:$J,'04 Movimientos'!$C:$C,A28))</x:f>
      </x:c>
      <x:c r="H28" s="124" t="str">
        <x:f>IF(A28="","",IF(ROW()=6,0,SUMIFS($D$6:D27,$A$6:A27,A28)))</x:f>
      </x:c>
      <x:c r="I28" s="124" t="str">
        <x:f>IF(A28="","",MAX(0,D28-MAX(0,G28-H28)))</x:f>
      </x:c>
      <x:c r="J28" s="126" t="str">
        <x:f>IF(A28="","",I28*E28)</x:f>
      </x:c>
    </x:row>
    <x:row r="29">
      <x:c r="A29" s="128"/>
      <x:c r="B29" s="128"/>
      <x:c r="C29" s="130"/>
      <x:c r="D29" s="132"/>
      <x:c r="E29" s="134"/>
      <x:c r="F29" s="126" t="str">
        <x:f>IF(D29="","",D29*E29)</x:f>
      </x:c>
      <x:c r="G29" s="124" t="str">
        <x:f>IF(A29="","",SUMIFS('04 Movimientos'!$J:$J,'04 Movimientos'!$C:$C,A29))</x:f>
      </x:c>
      <x:c r="H29" s="124" t="str">
        <x:f>IF(A29="","",IF(ROW()=6,0,SUMIFS($D$6:D28,$A$6:A28,A29)))</x:f>
      </x:c>
      <x:c r="I29" s="124" t="str">
        <x:f>IF(A29="","",MAX(0,D29-MAX(0,G29-H29)))</x:f>
      </x:c>
      <x:c r="J29" s="126" t="str">
        <x:f>IF(A29="","",I29*E29)</x:f>
      </x:c>
    </x:row>
    <x:row r="30">
      <x:c r="A30" s="128"/>
      <x:c r="B30" s="128"/>
      <x:c r="C30" s="130"/>
      <x:c r="D30" s="132"/>
      <x:c r="E30" s="134"/>
      <x:c r="F30" s="126" t="str">
        <x:f>IF(D30="","",D30*E30)</x:f>
      </x:c>
      <x:c r="G30" s="124" t="str">
        <x:f>IF(A30="","",SUMIFS('04 Movimientos'!$J:$J,'04 Movimientos'!$C:$C,A30))</x:f>
      </x:c>
      <x:c r="H30" s="124" t="str">
        <x:f>IF(A30="","",IF(ROW()=6,0,SUMIFS($D$6:D29,$A$6:A29,A30)))</x:f>
      </x:c>
      <x:c r="I30" s="124" t="str">
        <x:f>IF(A30="","",MAX(0,D30-MAX(0,G30-H30)))</x:f>
      </x:c>
      <x:c r="J30" s="126" t="str">
        <x:f>IF(A30="","",I30*E30)</x:f>
      </x:c>
    </x:row>
    <x:row r="31">
      <x:c r="A31" s="128"/>
      <x:c r="B31" s="128"/>
      <x:c r="C31" s="130"/>
      <x:c r="D31" s="132"/>
      <x:c r="E31" s="134"/>
      <x:c r="F31" s="126" t="str">
        <x:f>IF(D31="","",D31*E31)</x:f>
      </x:c>
      <x:c r="G31" s="124" t="str">
        <x:f>IF(A31="","",SUMIFS('04 Movimientos'!$J:$J,'04 Movimientos'!$C:$C,A31))</x:f>
      </x:c>
      <x:c r="H31" s="124" t="str">
        <x:f>IF(A31="","",IF(ROW()=6,0,SUMIFS($D$6:D30,$A$6:A30,A31)))</x:f>
      </x:c>
      <x:c r="I31" s="124" t="str">
        <x:f>IF(A31="","",MAX(0,D31-MAX(0,G31-H31)))</x:f>
      </x:c>
      <x:c r="J31" s="126" t="str">
        <x:f>IF(A31="","",I31*E31)</x:f>
      </x:c>
    </x:row>
    <x:row r="32">
      <x:c r="A32" s="128"/>
      <x:c r="B32" s="128"/>
      <x:c r="C32" s="130"/>
      <x:c r="D32" s="132"/>
      <x:c r="E32" s="134"/>
      <x:c r="F32" s="126" t="str">
        <x:f>IF(D32="","",D32*E32)</x:f>
      </x:c>
      <x:c r="G32" s="124" t="str">
        <x:f>IF(A32="","",SUMIFS('04 Movimientos'!$J:$J,'04 Movimientos'!$C:$C,A32))</x:f>
      </x:c>
      <x:c r="H32" s="124" t="str">
        <x:f>IF(A32="","",IF(ROW()=6,0,SUMIFS($D$6:D31,$A$6:A31,A32)))</x:f>
      </x:c>
      <x:c r="I32" s="124" t="str">
        <x:f>IF(A32="","",MAX(0,D32-MAX(0,G32-H32)))</x:f>
      </x:c>
      <x:c r="J32" s="126" t="str">
        <x:f>IF(A32="","",I32*E32)</x:f>
      </x:c>
    </x:row>
    <x:row r="33">
      <x:c r="A33" s="128"/>
      <x:c r="B33" s="128"/>
      <x:c r="C33" s="130"/>
      <x:c r="D33" s="132"/>
      <x:c r="E33" s="134"/>
      <x:c r="F33" s="126" t="str">
        <x:f>IF(D33="","",D33*E33)</x:f>
      </x:c>
      <x:c r="G33" s="124" t="str">
        <x:f>IF(A33="","",SUMIFS('04 Movimientos'!$J:$J,'04 Movimientos'!$C:$C,A33))</x:f>
      </x:c>
      <x:c r="H33" s="124" t="str">
        <x:f>IF(A33="","",IF(ROW()=6,0,SUMIFS($D$6:D32,$A$6:A32,A33)))</x:f>
      </x:c>
      <x:c r="I33" s="124" t="str">
        <x:f>IF(A33="","",MAX(0,D33-MAX(0,G33-H33)))</x:f>
      </x:c>
      <x:c r="J33" s="126" t="str">
        <x:f>IF(A33="","",I33*E33)</x:f>
      </x:c>
    </x:row>
    <x:row r="34">
      <x:c r="A34" s="128"/>
      <x:c r="B34" s="128"/>
      <x:c r="C34" s="130"/>
      <x:c r="D34" s="132"/>
      <x:c r="E34" s="134"/>
      <x:c r="F34" s="126" t="str">
        <x:f>IF(D34="","",D34*E34)</x:f>
      </x:c>
      <x:c r="G34" s="124" t="str">
        <x:f>IF(A34="","",SUMIFS('04 Movimientos'!$J:$J,'04 Movimientos'!$C:$C,A34))</x:f>
      </x:c>
      <x:c r="H34" s="124" t="str">
        <x:f>IF(A34="","",IF(ROW()=6,0,SUMIFS($D$6:D33,$A$6:A33,A34)))</x:f>
      </x:c>
      <x:c r="I34" s="124" t="str">
        <x:f>IF(A34="","",MAX(0,D34-MAX(0,G34-H34)))</x:f>
      </x:c>
      <x:c r="J34" s="126" t="str">
        <x:f>IF(A34="","",I34*E34)</x:f>
      </x:c>
    </x:row>
    <x:row r="35">
      <x:c r="A35" s="128"/>
      <x:c r="B35" s="128"/>
      <x:c r="C35" s="130"/>
      <x:c r="D35" s="132"/>
      <x:c r="E35" s="134"/>
      <x:c r="F35" s="126" t="str">
        <x:f>IF(D35="","",D35*E35)</x:f>
      </x:c>
      <x:c r="G35" s="124" t="str">
        <x:f>IF(A35="","",SUMIFS('04 Movimientos'!$J:$J,'04 Movimientos'!$C:$C,A35))</x:f>
      </x:c>
      <x:c r="H35" s="124" t="str">
        <x:f>IF(A35="","",IF(ROW()=6,0,SUMIFS($D$6:D34,$A$6:A34,A35)))</x:f>
      </x:c>
      <x:c r="I35" s="124" t="str">
        <x:f>IF(A35="","",MAX(0,D35-MAX(0,G35-H35)))</x:f>
      </x:c>
      <x:c r="J35" s="126" t="str">
        <x:f>IF(A35="","",I35*E35)</x:f>
      </x:c>
    </x:row>
    <x:row r="36">
      <x:c r="A36" s="128"/>
      <x:c r="B36" s="128"/>
      <x:c r="C36" s="130"/>
      <x:c r="D36" s="132"/>
      <x:c r="E36" s="134"/>
      <x:c r="F36" s="126" t="str">
        <x:f>IF(D36="","",D36*E36)</x:f>
      </x:c>
      <x:c r="G36" s="124" t="str">
        <x:f>IF(A36="","",SUMIFS('04 Movimientos'!$J:$J,'04 Movimientos'!$C:$C,A36))</x:f>
      </x:c>
      <x:c r="H36" s="124" t="str">
        <x:f>IF(A36="","",IF(ROW()=6,0,SUMIFS($D$6:D35,$A$6:A35,A36)))</x:f>
      </x:c>
      <x:c r="I36" s="124" t="str">
        <x:f>IF(A36="","",MAX(0,D36-MAX(0,G36-H36)))</x:f>
      </x:c>
      <x:c r="J36" s="126" t="str">
        <x:f>IF(A36="","",I36*E36)</x:f>
      </x:c>
    </x:row>
    <x:row r="37">
      <x:c r="A37" s="128"/>
      <x:c r="B37" s="128"/>
      <x:c r="C37" s="130"/>
      <x:c r="D37" s="132"/>
      <x:c r="E37" s="134"/>
      <x:c r="F37" s="126" t="str">
        <x:f>IF(D37="","",D37*E37)</x:f>
      </x:c>
      <x:c r="G37" s="124" t="str">
        <x:f>IF(A37="","",SUMIFS('04 Movimientos'!$J:$J,'04 Movimientos'!$C:$C,A37))</x:f>
      </x:c>
      <x:c r="H37" s="124" t="str">
        <x:f>IF(A37="","",IF(ROW()=6,0,SUMIFS($D$6:D36,$A$6:A36,A37)))</x:f>
      </x:c>
      <x:c r="I37" s="124" t="str">
        <x:f>IF(A37="","",MAX(0,D37-MAX(0,G37-H37)))</x:f>
      </x:c>
      <x:c r="J37" s="126" t="str">
        <x:f>IF(A37="","",I37*E37)</x:f>
      </x:c>
    </x:row>
    <x:row r="38">
      <x:c r="A38" s="128"/>
      <x:c r="B38" s="128"/>
      <x:c r="C38" s="130"/>
      <x:c r="D38" s="132"/>
      <x:c r="E38" s="134"/>
      <x:c r="F38" s="126" t="str">
        <x:f>IF(D38="","",D38*E38)</x:f>
      </x:c>
      <x:c r="G38" s="124" t="str">
        <x:f>IF(A38="","",SUMIFS('04 Movimientos'!$J:$J,'04 Movimientos'!$C:$C,A38))</x:f>
      </x:c>
      <x:c r="H38" s="124" t="str">
        <x:f>IF(A38="","",IF(ROW()=6,0,SUMIFS($D$6:D37,$A$6:A37,A38)))</x:f>
      </x:c>
      <x:c r="I38" s="124" t="str">
        <x:f>IF(A38="","",MAX(0,D38-MAX(0,G38-H38)))</x:f>
      </x:c>
      <x:c r="J38" s="126" t="str">
        <x:f>IF(A38="","",I38*E38)</x:f>
      </x:c>
    </x:row>
    <x:row r="39">
      <x:c r="A39" s="128"/>
      <x:c r="B39" s="128"/>
      <x:c r="C39" s="130"/>
      <x:c r="D39" s="132"/>
      <x:c r="E39" s="134"/>
      <x:c r="F39" s="126" t="str">
        <x:f>IF(D39="","",D39*E39)</x:f>
      </x:c>
      <x:c r="G39" s="124" t="str">
        <x:f>IF(A39="","",SUMIFS('04 Movimientos'!$J:$J,'04 Movimientos'!$C:$C,A39))</x:f>
      </x:c>
      <x:c r="H39" s="124" t="str">
        <x:f>IF(A39="","",IF(ROW()=6,0,SUMIFS($D$6:D38,$A$6:A38,A39)))</x:f>
      </x:c>
      <x:c r="I39" s="124" t="str">
        <x:f>IF(A39="","",MAX(0,D39-MAX(0,G39-H39)))</x:f>
      </x:c>
      <x:c r="J39" s="126" t="str">
        <x:f>IF(A39="","",I39*E39)</x:f>
      </x:c>
    </x:row>
    <x:row r="40">
      <x:c r="A40" s="128"/>
      <x:c r="B40" s="128"/>
      <x:c r="C40" s="130"/>
      <x:c r="D40" s="132"/>
      <x:c r="E40" s="134"/>
      <x:c r="F40" s="126" t="str">
        <x:f>IF(D40="","",D40*E40)</x:f>
      </x:c>
      <x:c r="G40" s="124" t="str">
        <x:f>IF(A40="","",SUMIFS('04 Movimientos'!$J:$J,'04 Movimientos'!$C:$C,A40))</x:f>
      </x:c>
      <x:c r="H40" s="124" t="str">
        <x:f>IF(A40="","",IF(ROW()=6,0,SUMIFS($D$6:D39,$A$6:A39,A40)))</x:f>
      </x:c>
      <x:c r="I40" s="124" t="str">
        <x:f>IF(A40="","",MAX(0,D40-MAX(0,G40-H40)))</x:f>
      </x:c>
      <x:c r="J40" s="126" t="str">
        <x:f>IF(A40="","",I40*E40)</x:f>
      </x:c>
    </x:row>
    <x:row r="41">
      <x:c r="A41" s="128"/>
      <x:c r="B41" s="128"/>
      <x:c r="C41" s="130"/>
      <x:c r="D41" s="132"/>
      <x:c r="E41" s="134"/>
      <x:c r="F41" s="126" t="str">
        <x:f>IF(D41="","",D41*E41)</x:f>
      </x:c>
      <x:c r="G41" s="124" t="str">
        <x:f>IF(A41="","",SUMIFS('04 Movimientos'!$J:$J,'04 Movimientos'!$C:$C,A41))</x:f>
      </x:c>
      <x:c r="H41" s="124" t="str">
        <x:f>IF(A41="","",IF(ROW()=6,0,SUMIFS($D$6:D40,$A$6:A40,A41)))</x:f>
      </x:c>
      <x:c r="I41" s="124" t="str">
        <x:f>IF(A41="","",MAX(0,D41-MAX(0,G41-H41)))</x:f>
      </x:c>
      <x:c r="J41" s="126" t="str">
        <x:f>IF(A41="","",I41*E41)</x:f>
      </x:c>
    </x:row>
    <x:row r="42">
      <x:c r="A42" s="128"/>
      <x:c r="B42" s="128"/>
      <x:c r="C42" s="130"/>
      <x:c r="D42" s="132"/>
      <x:c r="E42" s="134"/>
      <x:c r="F42" s="126" t="str">
        <x:f>IF(D42="","",D42*E42)</x:f>
      </x:c>
      <x:c r="G42" s="124" t="str">
        <x:f>IF(A42="","",SUMIFS('04 Movimientos'!$J:$J,'04 Movimientos'!$C:$C,A42))</x:f>
      </x:c>
      <x:c r="H42" s="124" t="str">
        <x:f>IF(A42="","",IF(ROW()=6,0,SUMIFS($D$6:D41,$A$6:A41,A42)))</x:f>
      </x:c>
      <x:c r="I42" s="124" t="str">
        <x:f>IF(A42="","",MAX(0,D42-MAX(0,G42-H42)))</x:f>
      </x:c>
      <x:c r="J42" s="126" t="str">
        <x:f>IF(A42="","",I42*E42)</x:f>
      </x:c>
    </x:row>
    <x:row r="43">
      <x:c r="A43" s="128"/>
      <x:c r="B43" s="128"/>
      <x:c r="C43" s="130"/>
      <x:c r="D43" s="132"/>
      <x:c r="E43" s="134"/>
      <x:c r="F43" s="126" t="str">
        <x:f>IF(D43="","",D43*E43)</x:f>
      </x:c>
      <x:c r="G43" s="124" t="str">
        <x:f>IF(A43="","",SUMIFS('04 Movimientos'!$J:$J,'04 Movimientos'!$C:$C,A43))</x:f>
      </x:c>
      <x:c r="H43" s="124" t="str">
        <x:f>IF(A43="","",IF(ROW()=6,0,SUMIFS($D$6:D42,$A$6:A42,A43)))</x:f>
      </x:c>
      <x:c r="I43" s="124" t="str">
        <x:f>IF(A43="","",MAX(0,D43-MAX(0,G43-H43)))</x:f>
      </x:c>
      <x:c r="J43" s="126" t="str">
        <x:f>IF(A43="","",I43*E43)</x:f>
      </x:c>
    </x:row>
    <x:row r="44">
      <x:c r="A44" s="128"/>
      <x:c r="B44" s="128"/>
      <x:c r="C44" s="130"/>
      <x:c r="D44" s="132"/>
      <x:c r="E44" s="134"/>
      <x:c r="F44" s="126" t="str">
        <x:f>IF(D44="","",D44*E44)</x:f>
      </x:c>
      <x:c r="G44" s="124" t="str">
        <x:f>IF(A44="","",SUMIFS('04 Movimientos'!$J:$J,'04 Movimientos'!$C:$C,A44))</x:f>
      </x:c>
      <x:c r="H44" s="124" t="str">
        <x:f>IF(A44="","",IF(ROW()=6,0,SUMIFS($D$6:D43,$A$6:A43,A44)))</x:f>
      </x:c>
      <x:c r="I44" s="124" t="str">
        <x:f>IF(A44="","",MAX(0,D44-MAX(0,G44-H44)))</x:f>
      </x:c>
      <x:c r="J44" s="126" t="str">
        <x:f>IF(A44="","",I44*E44)</x:f>
      </x:c>
    </x:row>
    <x:row r="45">
      <x:c r="A45" s="128"/>
      <x:c r="B45" s="128"/>
      <x:c r="C45" s="130"/>
      <x:c r="D45" s="132"/>
      <x:c r="E45" s="134"/>
      <x:c r="F45" s="126" t="str">
        <x:f>IF(D45="","",D45*E45)</x:f>
      </x:c>
      <x:c r="G45" s="124" t="str">
        <x:f>IF(A45="","",SUMIFS('04 Movimientos'!$J:$J,'04 Movimientos'!$C:$C,A45))</x:f>
      </x:c>
      <x:c r="H45" s="124" t="str">
        <x:f>IF(A45="","",IF(ROW()=6,0,SUMIFS($D$6:D44,$A$6:A44,A45)))</x:f>
      </x:c>
      <x:c r="I45" s="124" t="str">
        <x:f>IF(A45="","",MAX(0,D45-MAX(0,G45-H45)))</x:f>
      </x:c>
      <x:c r="J45" s="126" t="str">
        <x:f>IF(A45="","",I45*E45)</x:f>
      </x:c>
    </x:row>
    <x:row r="46">
      <x:c r="A46" s="128"/>
      <x:c r="B46" s="128"/>
      <x:c r="C46" s="130"/>
      <x:c r="D46" s="132"/>
      <x:c r="E46" s="134"/>
      <x:c r="F46" s="126" t="str">
        <x:f>IF(D46="","",D46*E46)</x:f>
      </x:c>
      <x:c r="G46" s="124" t="str">
        <x:f>IF(A46="","",SUMIFS('04 Movimientos'!$J:$J,'04 Movimientos'!$C:$C,A46))</x:f>
      </x:c>
      <x:c r="H46" s="124" t="str">
        <x:f>IF(A46="","",IF(ROW()=6,0,SUMIFS($D$6:D45,$A$6:A45,A46)))</x:f>
      </x:c>
      <x:c r="I46" s="124" t="str">
        <x:f>IF(A46="","",MAX(0,D46-MAX(0,G46-H46)))</x:f>
      </x:c>
      <x:c r="J46" s="126" t="str">
        <x:f>IF(A46="","",I46*E46)</x:f>
      </x:c>
    </x:row>
    <x:row r="47">
      <x:c r="A47" s="128"/>
      <x:c r="B47" s="128"/>
      <x:c r="C47" s="130"/>
      <x:c r="D47" s="132"/>
      <x:c r="E47" s="134"/>
      <x:c r="F47" s="126" t="str">
        <x:f>IF(D47="","",D47*E47)</x:f>
      </x:c>
      <x:c r="G47" s="124" t="str">
        <x:f>IF(A47="","",SUMIFS('04 Movimientos'!$J:$J,'04 Movimientos'!$C:$C,A47))</x:f>
      </x:c>
      <x:c r="H47" s="124" t="str">
        <x:f>IF(A47="","",IF(ROW()=6,0,SUMIFS($D$6:D46,$A$6:A46,A47)))</x:f>
      </x:c>
      <x:c r="I47" s="124" t="str">
        <x:f>IF(A47="","",MAX(0,D47-MAX(0,G47-H47)))</x:f>
      </x:c>
      <x:c r="J47" s="126" t="str">
        <x:f>IF(A47="","",I47*E47)</x:f>
      </x:c>
    </x:row>
    <x:row r="48">
      <x:c r="A48" s="128"/>
      <x:c r="B48" s="128"/>
      <x:c r="C48" s="130"/>
      <x:c r="D48" s="132"/>
      <x:c r="E48" s="134"/>
      <x:c r="F48" s="126" t="str">
        <x:f>IF(D48="","",D48*E48)</x:f>
      </x:c>
      <x:c r="G48" s="124" t="str">
        <x:f>IF(A48="","",SUMIFS('04 Movimientos'!$J:$J,'04 Movimientos'!$C:$C,A48))</x:f>
      </x:c>
      <x:c r="H48" s="124" t="str">
        <x:f>IF(A48="","",IF(ROW()=6,0,SUMIFS($D$6:D47,$A$6:A47,A48)))</x:f>
      </x:c>
      <x:c r="I48" s="124" t="str">
        <x:f>IF(A48="","",MAX(0,D48-MAX(0,G48-H48)))</x:f>
      </x:c>
      <x:c r="J48" s="126" t="str">
        <x:f>IF(A48="","",I48*E48)</x:f>
      </x:c>
    </x:row>
    <x:row r="49">
      <x:c r="A49" s="128"/>
      <x:c r="B49" s="128"/>
      <x:c r="C49" s="130"/>
      <x:c r="D49" s="132"/>
      <x:c r="E49" s="134"/>
      <x:c r="F49" s="126" t="str">
        <x:f>IF(D49="","",D49*E49)</x:f>
      </x:c>
      <x:c r="G49" s="124" t="str">
        <x:f>IF(A49="","",SUMIFS('04 Movimientos'!$J:$J,'04 Movimientos'!$C:$C,A49))</x:f>
      </x:c>
      <x:c r="H49" s="124" t="str">
        <x:f>IF(A49="","",IF(ROW()=6,0,SUMIFS($D$6:D48,$A$6:A48,A49)))</x:f>
      </x:c>
      <x:c r="I49" s="124" t="str">
        <x:f>IF(A49="","",MAX(0,D49-MAX(0,G49-H49)))</x:f>
      </x:c>
      <x:c r="J49" s="126" t="str">
        <x:f>IF(A49="","",I49*E49)</x:f>
      </x:c>
    </x:row>
    <x:row r="50">
      <x:c r="A50" s="128"/>
      <x:c r="B50" s="128"/>
      <x:c r="C50" s="130"/>
      <x:c r="D50" s="132"/>
      <x:c r="E50" s="134"/>
      <x:c r="F50" s="126" t="str">
        <x:f>IF(D50="","",D50*E50)</x:f>
      </x:c>
      <x:c r="G50" s="124" t="str">
        <x:f>IF(A50="","",SUMIFS('04 Movimientos'!$J:$J,'04 Movimientos'!$C:$C,A50))</x:f>
      </x:c>
      <x:c r="H50" s="124" t="str">
        <x:f>IF(A50="","",IF(ROW()=6,0,SUMIFS($D$6:D49,$A$6:A49,A50)))</x:f>
      </x:c>
      <x:c r="I50" s="124" t="str">
        <x:f>IF(A50="","",MAX(0,D50-MAX(0,G50-H50)))</x:f>
      </x:c>
      <x:c r="J50" s="126" t="str">
        <x:f>IF(A50="","",I50*E50)</x:f>
      </x:c>
    </x:row>
    <x:row r="51">
      <x:c r="A51" s="128"/>
      <x:c r="B51" s="128"/>
      <x:c r="C51" s="130"/>
      <x:c r="D51" s="132"/>
      <x:c r="E51" s="134"/>
      <x:c r="F51" s="126" t="str">
        <x:f>IF(D51="","",D51*E51)</x:f>
      </x:c>
      <x:c r="G51" s="124" t="str">
        <x:f>IF(A51="","",SUMIFS('04 Movimientos'!$J:$J,'04 Movimientos'!$C:$C,A51))</x:f>
      </x:c>
      <x:c r="H51" s="124" t="str">
        <x:f>IF(A51="","",IF(ROW()=6,0,SUMIFS($D$6:D50,$A$6:A50,A51)))</x:f>
      </x:c>
      <x:c r="I51" s="124" t="str">
        <x:f>IF(A51="","",MAX(0,D51-MAX(0,G51-H51)))</x:f>
      </x:c>
      <x:c r="J51" s="126" t="str">
        <x:f>IF(A51="","",I51*E51)</x:f>
      </x:c>
    </x:row>
    <x:row r="52">
      <x:c r="A52" s="128"/>
      <x:c r="B52" s="128"/>
      <x:c r="C52" s="130"/>
      <x:c r="D52" s="132"/>
      <x:c r="E52" s="134"/>
      <x:c r="F52" s="126" t="str">
        <x:f>IF(D52="","",D52*E52)</x:f>
      </x:c>
      <x:c r="G52" s="124" t="str">
        <x:f>IF(A52="","",SUMIFS('04 Movimientos'!$J:$J,'04 Movimientos'!$C:$C,A52))</x:f>
      </x:c>
      <x:c r="H52" s="124" t="str">
        <x:f>IF(A52="","",IF(ROW()=6,0,SUMIFS($D$6:D51,$A$6:A51,A52)))</x:f>
      </x:c>
      <x:c r="I52" s="124" t="str">
        <x:f>IF(A52="","",MAX(0,D52-MAX(0,G52-H52)))</x:f>
      </x:c>
      <x:c r="J52" s="126" t="str">
        <x:f>IF(A52="","",I52*E52)</x:f>
      </x:c>
    </x:row>
    <x:row r="53">
      <x:c r="A53" s="128"/>
      <x:c r="B53" s="128"/>
      <x:c r="C53" s="130"/>
      <x:c r="D53" s="132"/>
      <x:c r="E53" s="134"/>
      <x:c r="F53" s="126" t="str">
        <x:f>IF(D53="","",D53*E53)</x:f>
      </x:c>
      <x:c r="G53" s="124" t="str">
        <x:f>IF(A53="","",SUMIFS('04 Movimientos'!$J:$J,'04 Movimientos'!$C:$C,A53))</x:f>
      </x:c>
      <x:c r="H53" s="124" t="str">
        <x:f>IF(A53="","",IF(ROW()=6,0,SUMIFS($D$6:D52,$A$6:A52,A53)))</x:f>
      </x:c>
      <x:c r="I53" s="124" t="str">
        <x:f>IF(A53="","",MAX(0,D53-MAX(0,G53-H53)))</x:f>
      </x:c>
      <x:c r="J53" s="126" t="str">
        <x:f>IF(A53="","",I53*E53)</x:f>
      </x:c>
    </x:row>
    <x:row r="54">
      <x:c r="A54" s="128"/>
      <x:c r="B54" s="128"/>
      <x:c r="C54" s="130"/>
      <x:c r="D54" s="132"/>
      <x:c r="E54" s="134"/>
      <x:c r="F54" s="126" t="str">
        <x:f>IF(D54="","",D54*E54)</x:f>
      </x:c>
      <x:c r="G54" s="124" t="str">
        <x:f>IF(A54="","",SUMIFS('04 Movimientos'!$J:$J,'04 Movimientos'!$C:$C,A54))</x:f>
      </x:c>
      <x:c r="H54" s="124" t="str">
        <x:f>IF(A54="","",IF(ROW()=6,0,SUMIFS($D$6:D53,$A$6:A53,A54)))</x:f>
      </x:c>
      <x:c r="I54" s="124" t="str">
        <x:f>IF(A54="","",MAX(0,D54-MAX(0,G54-H54)))</x:f>
      </x:c>
      <x:c r="J54" s="126" t="str">
        <x:f>IF(A54="","",I54*E54)</x:f>
      </x:c>
    </x:row>
    <x:row r="55">
      <x:c r="A55" s="128"/>
      <x:c r="B55" s="128"/>
      <x:c r="C55" s="130"/>
      <x:c r="D55" s="132"/>
      <x:c r="E55" s="134"/>
      <x:c r="F55" s="126" t="str">
        <x:f>IF(D55="","",D55*E55)</x:f>
      </x:c>
      <x:c r="G55" s="124" t="str">
        <x:f>IF(A55="","",SUMIFS('04 Movimientos'!$J:$J,'04 Movimientos'!$C:$C,A55))</x:f>
      </x:c>
      <x:c r="H55" s="124" t="str">
        <x:f>IF(A55="","",IF(ROW()=6,0,SUMIFS($D$6:D54,$A$6:A54,A55)))</x:f>
      </x:c>
      <x:c r="I55" s="124" t="str">
        <x:f>IF(A55="","",MAX(0,D55-MAX(0,G55-H55)))</x:f>
      </x:c>
      <x:c r="J55" s="126" t="str">
        <x:f>IF(A55="","",I55*E55)</x:f>
      </x:c>
    </x:row>
    <x:row r="56">
      <x:c r="A56" s="128"/>
      <x:c r="B56" s="128"/>
      <x:c r="C56" s="130"/>
      <x:c r="D56" s="132"/>
      <x:c r="E56" s="134"/>
      <x:c r="F56" s="126" t="str">
        <x:f>IF(D56="","",D56*E56)</x:f>
      </x:c>
      <x:c r="G56" s="124" t="str">
        <x:f>IF(A56="","",SUMIFS('04 Movimientos'!$J:$J,'04 Movimientos'!$C:$C,A56))</x:f>
      </x:c>
      <x:c r="H56" s="124" t="str">
        <x:f>IF(A56="","",IF(ROW()=6,0,SUMIFS($D$6:D55,$A$6:A55,A56)))</x:f>
      </x:c>
      <x:c r="I56" s="124" t="str">
        <x:f>IF(A56="","",MAX(0,D56-MAX(0,G56-H56)))</x:f>
      </x:c>
      <x:c r="J56" s="126" t="str">
        <x:f>IF(A56="","",I56*E56)</x:f>
      </x:c>
    </x:row>
    <x:row r="57">
      <x:c r="A57" s="128"/>
      <x:c r="B57" s="128"/>
      <x:c r="C57" s="130"/>
      <x:c r="D57" s="132"/>
      <x:c r="E57" s="134"/>
      <x:c r="F57" s="126" t="str">
        <x:f>IF(D57="","",D57*E57)</x:f>
      </x:c>
      <x:c r="G57" s="124" t="str">
        <x:f>IF(A57="","",SUMIFS('04 Movimientos'!$J:$J,'04 Movimientos'!$C:$C,A57))</x:f>
      </x:c>
      <x:c r="H57" s="124" t="str">
        <x:f>IF(A57="","",IF(ROW()=6,0,SUMIFS($D$6:D56,$A$6:A56,A57)))</x:f>
      </x:c>
      <x:c r="I57" s="124" t="str">
        <x:f>IF(A57="","",MAX(0,D57-MAX(0,G57-H57)))</x:f>
      </x:c>
      <x:c r="J57" s="126" t="str">
        <x:f>IF(A57="","",I57*E57)</x:f>
      </x:c>
    </x:row>
    <x:row r="58">
      <x:c r="A58" s="128"/>
      <x:c r="B58" s="128"/>
      <x:c r="C58" s="130"/>
      <x:c r="D58" s="132"/>
      <x:c r="E58" s="134"/>
      <x:c r="F58" s="126" t="str">
        <x:f>IF(D58="","",D58*E58)</x:f>
      </x:c>
      <x:c r="G58" s="124" t="str">
        <x:f>IF(A58="","",SUMIFS('04 Movimientos'!$J:$J,'04 Movimientos'!$C:$C,A58))</x:f>
      </x:c>
      <x:c r="H58" s="124" t="str">
        <x:f>IF(A58="","",IF(ROW()=6,0,SUMIFS($D$6:D57,$A$6:A57,A58)))</x:f>
      </x:c>
      <x:c r="I58" s="124" t="str">
        <x:f>IF(A58="","",MAX(0,D58-MAX(0,G58-H58)))</x:f>
      </x:c>
      <x:c r="J58" s="126" t="str">
        <x:f>IF(A58="","",I58*E58)</x:f>
      </x:c>
    </x:row>
    <x:row r="59">
      <x:c r="A59" s="128"/>
      <x:c r="B59" s="128"/>
      <x:c r="C59" s="130"/>
      <x:c r="D59" s="132"/>
      <x:c r="E59" s="134"/>
      <x:c r="F59" s="126" t="str">
        <x:f>IF(D59="","",D59*E59)</x:f>
      </x:c>
      <x:c r="G59" s="124" t="str">
        <x:f>IF(A59="","",SUMIFS('04 Movimientos'!$J:$J,'04 Movimientos'!$C:$C,A59))</x:f>
      </x:c>
      <x:c r="H59" s="124" t="str">
        <x:f>IF(A59="","",IF(ROW()=6,0,SUMIFS($D$6:D58,$A$6:A58,A59)))</x:f>
      </x:c>
      <x:c r="I59" s="124" t="str">
        <x:f>IF(A59="","",MAX(0,D59-MAX(0,G59-H59)))</x:f>
      </x:c>
      <x:c r="J59" s="126" t="str">
        <x:f>IF(A59="","",I59*E59)</x:f>
      </x:c>
    </x:row>
    <x:row r="60">
      <x:c r="A60" s="128"/>
      <x:c r="B60" s="128"/>
      <x:c r="C60" s="130"/>
      <x:c r="D60" s="132"/>
      <x:c r="E60" s="134"/>
      <x:c r="F60" s="126" t="str">
        <x:f>IF(D60="","",D60*E60)</x:f>
      </x:c>
      <x:c r="G60" s="124" t="str">
        <x:f>IF(A60="","",SUMIFS('04 Movimientos'!$J:$J,'04 Movimientos'!$C:$C,A60))</x:f>
      </x:c>
      <x:c r="H60" s="124" t="str">
        <x:f>IF(A60="","",IF(ROW()=6,0,SUMIFS($D$6:D59,$A$6:A59,A60)))</x:f>
      </x:c>
      <x:c r="I60" s="124" t="str">
        <x:f>IF(A60="","",MAX(0,D60-MAX(0,G60-H60)))</x:f>
      </x:c>
      <x:c r="J60" s="126" t="str">
        <x:f>IF(A60="","",I60*E60)</x:f>
      </x:c>
    </x:row>
    <x:row r="61">
      <x:c r="A61" s="128"/>
      <x:c r="B61" s="128"/>
      <x:c r="C61" s="130"/>
      <x:c r="D61" s="132"/>
      <x:c r="E61" s="134"/>
      <x:c r="F61" s="126" t="str">
        <x:f>IF(D61="","",D61*E61)</x:f>
      </x:c>
      <x:c r="G61" s="124" t="str">
        <x:f>IF(A61="","",SUMIFS('04 Movimientos'!$J:$J,'04 Movimientos'!$C:$C,A61))</x:f>
      </x:c>
      <x:c r="H61" s="124" t="str">
        <x:f>IF(A61="","",IF(ROW()=6,0,SUMIFS($D$6:D60,$A$6:A60,A61)))</x:f>
      </x:c>
      <x:c r="I61" s="124" t="str">
        <x:f>IF(A61="","",MAX(0,D61-MAX(0,G61-H61)))</x:f>
      </x:c>
      <x:c r="J61" s="126" t="str">
        <x:f>IF(A61="","",I61*E61)</x:f>
      </x:c>
    </x:row>
    <x:row r="62">
      <x:c r="A62" s="128"/>
      <x:c r="B62" s="128"/>
      <x:c r="C62" s="130"/>
      <x:c r="D62" s="132"/>
      <x:c r="E62" s="134"/>
      <x:c r="F62" s="126" t="str">
        <x:f>IF(D62="","",D62*E62)</x:f>
      </x:c>
      <x:c r="G62" s="124" t="str">
        <x:f>IF(A62="","",SUMIFS('04 Movimientos'!$J:$J,'04 Movimientos'!$C:$C,A62))</x:f>
      </x:c>
      <x:c r="H62" s="124" t="str">
        <x:f>IF(A62="","",IF(ROW()=6,0,SUMIFS($D$6:D61,$A$6:A61,A62)))</x:f>
      </x:c>
      <x:c r="I62" s="124" t="str">
        <x:f>IF(A62="","",MAX(0,D62-MAX(0,G62-H62)))</x:f>
      </x:c>
      <x:c r="J62" s="126" t="str">
        <x:f>IF(A62="","",I62*E62)</x:f>
      </x:c>
    </x:row>
    <x:row r="63">
      <x:c r="A63" s="128"/>
      <x:c r="B63" s="128"/>
      <x:c r="C63" s="130"/>
      <x:c r="D63" s="132"/>
      <x:c r="E63" s="134"/>
      <x:c r="F63" s="126" t="str">
        <x:f>IF(D63="","",D63*E63)</x:f>
      </x:c>
      <x:c r="G63" s="124" t="str">
        <x:f>IF(A63="","",SUMIFS('04 Movimientos'!$J:$J,'04 Movimientos'!$C:$C,A63))</x:f>
      </x:c>
      <x:c r="H63" s="124" t="str">
        <x:f>IF(A63="","",IF(ROW()=6,0,SUMIFS($D$6:D62,$A$6:A62,A63)))</x:f>
      </x:c>
      <x:c r="I63" s="124" t="str">
        <x:f>IF(A63="","",MAX(0,D63-MAX(0,G63-H63)))</x:f>
      </x:c>
      <x:c r="J63" s="126" t="str">
        <x:f>IF(A63="","",I63*E63)</x:f>
      </x:c>
    </x:row>
    <x:row r="64">
      <x:c r="A64" s="128"/>
      <x:c r="B64" s="128"/>
      <x:c r="C64" s="130"/>
      <x:c r="D64" s="132"/>
      <x:c r="E64" s="134"/>
      <x:c r="F64" s="126" t="str">
        <x:f>IF(D64="","",D64*E64)</x:f>
      </x:c>
      <x:c r="G64" s="124" t="str">
        <x:f>IF(A64="","",SUMIFS('04 Movimientos'!$J:$J,'04 Movimientos'!$C:$C,A64))</x:f>
      </x:c>
      <x:c r="H64" s="124" t="str">
        <x:f>IF(A64="","",IF(ROW()=6,0,SUMIFS($D$6:D63,$A$6:A63,A64)))</x:f>
      </x:c>
      <x:c r="I64" s="124" t="str">
        <x:f>IF(A64="","",MAX(0,D64-MAX(0,G64-H64)))</x:f>
      </x:c>
      <x:c r="J64" s="126" t="str">
        <x:f>IF(A64="","",I64*E64)</x:f>
      </x:c>
    </x:row>
    <x:row r="65">
      <x:c r="A65" s="128"/>
      <x:c r="B65" s="128"/>
      <x:c r="C65" s="130"/>
      <x:c r="D65" s="132"/>
      <x:c r="E65" s="134"/>
      <x:c r="F65" s="126" t="str">
        <x:f>IF(D65="","",D65*E65)</x:f>
      </x:c>
      <x:c r="G65" s="124" t="str">
        <x:f>IF(A65="","",SUMIFS('04 Movimientos'!$J:$J,'04 Movimientos'!$C:$C,A65))</x:f>
      </x:c>
      <x:c r="H65" s="124" t="str">
        <x:f>IF(A65="","",IF(ROW()=6,0,SUMIFS($D$6:D64,$A$6:A64,A65)))</x:f>
      </x:c>
      <x:c r="I65" s="124" t="str">
        <x:f>IF(A65="","",MAX(0,D65-MAX(0,G65-H65)))</x:f>
      </x:c>
      <x:c r="J65" s="126" t="str">
        <x:f>IF(A65="","",I65*E65)</x:f>
      </x:c>
    </x:row>
  </x:sheetData>
  <x:mergeCells>
    <x:mergeCell ref="A1:J1"/>
    <x:mergeCell ref="A2:J2"/>
  </x:mergeCells>
  <x:dataValidations count="1">
    <x:dataValidation type="list" sqref="A6:A65">
      <x:formula1>'03 Productos'!$A$5:$A$79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f172f0625b422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6" customHeight="1">
      <x:c r="A1" s="150" t="str">
        <x:v>Dashboard ejecutivo de inventario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8" customHeight="1">
      <x:c r="A2" s="156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4">
      <x:c r="A4" s="139" t="str">
        <x:f>"Productos activos"&amp;CHAR(10)&amp;TEXT(COUNTIF('03 Productos'!$M$5:$M$79,"Sí"),"#,##0")</x:f>
        <x:v>Productos activos
6</x:v>
      </x:c>
      <x:c r="B4" s="153"/>
      <x:c r="C4" s="153"/>
      <x:c r="D4" s="139" t="str">
        <x:f>"Valor inventario"&amp;CHAR(10)&amp;TEXT(SUM('05 Inventario'!$M$5:$M$79),"$#,##0")</x:f>
        <x:v>Valor inventario
$96,616</x:v>
      </x:c>
      <x:c r="E4" s="153"/>
      <x:c r="F4" s="153"/>
      <x:c r="G4" s="139" t="str">
        <x:f>"SKUs críticos"&amp;CHAR(10)&amp;TEXT(COUNTIF('05 Inventario'!$N$5:$N$79,"Crítico")+COUNTIF('05 Inventario'!$N$5:$N$79,"Sin stock"),"#,##0")</x:f>
        <x:v>SKUs críticos
1</x:v>
      </x:c>
      <x:c r="H4" s="153"/>
      <x:c r="I4" s="153"/>
      <x:c r="J4" s="139" t="str">
        <x:f>"SKUs reordenar"&amp;CHAR(10)&amp;TEXT(COUNTIF('05 Inventario'!$N$5:$N$79,"Reordenar"),"#,##0")</x:f>
        <x:v>SKUs reordenar
1</x:v>
      </x:c>
      <x:c r="K4" s="153"/>
      <x:c r="L4" s="153"/>
    </x:row>
    <x:row r="5">
      <x:c r="A5" s="153"/>
      <x:c r="B5" s="153"/>
      <x:c r="C5" s="153"/>
      <x:c r="D5" s="153"/>
      <x:c r="E5" s="153"/>
      <x:c r="F5" s="153"/>
      <x:c r="G5" s="153"/>
      <x:c r="H5" s="153"/>
      <x:c r="I5" s="153"/>
      <x:c r="J5" s="153"/>
      <x:c r="K5" s="153"/>
      <x:c r="L5" s="153"/>
    </x:row>
    <x:row r="6">
      <x:c r="A6" s="153"/>
      <x:c r="B6" s="153"/>
      <x:c r="C6" s="153"/>
      <x:c r="D6" s="153"/>
      <x:c r="E6" s="153"/>
      <x:c r="F6" s="153"/>
      <x:c r="G6" s="153"/>
      <x:c r="H6" s="153"/>
      <x:c r="I6" s="153"/>
      <x:c r="J6" s="153"/>
      <x:c r="K6" s="153"/>
      <x:c r="L6" s="153"/>
    </x:row>
    <x:row r="7">
      <x:c r="A7" s="153"/>
      <x:c r="B7" s="153"/>
      <x:c r="C7" s="153"/>
      <x:c r="D7" s="153"/>
      <x:c r="E7" s="153"/>
      <x:c r="F7" s="153"/>
      <x:c r="G7" s="153"/>
      <x:c r="H7" s="153"/>
      <x:c r="I7" s="153"/>
      <x:c r="J7" s="153"/>
      <x:c r="K7" s="153"/>
      <x:c r="L7" s="153"/>
    </x:row>
    <x:row r="8">
      <x:c r="A8" s="153"/>
      <x:c r="B8" s="153"/>
      <x:c r="C8" s="153"/>
      <x:c r="D8" s="153"/>
      <x:c r="E8" s="153"/>
      <x:c r="F8" s="153"/>
      <x:c r="G8" s="153"/>
      <x:c r="H8" s="153"/>
      <x:c r="I8" s="153"/>
      <x:c r="J8" s="153"/>
      <x:c r="K8" s="153"/>
      <x:c r="L8" s="153"/>
    </x:row>
    <x:row r="9">
      <x:c r="A9" s="139" t="str">
        <x:f>"Sobre stock"&amp;CHAR(10)&amp;TEXT(COUNTIF('05 Inventario'!$N$5:$N$79,"Sobre stock"),"#,##0")</x:f>
        <x:v>Sobre stock
0</x:v>
      </x:c>
      <x:c r="B9" s="153"/>
      <x:c r="C9" s="153"/>
      <x:c r="D9" s="139" t="str">
        <x:f>"Entrada total"&amp;CHAR(10)&amp;TEXT(SUM('04 Movimientos'!$I$5:$I$184),"#,##0")</x:f>
        <x:v>Entrada total
99</x:v>
      </x:c>
      <x:c r="E9" s="153"/>
      <x:c r="F9" s="153"/>
      <x:c r="G9" s="139" t="str">
        <x:f>"Salida total"&amp;CHAR(10)&amp;TEXT(SUM('04 Movimientos'!$J$5:$J$184),"#,##0")</x:f>
        <x:v>Salida total
90</x:v>
      </x:c>
      <x:c r="H9" s="153"/>
      <x:c r="I9" s="153"/>
      <x:c r="J9" s="139" t="str">
        <x:f>"Valor salida"&amp;CHAR(10)&amp;TEXT(SUMIFS('04 Movimientos'!$K$5:$K$184,'04 Movimientos'!$B$5:$B$184,"Salida"),"$#,##0")</x:f>
        <x:v>Valor salida
$9,780</x:v>
      </x:c>
      <x:c r="K9" s="153"/>
      <x:c r="L9" s="153"/>
    </x:row>
    <x:row r="10">
      <x:c r="A10" s="153"/>
      <x:c r="B10" s="153"/>
      <x:c r="C10" s="153"/>
      <x:c r="D10" s="153"/>
      <x:c r="E10" s="153"/>
      <x:c r="F10" s="153"/>
      <x:c r="G10" s="153"/>
      <x:c r="H10" s="153"/>
      <x:c r="I10" s="153"/>
      <x:c r="J10" s="153"/>
      <x:c r="K10" s="153"/>
      <x:c r="L10" s="153"/>
    </x:row>
    <x:row r="11">
      <x:c r="A11" s="153"/>
      <x:c r="B11" s="153"/>
      <x:c r="C11" s="153"/>
      <x:c r="D11" s="153"/>
      <x:c r="E11" s="153"/>
      <x:c r="F11" s="153"/>
      <x:c r="G11" s="153"/>
      <x:c r="H11" s="153"/>
      <x:c r="I11" s="153"/>
      <x:c r="J11" s="153"/>
      <x:c r="K11" s="153"/>
      <x:c r="L11" s="153"/>
    </x:row>
    <x:row r="12">
      <x:c r="A12" s="153"/>
      <x:c r="B12" s="153"/>
      <x:c r="C12" s="153"/>
      <x:c r="D12" s="153"/>
      <x:c r="E12" s="153"/>
      <x:c r="F12" s="153"/>
      <x:c r="G12" s="153"/>
      <x:c r="H12" s="153"/>
      <x:c r="I12" s="153"/>
      <x:c r="J12" s="153"/>
      <x:c r="K12" s="153"/>
      <x:c r="L12" s="153"/>
    </x:row>
    <x:row r="15" ht="24" customHeight="1">
      <x:c r="A15" s="158" t="str">
        <x:v>Valor por categoría</x:v>
      </x:c>
      <x:c r="D15" s="158" t="str">
        <x:v>Estado del stock</x:v>
      </x:c>
      <x:c r="G15" s="158" t="str">
        <x:v>Top productos por valor</x:v>
      </x:c>
    </x:row>
    <x:row r="16" ht="26" customHeight="1">
      <x:c r="A16" s="66" t="str">
        <x:v>Categoría</x:v>
      </x:c>
      <x:c r="B16" s="66" t="str">
        <x:v>Valor</x:v>
      </x:c>
      <x:c r="D16" s="66" t="str">
        <x:v>Estado</x:v>
      </x:c>
      <x:c r="E16" s="66" t="str">
        <x:v>SKUs</x:v>
      </x:c>
      <x:c r="G16" s="66" t="str">
        <x:v>SKU</x:v>
      </x:c>
      <x:c r="H16" s="66" t="str">
        <x:v>Producto</x:v>
      </x:c>
      <x:c r="I16" s="66" t="str">
        <x:v>Valor</x:v>
      </x:c>
    </x:row>
    <x:row r="17">
      <x:c r="A17" s="78" t="str">
        <x:v>Materia prima</x:v>
      </x:c>
      <x:c r="B17" s="144" t="n">
        <x:f>SUMIFS('05 Inventario'!$M:$M,'05 Inventario'!$C:$C,A17)</x:f>
        <x:v>0</x:v>
      </x:c>
      <x:c r="D17" s="36" t="str">
        <x:v>Sin stock</x:v>
      </x:c>
      <x:c r="E17" s="36" t="n">
        <x:f>COUNTIF('05 Inventario'!$N:$N,D17)</x:f>
        <x:v>0</x:v>
      </x:c>
      <x:c r="G17" s="78" t="str">
        <x:f>IF($I17="","",INDEX('05 Inventario'!$A$5:$A$79,MATCH($I17,'05 Inventario'!$M$5:$M$79,0)))</x:f>
        <x:v>SKU-001</x:v>
      </x:c>
      <x:c r="H17" s="78" t="str">
        <x:f>IF($G17="","",INDEX('05 Inventario'!$B$5:$B$79,MATCH($G17,'05 Inventario'!$A$5:$A$79,0)))</x:f>
        <x:v>Laptop administrativa</x:v>
      </x:c>
      <x:c r="I17" s="144" t="n">
        <x:f>IFERROR(LARGE('05 Inventario'!$M$5:$M$79,1),"")</x:f>
        <x:v>50000</x:v>
      </x:c>
    </x:row>
    <x:row r="18">
      <x:c r="A18" s="78" t="str">
        <x:v>Producto terminado</x:v>
      </x:c>
      <x:c r="B18" s="144" t="n">
        <x:f>SUMIFS('05 Inventario'!$M:$M,'05 Inventario'!$C:$C,A18)</x:f>
        <x:v>0</x:v>
      </x:c>
      <x:c r="D18" s="36" t="str">
        <x:v>Crítico</x:v>
      </x:c>
      <x:c r="E18" s="36" t="n">
        <x:f>COUNTIF('05 Inventario'!$N:$N,D18)</x:f>
        <x:v>1</x:v>
      </x:c>
      <x:c r="G18" s="78" t="str">
        <x:f>IF($I18="","",INDEX('05 Inventario'!$A$5:$A$79,MATCH($I18,'05 Inventario'!$M$5:$M$79,0)))</x:f>
        <x:v>SKU-006</x:v>
      </x:c>
      <x:c r="H18" s="78" t="str">
        <x:f>IF($G18="","",INDEX('05 Inventario'!$B$5:$B$79,MATCH($G18,'05 Inventario'!$A$5:$A$79,0)))</x:f>
        <x:v>Etiqueta adhesiva</x:v>
      </x:c>
      <x:c r="I18" s="144" t="n">
        <x:f>IFERROR(LARGE('05 Inventario'!$M$5:$M$79,2),"")</x:f>
        <x:v>14960</x:v>
      </x:c>
    </x:row>
    <x:row r="19">
      <x:c r="A19" s="78" t="str">
        <x:v>Insumos</x:v>
      </x:c>
      <x:c r="B19" s="144" t="n">
        <x:f>SUMIFS('05 Inventario'!$M:$M,'05 Inventario'!$C:$C,A19)</x:f>
        <x:v>3240</x:v>
      </x:c>
      <x:c r="D19" s="36" t="str">
        <x:v>Reordenar</x:v>
      </x:c>
      <x:c r="E19" s="36" t="n">
        <x:f>COUNTIF('05 Inventario'!$N:$N,D19)</x:f>
        <x:v>1</x:v>
      </x:c>
      <x:c r="G19" s="78" t="str">
        <x:f>IF($I19="","",INDEX('05 Inventario'!$A$5:$A$79,MATCH($I19,'05 Inventario'!$M$5:$M$79,0)))</x:f>
        <x:v>SKU-005</x:v>
      </x:c>
      <x:c r="H19" s="78" t="str">
        <x:f>IF($G19="","",INDEX('05 Inventario'!$B$5:$B$79,MATCH($G19,'05 Inventario'!$A$5:$A$79,0)))</x:f>
        <x:v>Refacción crítica</x:v>
      </x:c>
      <x:c r="I19" s="144" t="n">
        <x:f>IFERROR(LARGE('05 Inventario'!$M$5:$M$79,3),"")</x:f>
        <x:v>14260</x:v>
      </x:c>
    </x:row>
    <x:row r="20">
      <x:c r="A20" s="78" t="str">
        <x:v>Empaque</x:v>
      </x:c>
      <x:c r="B20" s="144" t="n">
        <x:f>SUMIFS('05 Inventario'!$M:$M,'05 Inventario'!$C:$C,A20)</x:f>
        <x:v>16060</x:v>
      </x:c>
      <x:c r="D20" s="36" t="str">
        <x:v>OK</x:v>
      </x:c>
      <x:c r="E20" s="36" t="n">
        <x:f>COUNTIF('05 Inventario'!$N:$N,D20)</x:f>
        <x:v>4</x:v>
      </x:c>
      <x:c r="G20" s="78" t="str">
        <x:f>IF($I20="","",INDEX('05 Inventario'!$A$5:$A$79,MATCH($I20,'05 Inventario'!$M$5:$M$79,0)))</x:f>
        <x:v>SKU-002</x:v>
      </x:c>
      <x:c r="H20" s="78" t="str">
        <x:f>IF($G20="","",INDEX('05 Inventario'!$B$5:$B$79,MATCH($G20,'05 Inventario'!$A$5:$A$79,0)))</x:f>
        <x:v>Toner impresora</x:v>
      </x:c>
      <x:c r="I20" s="144" t="n">
        <x:f>IFERROR(LARGE('05 Inventario'!$M$5:$M$79,4),"")</x:f>
        <x:v>13056</x:v>
      </x:c>
    </x:row>
    <x:row r="21">
      <x:c r="A21" s="78" t="str">
        <x:v>Refacciones</x:v>
      </x:c>
      <x:c r="B21" s="144" t="n">
        <x:f>SUMIFS('05 Inventario'!$M:$M,'05 Inventario'!$C:$C,A21)</x:f>
        <x:v>14260</x:v>
      </x:c>
      <x:c r="D21" s="36" t="str">
        <x:v>Sobre stock</x:v>
      </x:c>
      <x:c r="E21" s="36" t="n">
        <x:f>COUNTIF('05 Inventario'!$N:$N,D21)</x:f>
        <x:v>0</x:v>
      </x:c>
      <x:c r="G21" s="78" t="str">
        <x:f>IF($I21="","",INDEX('05 Inventario'!$A$5:$A$79,MATCH($I21,'05 Inventario'!$M$5:$M$79,0)))</x:f>
        <x:v>SKU-004</x:v>
      </x:c>
      <x:c r="H21" s="78" t="str">
        <x:f>IF($G21="","",INDEX('05 Inventario'!$B$5:$B$79,MATCH($G21,'05 Inventario'!$A$5:$A$79,0)))</x:f>
        <x:v>Material promocional</x:v>
      </x:c>
      <x:c r="I21" s="144" t="n">
        <x:f>IFERROR(LARGE('05 Inventario'!$M$5:$M$79,5),"")</x:f>
        <x:v>3240</x:v>
      </x:c>
    </x:row>
    <x:row r="22">
      <x:c r="A22" s="78" t="str">
        <x:v>Consumibles</x:v>
      </x:c>
      <x:c r="B22" s="144" t="n">
        <x:f>SUMIFS('05 Inventario'!$M:$M,'05 Inventario'!$C:$C,A22)</x:f>
        <x:v>13056</x:v>
      </x:c>
      <x:c r="G22" s="78" t="str">
        <x:f>IF($I22="","",INDEX('05 Inventario'!$A$5:$A$79,MATCH($I22,'05 Inventario'!$M$5:$M$79,0)))</x:f>
        <x:v>SKU-003</x:v>
      </x:c>
      <x:c r="H22" s="78" t="str">
        <x:f>IF($G22="","",INDEX('05 Inventario'!$B$5:$B$79,MATCH($G22,'05 Inventario'!$A$5:$A$79,0)))</x:f>
        <x:v>Caja de empaque</x:v>
      </x:c>
      <x:c r="I22" s="144" t="n">
        <x:f>IFERROR(LARGE('05 Inventario'!$M$5:$M$79,6),"")</x:f>
        <x:v>1100</x:v>
      </x:c>
    </x:row>
    <x:row r="23">
      <x:c r="A23" s="78" t="str">
        <x:v>Equipo</x:v>
      </x:c>
      <x:c r="B23" s="144" t="n">
        <x:f>SUMIFS('05 Inventario'!$M:$M,'05 Inventario'!$C:$C,A23)</x:f>
        <x:v>50000</x:v>
      </x:c>
    </x:row>
    <x:row r="45" ht="24" customHeight="1">
      <x:c r="A45" s="56" t="str">
        <x:v>Movimiento mensual</x:v>
      </x:c>
    </x:row>
    <x:row r="46" ht="26" customHeight="1">
      <x:c r="A46" s="66" t="str">
        <x:v>Mes</x:v>
      </x:c>
      <x:c r="B46" s="66" t="str">
        <x:v>Entradas</x:v>
      </x:c>
      <x:c r="C46" s="66" t="str">
        <x:v>Salidas</x:v>
      </x:c>
      <x:c r="D46" s="66" t="str">
        <x:v>Valor movimiento</x:v>
      </x:c>
    </x:row>
    <x:row r="47">
      <x:c r="A47" s="36" t="str">
        <x:v>Enero</x:v>
      </x:c>
      <x:c r="B47" s="146" t="n">
        <x:f>SUMIFS('04 Movimientos'!$I$5:$I$184,'04 Movimientos'!$A$5:$A$184,"&gt;="&amp;DATE('02 Configuración'!$B$7,1,1),'04 Movimientos'!$A$5:$A$184,"&lt;"&amp;EDATE(DATE('02 Configuración'!$B$7,1,1),1))</x:f>
        <x:v>0</x:v>
      </x:c>
      <x:c r="C47" s="146" t="n">
        <x:f>SUMIFS('04 Movimientos'!$J$5:$J$184,'04 Movimientos'!$A$5:$A$184,"&gt;="&amp;DATE('02 Configuración'!$B$7,1,1),'04 Movimientos'!$A$5:$A$184,"&lt;"&amp;EDATE(DATE('02 Configuración'!$B$7,1,1),1))</x:f>
        <x:v>0</x:v>
      </x:c>
      <x:c r="D47" s="148" t="n">
        <x:f>SUMIFS('04 Movimientos'!$K$5:$K$184,'04 Movimientos'!$A$5:$A$184,"&gt;="&amp;DATE('02 Configuración'!$B$7,1,1),'04 Movimientos'!$A$5:$A$184,"&lt;"&amp;EDATE(DATE('02 Configuración'!$B$7,1,1),1))</x:f>
        <x:v>0</x:v>
      </x:c>
    </x:row>
    <x:row r="48">
      <x:c r="A48" s="36" t="str">
        <x:v>Febrero</x:v>
      </x:c>
      <x:c r="B48" s="146" t="n">
        <x:f>SUMIFS('04 Movimientos'!$I$5:$I$184,'04 Movimientos'!$A$5:$A$184,"&gt;="&amp;DATE('02 Configuración'!$B$7,2,1),'04 Movimientos'!$A$5:$A$184,"&lt;"&amp;EDATE(DATE('02 Configuración'!$B$7,2,1),1))</x:f>
        <x:v>0</x:v>
      </x:c>
      <x:c r="C48" s="146" t="n">
        <x:f>SUMIFS('04 Movimientos'!$J$5:$J$184,'04 Movimientos'!$A$5:$A$184,"&gt;="&amp;DATE('02 Configuración'!$B$7,2,1),'04 Movimientos'!$A$5:$A$184,"&lt;"&amp;EDATE(DATE('02 Configuración'!$B$7,2,1),1))</x:f>
        <x:v>0</x:v>
      </x:c>
      <x:c r="D48" s="148" t="n">
        <x:f>SUMIFS('04 Movimientos'!$K$5:$K$184,'04 Movimientos'!$A$5:$A$184,"&gt;="&amp;DATE('02 Configuración'!$B$7,2,1),'04 Movimientos'!$A$5:$A$184,"&lt;"&amp;EDATE(DATE('02 Configuración'!$B$7,2,1),1))</x:f>
        <x:v>0</x:v>
      </x:c>
    </x:row>
    <x:row r="49">
      <x:c r="A49" s="36" t="str">
        <x:v>Marzo</x:v>
      </x:c>
      <x:c r="B49" s="146" t="n">
        <x:f>SUMIFS('04 Movimientos'!$I$5:$I$184,'04 Movimientos'!$A$5:$A$184,"&gt;="&amp;DATE('02 Configuración'!$B$7,3,1),'04 Movimientos'!$A$5:$A$184,"&lt;"&amp;EDATE(DATE('02 Configuración'!$B$7,3,1),1))</x:f>
        <x:v>0</x:v>
      </x:c>
      <x:c r="C49" s="146" t="n">
        <x:f>SUMIFS('04 Movimientos'!$J$5:$J$184,'04 Movimientos'!$A$5:$A$184,"&gt;="&amp;DATE('02 Configuración'!$B$7,3,1),'04 Movimientos'!$A$5:$A$184,"&lt;"&amp;EDATE(DATE('02 Configuración'!$B$7,3,1),1))</x:f>
        <x:v>0</x:v>
      </x:c>
      <x:c r="D49" s="148" t="n">
        <x:f>SUMIFS('04 Movimientos'!$K$5:$K$184,'04 Movimientos'!$A$5:$A$184,"&gt;="&amp;DATE('02 Configuración'!$B$7,3,1),'04 Movimientos'!$A$5:$A$184,"&lt;"&amp;EDATE(DATE('02 Configuración'!$B$7,3,1),1))</x:f>
        <x:v>0</x:v>
      </x:c>
    </x:row>
    <x:row r="50">
      <x:c r="A50" s="36" t="str">
        <x:v>Abril</x:v>
      </x:c>
      <x:c r="B50" s="146" t="n">
        <x:f>SUMIFS('04 Movimientos'!$I$5:$I$184,'04 Movimientos'!$A$5:$A$184,"&gt;="&amp;DATE('02 Configuración'!$B$7,4,1),'04 Movimientos'!$A$5:$A$184,"&lt;"&amp;EDATE(DATE('02 Configuración'!$B$7,4,1),1))</x:f>
        <x:v>0</x:v>
      </x:c>
      <x:c r="C50" s="146" t="n">
        <x:f>SUMIFS('04 Movimientos'!$J$5:$J$184,'04 Movimientos'!$A$5:$A$184,"&gt;="&amp;DATE('02 Configuración'!$B$7,4,1),'04 Movimientos'!$A$5:$A$184,"&lt;"&amp;EDATE(DATE('02 Configuración'!$B$7,4,1),1))</x:f>
        <x:v>0</x:v>
      </x:c>
      <x:c r="D50" s="148" t="n">
        <x:f>SUMIFS('04 Movimientos'!$K$5:$K$184,'04 Movimientos'!$A$5:$A$184,"&gt;="&amp;DATE('02 Configuración'!$B$7,4,1),'04 Movimientos'!$A$5:$A$184,"&lt;"&amp;EDATE(DATE('02 Configuración'!$B$7,4,1),1))</x:f>
        <x:v>0</x:v>
      </x:c>
    </x:row>
    <x:row r="51">
      <x:c r="A51" s="36" t="str">
        <x:v>Mayo</x:v>
      </x:c>
      <x:c r="B51" s="146" t="n">
        <x:f>SUMIFS('04 Movimientos'!$I$5:$I$184,'04 Movimientos'!$A$5:$A$184,"&gt;="&amp;DATE('02 Configuración'!$B$7,5,1),'04 Movimientos'!$A$5:$A$184,"&lt;"&amp;EDATE(DATE('02 Configuración'!$B$7,5,1),1))</x:f>
        <x:v>99</x:v>
      </x:c>
      <x:c r="C51" s="146" t="n">
        <x:f>SUMIFS('04 Movimientos'!$J$5:$J$184,'04 Movimientos'!$A$5:$A$184,"&gt;="&amp;DATE('02 Configuración'!$B$7,5,1),'04 Movimientos'!$A$5:$A$184,"&lt;"&amp;EDATE(DATE('02 Configuración'!$B$7,5,1),1))</x:f>
        <x:v>90</x:v>
      </x:c>
      <x:c r="D51" s="148" t="n">
        <x:f>SUMIFS('04 Movimientos'!$K$5:$K$184,'04 Movimientos'!$A$5:$A$184,"&gt;="&amp;DATE('02 Configuración'!$B$7,5,1),'04 Movimientos'!$A$5:$A$184,"&lt;"&amp;EDATE(DATE('02 Configuración'!$B$7,5,1),1))</x:f>
        <x:v>34100</x:v>
      </x:c>
    </x:row>
    <x:row r="52">
      <x:c r="A52" s="36" t="str">
        <x:v>Junio</x:v>
      </x:c>
      <x:c r="B52" s="146" t="n">
        <x:f>SUMIFS('04 Movimientos'!$I$5:$I$184,'04 Movimientos'!$A$5:$A$184,"&gt;="&amp;DATE('02 Configuración'!$B$7,6,1),'04 Movimientos'!$A$5:$A$184,"&lt;"&amp;EDATE(DATE('02 Configuración'!$B$7,6,1),1))</x:f>
        <x:v>0</x:v>
      </x:c>
      <x:c r="C52" s="146" t="n">
        <x:f>SUMIFS('04 Movimientos'!$J$5:$J$184,'04 Movimientos'!$A$5:$A$184,"&gt;="&amp;DATE('02 Configuración'!$B$7,6,1),'04 Movimientos'!$A$5:$A$184,"&lt;"&amp;EDATE(DATE('02 Configuración'!$B$7,6,1),1))</x:f>
        <x:v>0</x:v>
      </x:c>
      <x:c r="D52" s="148" t="n">
        <x:f>SUMIFS('04 Movimientos'!$K$5:$K$184,'04 Movimientos'!$A$5:$A$184,"&gt;="&amp;DATE('02 Configuración'!$B$7,6,1),'04 Movimientos'!$A$5:$A$184,"&lt;"&amp;EDATE(DATE('02 Configuración'!$B$7,6,1),1))</x:f>
        <x:v>0</x:v>
      </x:c>
    </x:row>
    <x:row r="53">
      <x:c r="A53" s="36" t="str">
        <x:v>Julio</x:v>
      </x:c>
      <x:c r="B53" s="146" t="n">
        <x:f>SUMIFS('04 Movimientos'!$I$5:$I$184,'04 Movimientos'!$A$5:$A$184,"&gt;="&amp;DATE('02 Configuración'!$B$7,7,1),'04 Movimientos'!$A$5:$A$184,"&lt;"&amp;EDATE(DATE('02 Configuración'!$B$7,7,1),1))</x:f>
        <x:v>0</x:v>
      </x:c>
      <x:c r="C53" s="146" t="n">
        <x:f>SUMIFS('04 Movimientos'!$J$5:$J$184,'04 Movimientos'!$A$5:$A$184,"&gt;="&amp;DATE('02 Configuración'!$B$7,7,1),'04 Movimientos'!$A$5:$A$184,"&lt;"&amp;EDATE(DATE('02 Configuración'!$B$7,7,1),1))</x:f>
        <x:v>0</x:v>
      </x:c>
      <x:c r="D53" s="148" t="n">
        <x:f>SUMIFS('04 Movimientos'!$K$5:$K$184,'04 Movimientos'!$A$5:$A$184,"&gt;="&amp;DATE('02 Configuración'!$B$7,7,1),'04 Movimientos'!$A$5:$A$184,"&lt;"&amp;EDATE(DATE('02 Configuración'!$B$7,7,1),1))</x:f>
        <x:v>0</x:v>
      </x:c>
    </x:row>
    <x:row r="54">
      <x:c r="A54" s="36" t="str">
        <x:v>Agosto</x:v>
      </x:c>
      <x:c r="B54" s="146" t="n">
        <x:f>SUMIFS('04 Movimientos'!$I$5:$I$184,'04 Movimientos'!$A$5:$A$184,"&gt;="&amp;DATE('02 Configuración'!$B$7,8,1),'04 Movimientos'!$A$5:$A$184,"&lt;"&amp;EDATE(DATE('02 Configuración'!$B$7,8,1),1))</x:f>
        <x:v>0</x:v>
      </x:c>
      <x:c r="C54" s="146" t="n">
        <x:f>SUMIFS('04 Movimientos'!$J$5:$J$184,'04 Movimientos'!$A$5:$A$184,"&gt;="&amp;DATE('02 Configuración'!$B$7,8,1),'04 Movimientos'!$A$5:$A$184,"&lt;"&amp;EDATE(DATE('02 Configuración'!$B$7,8,1),1))</x:f>
        <x:v>0</x:v>
      </x:c>
      <x:c r="D54" s="148" t="n">
        <x:f>SUMIFS('04 Movimientos'!$K$5:$K$184,'04 Movimientos'!$A$5:$A$184,"&gt;="&amp;DATE('02 Configuración'!$B$7,8,1),'04 Movimientos'!$A$5:$A$184,"&lt;"&amp;EDATE(DATE('02 Configuración'!$B$7,8,1),1))</x:f>
        <x:v>0</x:v>
      </x:c>
    </x:row>
    <x:row r="55">
      <x:c r="A55" s="36" t="str">
        <x:v>Septiembre</x:v>
      </x:c>
      <x:c r="B55" s="146" t="n">
        <x:f>SUMIFS('04 Movimientos'!$I$5:$I$184,'04 Movimientos'!$A$5:$A$184,"&gt;="&amp;DATE('02 Configuración'!$B$7,9,1),'04 Movimientos'!$A$5:$A$184,"&lt;"&amp;EDATE(DATE('02 Configuración'!$B$7,9,1),1))</x:f>
        <x:v>0</x:v>
      </x:c>
      <x:c r="C55" s="146" t="n">
        <x:f>SUMIFS('04 Movimientos'!$J$5:$J$184,'04 Movimientos'!$A$5:$A$184,"&gt;="&amp;DATE('02 Configuración'!$B$7,9,1),'04 Movimientos'!$A$5:$A$184,"&lt;"&amp;EDATE(DATE('02 Configuración'!$B$7,9,1),1))</x:f>
        <x:v>0</x:v>
      </x:c>
      <x:c r="D55" s="148" t="n">
        <x:f>SUMIFS('04 Movimientos'!$K$5:$K$184,'04 Movimientos'!$A$5:$A$184,"&gt;="&amp;DATE('02 Configuración'!$B$7,9,1),'04 Movimientos'!$A$5:$A$184,"&lt;"&amp;EDATE(DATE('02 Configuración'!$B$7,9,1),1))</x:f>
        <x:v>0</x:v>
      </x:c>
    </x:row>
    <x:row r="56">
      <x:c r="A56" s="36" t="str">
        <x:v>Octubre</x:v>
      </x:c>
      <x:c r="B56" s="146" t="n">
        <x:f>SUMIFS('04 Movimientos'!$I$5:$I$184,'04 Movimientos'!$A$5:$A$184,"&gt;="&amp;DATE('02 Configuración'!$B$7,10,1),'04 Movimientos'!$A$5:$A$184,"&lt;"&amp;EDATE(DATE('02 Configuración'!$B$7,10,1),1))</x:f>
        <x:v>0</x:v>
      </x:c>
      <x:c r="C56" s="146" t="n">
        <x:f>SUMIFS('04 Movimientos'!$J$5:$J$184,'04 Movimientos'!$A$5:$A$184,"&gt;="&amp;DATE('02 Configuración'!$B$7,10,1),'04 Movimientos'!$A$5:$A$184,"&lt;"&amp;EDATE(DATE('02 Configuración'!$B$7,10,1),1))</x:f>
        <x:v>0</x:v>
      </x:c>
      <x:c r="D56" s="148" t="n">
        <x:f>SUMIFS('04 Movimientos'!$K$5:$K$184,'04 Movimientos'!$A$5:$A$184,"&gt;="&amp;DATE('02 Configuración'!$B$7,10,1),'04 Movimientos'!$A$5:$A$184,"&lt;"&amp;EDATE(DATE('02 Configuración'!$B$7,10,1),1))</x:f>
        <x:v>0</x:v>
      </x:c>
    </x:row>
    <x:row r="57">
      <x:c r="A57" s="36" t="str">
        <x:v>Noviembre</x:v>
      </x:c>
      <x:c r="B57" s="146" t="n">
        <x:f>SUMIFS('04 Movimientos'!$I$5:$I$184,'04 Movimientos'!$A$5:$A$184,"&gt;="&amp;DATE('02 Configuración'!$B$7,11,1),'04 Movimientos'!$A$5:$A$184,"&lt;"&amp;EDATE(DATE('02 Configuración'!$B$7,11,1),1))</x:f>
        <x:v>0</x:v>
      </x:c>
      <x:c r="C57" s="146" t="n">
        <x:f>SUMIFS('04 Movimientos'!$J$5:$J$184,'04 Movimientos'!$A$5:$A$184,"&gt;="&amp;DATE('02 Configuración'!$B$7,11,1),'04 Movimientos'!$A$5:$A$184,"&lt;"&amp;EDATE(DATE('02 Configuración'!$B$7,11,1),1))</x:f>
        <x:v>0</x:v>
      </x:c>
      <x:c r="D57" s="148" t="n">
        <x:f>SUMIFS('04 Movimientos'!$K$5:$K$184,'04 Movimientos'!$A$5:$A$184,"&gt;="&amp;DATE('02 Configuración'!$B$7,11,1),'04 Movimientos'!$A$5:$A$184,"&lt;"&amp;EDATE(DATE('02 Configuración'!$B$7,11,1),1))</x:f>
        <x:v>0</x:v>
      </x:c>
    </x:row>
    <x:row r="58">
      <x:c r="A58" s="36" t="str">
        <x:v>Diciembre</x:v>
      </x:c>
      <x:c r="B58" s="146" t="n">
        <x:f>SUMIFS('04 Movimientos'!$I$5:$I$184,'04 Movimientos'!$A$5:$A$184,"&gt;="&amp;DATE('02 Configuración'!$B$7,12,1),'04 Movimientos'!$A$5:$A$184,"&lt;"&amp;EDATE(DATE('02 Configuración'!$B$7,12,1),1))</x:f>
        <x:v>0</x:v>
      </x:c>
      <x:c r="C58" s="146" t="n">
        <x:f>SUMIFS('04 Movimientos'!$J$5:$J$184,'04 Movimientos'!$A$5:$A$184,"&gt;="&amp;DATE('02 Configuración'!$B$7,12,1),'04 Movimientos'!$A$5:$A$184,"&lt;"&amp;EDATE(DATE('02 Configuración'!$B$7,12,1),1))</x:f>
        <x:v>0</x:v>
      </x:c>
      <x:c r="D58" s="148" t="n">
        <x:f>SUMIFS('04 Movimientos'!$K$5:$K$184,'04 Movimientos'!$A$5:$A$184,"&gt;="&amp;DATE('02 Configuración'!$B$7,12,1),'04 Movimientos'!$A$5:$A$184,"&lt;"&amp;EDATE(DATE('02 Configuración'!$B$7,12,1),1))</x:f>
        <x:v>0</x:v>
      </x:c>
    </x:row>
  </x:sheetData>
  <x:mergeCells>
    <x:mergeCell ref="A4:C7"/>
    <x:mergeCell ref="D4:F7"/>
    <x:mergeCell ref="G4:I7"/>
    <x:mergeCell ref="J4:L7"/>
    <x:mergeCell ref="A9:C12"/>
    <x:mergeCell ref="D9:F12"/>
    <x:mergeCell ref="G9:I12"/>
    <x:mergeCell ref="J9:L12"/>
  </x:mergeCells>
  <x:pageMargins left="0.7" right="0.7" top="0.75" bottom="0.75" header="0.3" footer="0.3"/>
  <x:drawing xmlns:r="http://schemas.openxmlformats.org/officeDocument/2006/relationships" r:id="R2fd73c6d2a764885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2" customHeight="1">
      <x:c r="A1" s="5" t="str">
        <x:v>Catálogos</x:v>
      </x:c>
    </x:row>
    <x:row r="2" ht="28" customHeight="1">
      <x:c r="A2" s="13" t="str">
        <x:v>Listas para validaciones desplegables. Puedes editarlas según la empresa.</x:v>
      </x:c>
    </x:row>
    <x:row r="4" ht="26" customHeight="1">
      <x:c r="A4" s="66" t="str">
        <x:v>Categorías</x:v>
      </x:c>
      <x:c r="C4" s="66" t="str">
        <x:v>Unidades</x:v>
      </x:c>
      <x:c r="E4" s="66" t="str">
        <x:v>Tipo movimiento</x:v>
      </x:c>
      <x:c r="G4" s="66" t="str">
        <x:v>Proveedores</x:v>
      </x:c>
      <x:c r="I4" s="66" t="str">
        <x:v>Responsables</x:v>
      </x:c>
    </x:row>
    <x:row r="5">
      <x:c r="A5" s="78" t="str">
        <x:v>Materia prima</x:v>
      </x:c>
      <x:c r="C5" s="78" t="str">
        <x:v>pieza</x:v>
      </x:c>
      <x:c r="E5" s="78" t="str">
        <x:v>Entrada</x:v>
      </x:c>
      <x:c r="G5" s="78" t="str">
        <x:v>Proveedor Norte</x:v>
      </x:c>
      <x:c r="I5" s="78" t="str">
        <x:v>Compras</x:v>
      </x:c>
    </x:row>
    <x:row r="6">
      <x:c r="A6" s="78" t="str">
        <x:v>Producto terminado</x:v>
      </x:c>
      <x:c r="C6" s="78" t="str">
        <x:v>kg</x:v>
      </x:c>
      <x:c r="E6" s="78" t="str">
        <x:v>Salida</x:v>
      </x:c>
      <x:c r="G6" s="78" t="str">
        <x:v>Proveedor Centro</x:v>
      </x:c>
      <x:c r="I6" s="78" t="str">
        <x:v>Almacén</x:v>
      </x:c>
    </x:row>
    <x:row r="7">
      <x:c r="A7" s="78" t="str">
        <x:v>Insumos</x:v>
      </x:c>
      <x:c r="C7" s="78" t="str">
        <x:v>litro</x:v>
      </x:c>
      <x:c r="E7" s="78" t="str">
        <x:v>Ajuste entrada</x:v>
      </x:c>
      <x:c r="G7" s="78" t="str">
        <x:v>Proveedor Local</x:v>
      </x:c>
      <x:c r="I7" s="78" t="str">
        <x:v>Administración</x:v>
      </x:c>
    </x:row>
    <x:row r="8">
      <x:c r="A8" s="78" t="str">
        <x:v>Empaque</x:v>
      </x:c>
      <x:c r="C8" s="78" t="str">
        <x:v>caja</x:v>
      </x:c>
      <x:c r="E8" s="78" t="str">
        <x:v>Ajuste salida</x:v>
      </x:c>
      <x:c r="G8" s="78" t="str">
        <x:v>Importadora MX</x:v>
      </x:c>
      <x:c r="I8" s="78" t="str">
        <x:v>Operaciones</x:v>
      </x:c>
    </x:row>
    <x:row r="9">
      <x:c r="A9" s="78" t="str">
        <x:v>Refacciones</x:v>
      </x:c>
      <x:c r="C9" s="78" t="str">
        <x:v>paquete</x:v>
      </x:c>
      <x:c r="G9" s="78" t="str">
        <x:v>Distribuidor Regional</x:v>
      </x:c>
      <x:c r="I9" s="78" t="str">
        <x:v>Dirección</x:v>
      </x:c>
    </x:row>
    <x:row r="10">
      <x:c r="A10" s="78" t="str">
        <x:v>Consumibles</x:v>
      </x:c>
      <x:c r="C10" s="78" t="str">
        <x:v>metro</x:v>
      </x:c>
    </x:row>
    <x:row r="11">
      <x:c r="A11" s="78" t="str">
        <x:v>Equipo</x:v>
      </x:c>
      <x:c r="C11" s="78" t="str">
        <x:v>servicio</x:v>
      </x:c>
    </x:row>
  </x:sheetData>
  <x:mergeCells>
    <x:mergeCell ref="A1:I1"/>
    <x:mergeCell ref="A2:I2"/>
  </x:mergeCells>
  <x:pageMargins left="0.7" right="0.7" top="0.75" bottom="0.75" header="0.3" footer="0.3"/>
</x:worksheet>
</file>